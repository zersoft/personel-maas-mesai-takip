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tables/table11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comments6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5.xml" ContentType="application/vnd.openxmlformats-officedocument.spreadsheetml.pivotTable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AZMİNAT TAKİP" sheetId="1" state="visible" r:id="rId3"/>
    <sheet name="AyrılanPersonelListesi" sheetId="2" state="visible" r:id="rId4"/>
    <sheet name="PersonelListesi" sheetId="3" state="visible" r:id="rId5"/>
    <sheet name="bordro" sheetId="4" state="visible" r:id="rId6"/>
    <sheet name="bordro (2024)" sheetId="5" state="visible" r:id="rId7"/>
    <sheet name="bordro_2023_" sheetId="6" state="visible" r:id="rId8"/>
    <sheet name="Aylık Bordro Özet" sheetId="7" state="visible" r:id="rId9"/>
    <sheet name="Avans Takip" sheetId="8" state="visible" r:id="rId10"/>
    <sheet name="MesaiRapor2" sheetId="9" state="visible" r:id="rId11"/>
    <sheet name="Mesai Takip" sheetId="10" state="visible" r:id="rId12"/>
    <sheet name="Mesai Mizan(Formül)" sheetId="11" state="visible" r:id="rId13"/>
    <sheet name="Mesai Mizan 2" sheetId="12" state="visible" r:id="rId14"/>
    <sheet name="AYLIK FM ÖZET" sheetId="13" state="visible" r:id="rId15"/>
    <sheet name="Yeni Mesai Aylık Rapor" sheetId="14" state="visible" r:id="rId16"/>
    <sheet name="Sayfa3" sheetId="15" state="visible" r:id="rId17"/>
    <sheet name="Sayfa4" sheetId="16" state="visible" r:id="rId18"/>
    <sheet name="Sayfa5" sheetId="17" state="visible" r:id="rId19"/>
    <sheet name="Sayfa6" sheetId="18" state="visible" r:id="rId20"/>
  </sheets>
  <definedNames>
    <definedName function="false" hidden="false" localSheetId="3" name="_xlnm.Print_Area" vbProcedure="false">bordro!$B$1:$O$238</definedName>
    <definedName function="false" hidden="false" name="per_list" vbProcedure="false">personelListesiGuncel[PERSONEL]</definedName>
    <definedName function="false" hidden="false" name="Tarih" vbProcedure="false">bordro810[[#All],[Tarih]]</definedName>
    <definedName function="false" hidden="false" localSheetId="4" name="_xlnm.Print_Area" vbProcedure="false">#REF!</definedName>
    <definedName function="false" hidden="false" localSheetId="5" name="_xlnm.Print_Area" vbProcedure="false">#REF!</definedName>
  </definedNames>
  <calcPr iterateCount="100" refMode="A1" iterate="false" iterateDelta="0.0001"/>
  <pivotCaches>
    <pivotCache cacheId="1" r:id="rId22"/>
    <pivotCache cacheId="2" r:id="rId23"/>
  </pivotCaches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Abdullah</author>
  </authors>
  <commentList>
    <comment ref="O436" authorId="0">
      <text>
        <r>
          <rPr>
            <sz val="10"/>
            <rFont val="Arial"/>
            <family val="2"/>
          </rPr>
          <t xml:space="preserve">Abdullah:
</t>
        </r>
        <r>
          <rPr>
            <sz val="9"/>
            <color rgb="FF000000"/>
            <rFont val="Tahoma"/>
            <family val="2"/>
            <charset val="162"/>
          </rPr>
          <t xml:space="preserve">4,5 gün eksik</t>
        </r>
      </text>
    </comment>
    <comment ref="O442" authorId="0">
      <text>
        <r>
          <rPr>
            <sz val="10"/>
            <rFont val="Arial"/>
            <family val="2"/>
          </rPr>
          <t xml:space="preserve">Abdullah:
</t>
        </r>
        <r>
          <rPr>
            <sz val="9"/>
            <color rgb="FF000000"/>
            <rFont val="Tahoma"/>
            <family val="2"/>
            <charset val="162"/>
          </rPr>
          <t xml:space="preserve">  Elden avans kesinti + 0,5 gün</t>
        </r>
      </text>
    </comment>
    <comment ref="O448" authorId="0">
      <text>
        <r>
          <rPr>
            <sz val="10"/>
            <rFont val="Arial"/>
            <family val="2"/>
          </rPr>
          <t xml:space="preserve">Abdullah:
</t>
        </r>
        <r>
          <rPr>
            <sz val="9"/>
            <color rgb="FF000000"/>
            <rFont val="Tahoma"/>
            <family val="2"/>
            <charset val="162"/>
          </rPr>
          <t xml:space="preserve">1,5 gün eksik</t>
        </r>
      </text>
    </comment>
    <comment ref="O449" authorId="0">
      <text>
        <r>
          <rPr>
            <sz val="10"/>
            <rFont val="Arial"/>
            <family val="2"/>
          </rPr>
          <t xml:space="preserve">Abdullah:
</t>
        </r>
        <r>
          <rPr>
            <sz val="9"/>
            <color rgb="FF000000"/>
            <rFont val="Tahoma"/>
            <family val="2"/>
            <charset val="162"/>
          </rPr>
          <t xml:space="preserve">05 gün eksik</t>
        </r>
      </text>
    </comment>
    <comment ref="O475" authorId="0">
      <text>
        <r>
          <rPr>
            <sz val="10"/>
            <rFont val="Arial"/>
            <family val="2"/>
          </rPr>
          <t xml:space="preserve">Abdullah:
</t>
        </r>
        <r>
          <rPr>
            <sz val="9"/>
            <color rgb="FF000000"/>
            <rFont val="Tahoma"/>
            <family val="2"/>
            <charset val="162"/>
          </rPr>
          <t xml:space="preserve">geçen ay farkı ilave
verilen avans kesinti</t>
        </r>
      </text>
    </comment>
    <comment ref="O481" authorId="0">
      <text>
        <r>
          <rPr>
            <sz val="10"/>
            <rFont val="Arial"/>
            <family val="2"/>
          </rPr>
          <t xml:space="preserve">Abdullah:
</t>
        </r>
        <r>
          <rPr>
            <sz val="9"/>
            <color rgb="FF000000"/>
            <rFont val="Tahoma"/>
            <family val="2"/>
            <charset val="162"/>
          </rPr>
          <t xml:space="preserve">geçen aydan fark ödemesi
ve 2.5 gün kesinti</t>
        </r>
      </text>
    </comment>
  </commentList>
</comments>
</file>

<file path=xl/sharedStrings.xml><?xml version="1.0" encoding="utf-8"?>
<sst xmlns="http://schemas.openxmlformats.org/spreadsheetml/2006/main" count="5786" uniqueCount="460">
  <si>
    <t xml:space="preserve">İSİM</t>
  </si>
  <si>
    <t xml:space="preserve">TARİH</t>
  </si>
  <si>
    <t xml:space="preserve">PLAN</t>
  </si>
  <si>
    <t xml:space="preserve">İŞLEM</t>
  </si>
  <si>
    <t xml:space="preserve">AÇIKLAMA</t>
  </si>
  <si>
    <t xml:space="preserve">TUTAR</t>
  </si>
  <si>
    <t xml:space="preserve">İBRAHİM AKYOL</t>
  </si>
  <si>
    <t xml:space="preserve">TAHAKKUK</t>
  </si>
  <si>
    <t xml:space="preserve">ÖDEME</t>
  </si>
  <si>
    <t xml:space="preserve">ÇETİN ERGİN</t>
  </si>
  <si>
    <t xml:space="preserve">ÖMER KÖROĞLU</t>
  </si>
  <si>
    <t xml:space="preserve">FEZAİL ÇAPKIN</t>
  </si>
  <si>
    <t xml:space="preserve">Arabuluculuk</t>
  </si>
  <si>
    <t xml:space="preserve">RÜSTEM ÜLFEN</t>
  </si>
  <si>
    <t xml:space="preserve">BEKİR TAŞÇILAR</t>
  </si>
  <si>
    <t xml:space="preserve">IŞIL UZAN</t>
  </si>
  <si>
    <t xml:space="preserve">MELİK KAHRAMAN </t>
  </si>
  <si>
    <t xml:space="preserve">PERSONEL</t>
  </si>
  <si>
    <t xml:space="preserve">MAAŞ TUTARI</t>
  </si>
  <si>
    <t xml:space="preserve">DURUM</t>
  </si>
  <si>
    <t xml:space="preserve">GÖREV</t>
  </si>
  <si>
    <t xml:space="preserve">GERÇEK MAAŞ</t>
  </si>
  <si>
    <t xml:space="preserve">SGK M.</t>
  </si>
  <si>
    <t xml:space="preserve">SGK FM.</t>
  </si>
  <si>
    <t xml:space="preserve">Eksik Gün-Kesinti</t>
  </si>
  <si>
    <t xml:space="preserve">yi</t>
  </si>
  <si>
    <t xml:space="preserve">Sütun1</t>
  </si>
  <si>
    <t xml:space="preserve">Durum2</t>
  </si>
  <si>
    <t xml:space="preserve">SSK FRM</t>
  </si>
  <si>
    <t xml:space="preserve">TC KİMLİK NO</t>
  </si>
  <si>
    <t xml:space="preserve">MÜŞT. NO</t>
  </si>
  <si>
    <t xml:space="preserve">EK</t>
  </si>
  <si>
    <t xml:space="preserve">İşe B. Tar.</t>
  </si>
  <si>
    <t xml:space="preserve">EMEKLİ</t>
  </si>
  <si>
    <t xml:space="preserve">_ŞOFÖR</t>
  </si>
  <si>
    <t xml:space="preserve">Çıktı</t>
  </si>
  <si>
    <t xml:space="preserve">Y KUM</t>
  </si>
  <si>
    <t xml:space="preserve">18274523170 </t>
  </si>
  <si>
    <t xml:space="preserve">RÜSTEM ÜLFEM</t>
  </si>
  <si>
    <t xml:space="preserve">ÇALIŞAN</t>
  </si>
  <si>
    <t xml:space="preserve">_ELEMAN</t>
  </si>
  <si>
    <t xml:space="preserve">39617231002 </t>
  </si>
  <si>
    <t xml:space="preserve">NECDET ÇALIK</t>
  </si>
  <si>
    <t xml:space="preserve">_BEKÇİ</t>
  </si>
  <si>
    <t xml:space="preserve">HALİL Y</t>
  </si>
  <si>
    <t xml:space="preserve">MESUT ÇAVDAR</t>
  </si>
  <si>
    <t xml:space="preserve">1.000 kesiniti</t>
  </si>
  <si>
    <t xml:space="preserve">Çalışan</t>
  </si>
  <si>
    <t xml:space="preserve">YILMAZ YILMAZ</t>
  </si>
  <si>
    <t xml:space="preserve">15394555838 </t>
  </si>
  <si>
    <t xml:space="preserve">YAVUZ YILMAZ</t>
  </si>
  <si>
    <t xml:space="preserve">_KANTAR</t>
  </si>
  <si>
    <t xml:space="preserve">ŞİRİN GENCE</t>
  </si>
  <si>
    <t xml:space="preserve"> İcra 1/4   -1.000</t>
  </si>
  <si>
    <t xml:space="preserve">66385338732 </t>
  </si>
  <si>
    <t xml:space="preserve">MELEKNUR YILMAZ</t>
  </si>
  <si>
    <t xml:space="preserve">_MUHASEBE</t>
  </si>
  <si>
    <t xml:space="preserve">64996156028 </t>
  </si>
  <si>
    <t xml:space="preserve">AJDA ÖZENER</t>
  </si>
  <si>
    <t xml:space="preserve">_AİLE</t>
  </si>
  <si>
    <t xml:space="preserve">22093575890</t>
  </si>
  <si>
    <t xml:space="preserve">96260905</t>
  </si>
  <si>
    <t xml:space="preserve">AYŞEGÜL OZANER</t>
  </si>
  <si>
    <t xml:space="preserve">30148302742</t>
  </si>
  <si>
    <t xml:space="preserve">97726066</t>
  </si>
  <si>
    <t xml:space="preserve">1</t>
  </si>
  <si>
    <t xml:space="preserve">ALFİA FERMAN</t>
  </si>
  <si>
    <t xml:space="preserve">74524099696</t>
  </si>
  <si>
    <t xml:space="preserve">ORHAN UZUN</t>
  </si>
  <si>
    <t xml:space="preserve">_OPERATÖR</t>
  </si>
  <si>
    <t xml:space="preserve">59233322526 </t>
  </si>
  <si>
    <t xml:space="preserve">MELİK KAHRAMAN</t>
  </si>
  <si>
    <t xml:space="preserve">KERİM ŞİMŞEK</t>
  </si>
  <si>
    <t xml:space="preserve">RAMAZAN TUNCER</t>
  </si>
  <si>
    <t xml:space="preserve">ŞİNASİ VURAL POLAT</t>
  </si>
  <si>
    <t xml:space="preserve">DENİZ DALKILINÇ</t>
  </si>
  <si>
    <t xml:space="preserve">38614007368</t>
  </si>
  <si>
    <t xml:space="preserve">TOPLAM</t>
  </si>
  <si>
    <t xml:space="preserve">FM Saat Ücr.</t>
  </si>
  <si>
    <t xml:space="preserve">ABDULLAH KARAHANCI</t>
  </si>
  <si>
    <t xml:space="preserve">28699369338</t>
  </si>
  <si>
    <t xml:space="preserve">DURSUN DURMUŞ</t>
  </si>
  <si>
    <t xml:space="preserve">_D.ELEMAN</t>
  </si>
  <si>
    <t xml:space="preserve">17630785580 </t>
  </si>
  <si>
    <t xml:space="preserve">55186680706 </t>
  </si>
  <si>
    <t xml:space="preserve">SÜLEYMAN İP</t>
  </si>
  <si>
    <t xml:space="preserve">21242693324 </t>
  </si>
  <si>
    <t xml:space="preserve">ŞENOL DURMUŞ</t>
  </si>
  <si>
    <t xml:space="preserve">17159801204 </t>
  </si>
  <si>
    <t xml:space="preserve">CUMA HAVAN</t>
  </si>
  <si>
    <t xml:space="preserve">36826974454</t>
  </si>
  <si>
    <t xml:space="preserve">EJDER COŞGUNOĞLU</t>
  </si>
  <si>
    <t xml:space="preserve">17917837216</t>
  </si>
  <si>
    <t xml:space="preserve">VEYSEL DUYMAZ</t>
  </si>
  <si>
    <t xml:space="preserve">23764482950 </t>
  </si>
  <si>
    <t xml:space="preserve">MUSTAFA KAHRAMAN</t>
  </si>
  <si>
    <t xml:space="preserve">25672444846 </t>
  </si>
  <si>
    <t xml:space="preserve">DURSUN ALİ NAZİK</t>
  </si>
  <si>
    <t xml:space="preserve">_MÜHNEDİS</t>
  </si>
  <si>
    <t xml:space="preserve">51994540164</t>
  </si>
  <si>
    <t xml:space="preserve">CİHAN DUYMAZ</t>
  </si>
  <si>
    <t xml:space="preserve">23713484608</t>
  </si>
  <si>
    <t xml:space="preserve">OSMAN BİLGİN</t>
  </si>
  <si>
    <t xml:space="preserve">MEHMET ALİ ALTINOK</t>
  </si>
  <si>
    <t xml:space="preserve">ALİM MEDETOĞULLARI</t>
  </si>
  <si>
    <t xml:space="preserve">_TAMİR</t>
  </si>
  <si>
    <t xml:space="preserve">14188598600</t>
  </si>
  <si>
    <t xml:space="preserve">BEKİR BULUT</t>
  </si>
  <si>
    <t xml:space="preserve">14743821358</t>
  </si>
  <si>
    <t xml:space="preserve">ÜMİT YİĞİT</t>
  </si>
  <si>
    <t xml:space="preserve">20743377542</t>
  </si>
  <si>
    <t xml:space="preserve">NERMİN ŞEN</t>
  </si>
  <si>
    <t xml:space="preserve">_MUTFAK</t>
  </si>
  <si>
    <t xml:space="preserve">24235463638</t>
  </si>
  <si>
    <t xml:space="preserve">NADİR EROĞLU</t>
  </si>
  <si>
    <t xml:space="preserve">ENVER İBKİN</t>
  </si>
  <si>
    <t xml:space="preserve">YAŞAR COŞKUN</t>
  </si>
  <si>
    <t xml:space="preserve">HARUN ZEYBEK</t>
  </si>
  <si>
    <t xml:space="preserve">22118361712</t>
  </si>
  <si>
    <t xml:space="preserve">MURAT EROL</t>
  </si>
  <si>
    <t xml:space="preserve">51499451514</t>
  </si>
  <si>
    <t xml:space="preserve">VOLKAN KATRI</t>
  </si>
  <si>
    <t xml:space="preserve">AYHAN DOĞRU</t>
  </si>
  <si>
    <t xml:space="preserve">BAYRAM ALSAN</t>
  </si>
  <si>
    <t xml:space="preserve">ARZU DANACI</t>
  </si>
  <si>
    <t xml:space="preserve">23965724132</t>
  </si>
  <si>
    <t xml:space="preserve">GÜRHAN</t>
  </si>
  <si>
    <t xml:space="preserve">FATMA KOCATÜRK</t>
  </si>
  <si>
    <t xml:space="preserve">NAFAKA</t>
  </si>
  <si>
    <t xml:space="preserve">ALFİYA FERMAN</t>
  </si>
  <si>
    <t xml:space="preserve">74524099796</t>
  </si>
  <si>
    <t xml:space="preserve">Dilek TOPAL</t>
  </si>
  <si>
    <t xml:space="preserve">18736701092</t>
  </si>
  <si>
    <t xml:space="preserve">AJDA OZANER</t>
  </si>
  <si>
    <t xml:space="preserve">YAHYA-ÖMER</t>
  </si>
  <si>
    <t xml:space="preserve">YAHYA-NAFAKA</t>
  </si>
  <si>
    <t xml:space="preserve">YIL</t>
  </si>
  <si>
    <t xml:space="preserve">AY</t>
  </si>
  <si>
    <t xml:space="preserve">Personel</t>
  </si>
  <si>
    <t xml:space="preserve">G. Maaş</t>
  </si>
  <si>
    <t xml:space="preserve">SGK-BNK</t>
  </si>
  <si>
    <t xml:space="preserve">E.</t>
  </si>
  <si>
    <t xml:space="preserve">B+E</t>
  </si>
  <si>
    <t xml:space="preserve">Eld. [+/-]</t>
  </si>
  <si>
    <t xml:space="preserve">Açıklama</t>
  </si>
  <si>
    <t xml:space="preserve">Yİ</t>
  </si>
  <si>
    <t xml:space="preserve">part2</t>
  </si>
  <si>
    <t xml:space="preserve">Part1</t>
  </si>
  <si>
    <t xml:space="preserve">96900867</t>
  </si>
  <si>
    <t xml:space="preserve">99029232</t>
  </si>
  <si>
    <t xml:space="preserve">SAMET EROĞLU</t>
  </si>
  <si>
    <t xml:space="preserve">95547779</t>
  </si>
  <si>
    <t xml:space="preserve">98127163</t>
  </si>
  <si>
    <t xml:space="preserve">95539771</t>
  </si>
  <si>
    <t xml:space="preserve">e</t>
  </si>
  <si>
    <t xml:space="preserve">bnk</t>
  </si>
  <si>
    <t xml:space="preserve">10.000 SERVİS ÖDEMESİ</t>
  </si>
  <si>
    <t xml:space="preserve">OCAK FARK</t>
  </si>
  <si>
    <t xml:space="preserve">nafaka13.000</t>
  </si>
  <si>
    <t xml:space="preserve">avans</t>
  </si>
  <si>
    <t xml:space="preserve">ÖDENDİ</t>
  </si>
  <si>
    <t xml:space="preserve">*30.000TL AVANS </t>
  </si>
  <si>
    <t xml:space="preserve">5000 AVANS</t>
  </si>
  <si>
    <t xml:space="preserve">8 nisan da çıktı (8 gün)</t>
  </si>
  <si>
    <t xml:space="preserve">10.000 TLSERVSİ ÜCRETİ</t>
  </si>
  <si>
    <t xml:space="preserve">09.04 İŞBAŞI 22GÜN</t>
  </si>
  <si>
    <t xml:space="preserve">22.04 İŞBAŞI 9GÜN</t>
  </si>
  <si>
    <t xml:space="preserve">yol ücreti</t>
  </si>
  <si>
    <t xml:space="preserve">7 gün yıllık izin</t>
  </si>
  <si>
    <t xml:space="preserve">14 gün yıllık izin</t>
  </si>
  <si>
    <t xml:space="preserve">yahya abi  hoca</t>
  </si>
  <si>
    <t xml:space="preserve">?</t>
  </si>
  <si>
    <t xml:space="preserve"> -5000avans, +1800 yol</t>
  </si>
  <si>
    <t xml:space="preserve">AVANS</t>
  </si>
  <si>
    <t xml:space="preserve">(25.000 TL) ÖNDEN</t>
  </si>
  <si>
    <t xml:space="preserve">3 GÜN ÇALIŞMA VAR</t>
  </si>
  <si>
    <t xml:space="preserve">ZAM YAPILACAK</t>
  </si>
  <si>
    <t xml:space="preserve">10 GÜN ÇALIŞMASI VAR(17-27TEMMUZ)</t>
  </si>
  <si>
    <t xml:space="preserve">4 GÜN ÇALIŞMA(28 TEMMUZ)</t>
  </si>
  <si>
    <t xml:space="preserve">21.07.2025 ÇIKIŞ</t>
  </si>
  <si>
    <t xml:space="preserve">(1.800) YOL ÜCRETİ</t>
  </si>
  <si>
    <t xml:space="preserve">5000 TL AVANS KESİLECEK</t>
  </si>
  <si>
    <t xml:space="preserve">geçen aydan kalan</t>
  </si>
  <si>
    <t xml:space="preserve">ZAM YAPILDI GEÇEN AY</t>
  </si>
  <si>
    <t xml:space="preserve">4000 ödenecek</t>
  </si>
  <si>
    <t xml:space="preserve">5.000 TL AVANS</t>
  </si>
  <si>
    <t xml:space="preserve">1 HAFTA KESİLCEK</t>
  </si>
  <si>
    <t xml:space="preserve">2900 yol ücreti</t>
  </si>
  <si>
    <t xml:space="preserve">CUMA HAVAN </t>
  </si>
  <si>
    <t xml:space="preserve">AVANS KESİNTİSİ 10000</t>
  </si>
  <si>
    <t xml:space="preserve">OSMAN KAYALI</t>
  </si>
  <si>
    <t xml:space="preserve">SERCAN BARDAKCI</t>
  </si>
  <si>
    <t xml:space="preserve">_çaycı</t>
  </si>
  <si>
    <t xml:space="preserve">MUSTAFA KARADEMİR</t>
  </si>
  <si>
    <t xml:space="preserve">1 gün eksik</t>
  </si>
  <si>
    <t xml:space="preserve">EMRULLAH BOZ</t>
  </si>
  <si>
    <t xml:space="preserve">KADİR BEKÇİ</t>
  </si>
  <si>
    <t xml:space="preserve">AVANS KESİNTİSİ</t>
  </si>
  <si>
    <t xml:space="preserve">BURAK KOCATÜRK</t>
  </si>
  <si>
    <t xml:space="preserve">SALİH GÜNGÖR</t>
  </si>
  <si>
    <t xml:space="preserve">soför payı</t>
  </si>
  <si>
    <t xml:space="preserve">10,000  avans kesintisi</t>
  </si>
  <si>
    <t xml:space="preserve">işten çıkış</t>
  </si>
  <si>
    <t xml:space="preserve">Ziraat</t>
  </si>
  <si>
    <t xml:space="preserve">36826974454 </t>
  </si>
  <si>
    <t xml:space="preserve">3gün eksik</t>
  </si>
  <si>
    <t xml:space="preserve">33853146700</t>
  </si>
  <si>
    <t xml:space="preserve">96959868</t>
  </si>
  <si>
    <t xml:space="preserve">Kuveyt</t>
  </si>
  <si>
    <t xml:space="preserve">17891875174</t>
  </si>
  <si>
    <t xml:space="preserve">38233125580</t>
  </si>
  <si>
    <t xml:space="preserve">95532065</t>
  </si>
  <si>
    <t xml:space="preserve">29107341298</t>
  </si>
  <si>
    <t xml:space="preserve">2 gün eksik</t>
  </si>
  <si>
    <t xml:space="preserve">63097169876 </t>
  </si>
  <si>
    <t xml:space="preserve">96843148 </t>
  </si>
  <si>
    <t xml:space="preserve">18727701384</t>
  </si>
  <si>
    <t xml:space="preserve">98682849</t>
  </si>
  <si>
    <t xml:space="preserve">Diğer</t>
  </si>
  <si>
    <t xml:space="preserve">42622163084</t>
  </si>
  <si>
    <t xml:space="preserve">İSMET DENİZ</t>
  </si>
  <si>
    <t xml:space="preserve">YILLIK İZİN</t>
  </si>
  <si>
    <t xml:space="preserve">AVANS(kalan 20000)</t>
  </si>
  <si>
    <t xml:space="preserve">ENVER İLKİN</t>
  </si>
  <si>
    <t xml:space="preserve">kuveyt</t>
  </si>
  <si>
    <t xml:space="preserve">Ziraat 2 </t>
  </si>
  <si>
    <t xml:space="preserve">AVANS(kalan 15000)</t>
  </si>
  <si>
    <t xml:space="preserve">ödenen</t>
  </si>
  <si>
    <t xml:space="preserve">bankaya yattı</t>
  </si>
  <si>
    <t xml:space="preserve">7 gün eksik</t>
  </si>
  <si>
    <t xml:space="preserve">kuveyt 2</t>
  </si>
  <si>
    <t xml:space="preserve">5000 Nadir için avans, 3000 Ankara yolluk</t>
  </si>
  <si>
    <t xml:space="preserve"> -20gün, +2.500tl</t>
  </si>
  <si>
    <t xml:space="preserve">2.500 TL KESİNTİ</t>
  </si>
  <si>
    <t xml:space="preserve">10 gün eksik</t>
  </si>
  <si>
    <t xml:space="preserve">10 gün çalışması var</t>
  </si>
  <si>
    <t xml:space="preserve">7 GÜN RAPLU</t>
  </si>
  <si>
    <t xml:space="preserve">15 GÜNLÜK ÇALIŞMA</t>
  </si>
  <si>
    <t xml:space="preserve">ziraat</t>
  </si>
  <si>
    <t xml:space="preserve">26.9/24.10 arası raporlu</t>
  </si>
  <si>
    <t xml:space="preserve">çıktı 17.11.2024</t>
  </si>
  <si>
    <t xml:space="preserve">BANKA</t>
  </si>
  <si>
    <t xml:space="preserve">Bnk. Avans/Rapor</t>
  </si>
  <si>
    <t xml:space="preserve">Eks.Gün</t>
  </si>
  <si>
    <t xml:space="preserve">Açıklama2</t>
  </si>
  <si>
    <t xml:space="preserve">MUSTAFA KARAMAN</t>
  </si>
  <si>
    <t xml:space="preserve">Sonraki aya 150 tl avans devir</t>
  </si>
  <si>
    <t xml:space="preserve">MEHMET ALİ ALTIOK</t>
  </si>
  <si>
    <t xml:space="preserve">EMRE SÖNMEZ</t>
  </si>
  <si>
    <t xml:space="preserve">İBRAHİM AKYOL </t>
  </si>
  <si>
    <t xml:space="preserve">1/4 18.icra 2020/8687</t>
  </si>
  <si>
    <t xml:space="preserve">300 avans</t>
  </si>
  <si>
    <t xml:space="preserve">Rapor var</t>
  </si>
  <si>
    <t xml:space="preserve">Rapor var - Geçen aydan 4000</t>
  </si>
  <si>
    <t xml:space="preserve">çıkış-giriş</t>
  </si>
  <si>
    <t xml:space="preserve">+ geçen ay 3.470</t>
  </si>
  <si>
    <t xml:space="preserve">Geçen aydan 1740</t>
  </si>
  <si>
    <t xml:space="preserve">Mazot</t>
  </si>
  <si>
    <t xml:space="preserve">w</t>
  </si>
  <si>
    <t xml:space="preserve">Geçen aydan 720</t>
  </si>
  <si>
    <t xml:space="preserve">MELİK</t>
  </si>
  <si>
    <t xml:space="preserve">21 Gün Çalışma</t>
  </si>
  <si>
    <t xml:space="preserve">RAPORU VAR</t>
  </si>
  <si>
    <t xml:space="preserve">GÜNLÜK 120</t>
  </si>
  <si>
    <t xml:space="preserve">GÜNLÜK 120 * 5</t>
  </si>
  <si>
    <t xml:space="preserve">TAM</t>
  </si>
  <si>
    <t xml:space="preserve">eksik gün ÇIKIŞ YAPTI</t>
  </si>
  <si>
    <t xml:space="preserve">ŞİNASİ</t>
  </si>
  <si>
    <t xml:space="preserve">HAMZA YILMAZ</t>
  </si>
  <si>
    <t xml:space="preserve">TAM - Raporu Var</t>
  </si>
  <si>
    <t xml:space="preserve">1/4 18.icra 2020/8687 -
 1458,33 Yıllık İzin Ödemesi</t>
  </si>
  <si>
    <t xml:space="preserve">Yeni Giriş</t>
  </si>
  <si>
    <t xml:space="preserve">tam</t>
  </si>
  <si>
    <t xml:space="preserve">raporu var ?</t>
  </si>
  <si>
    <t xml:space="preserve">eksik</t>
  </si>
  <si>
    <t xml:space="preserve">gun calıstı</t>
  </si>
  <si>
    <t xml:space="preserve">FUAT AŞIK</t>
  </si>
  <si>
    <t xml:space="preserve">YAHYA-HAMZA</t>
  </si>
  <si>
    <t xml:space="preserve">raporu var</t>
  </si>
  <si>
    <t xml:space="preserve">ilave yol</t>
  </si>
  <si>
    <t xml:space="preserve">Yıllık İzin</t>
  </si>
  <si>
    <t xml:space="preserve">eksik gün</t>
  </si>
  <si>
    <t xml:space="preserve">eksik gün  bankanat -1.000 tl</t>
  </si>
  <si>
    <t xml:space="preserve">1 GÜN EKSİK+ 100 avans</t>
  </si>
  <si>
    <t xml:space="preserve">Raporlu</t>
  </si>
  <si>
    <t xml:space="preserve">Eksik Gün  /  Elden avans kesinti</t>
  </si>
  <si>
    <t xml:space="preserve">Eksik Gün</t>
  </si>
  <si>
    <t xml:space="preserve">22 GÜN ÇALIŞMA</t>
  </si>
  <si>
    <t xml:space="preserve">9 gun rapor</t>
  </si>
  <si>
    <t xml:space="preserve">SERCAN BARDAKÇI</t>
  </si>
  <si>
    <t xml:space="preserve">raporlu</t>
  </si>
  <si>
    <t xml:space="preserve">4 gun rapor</t>
  </si>
  <si>
    <t xml:space="preserve">  Elden avans kesinti</t>
  </si>
  <si>
    <t xml:space="preserve">ÖMER YILMAZ</t>
  </si>
  <si>
    <t xml:space="preserve">YAHYA YILMAZ</t>
  </si>
  <si>
    <t xml:space="preserve">17 sinde girdi</t>
  </si>
  <si>
    <t xml:space="preserve">4,5 GÜN EKSİK</t>
  </si>
  <si>
    <t xml:space="preserve">2.000(Fark)-700(Avans)</t>
  </si>
  <si>
    <t xml:space="preserve">BORÇ</t>
  </si>
  <si>
    <t xml:space="preserve">YARIM GÜN EKSİK</t>
  </si>
  <si>
    <t xml:space="preserve">1,5  GÜN EKSİK</t>
  </si>
  <si>
    <t xml:space="preserve">yeni giriş</t>
  </si>
  <si>
    <t xml:space="preserve">Fatma Kocaturk Payı</t>
  </si>
  <si>
    <t xml:space="preserve">bu ay sgk tam </t>
  </si>
  <si>
    <t xml:space="preserve">1000 TL si FM olacak</t>
  </si>
  <si>
    <t xml:space="preserve">asgari + Mesai</t>
  </si>
  <si>
    <t xml:space="preserve">İCRA KESİNTİ</t>
  </si>
  <si>
    <t xml:space="preserve">10 GÜN</t>
  </si>
  <si>
    <t xml:space="preserve">15/28 Aralık</t>
  </si>
  <si>
    <t xml:space="preserve">İLAVE AVANS</t>
  </si>
  <si>
    <t xml:space="preserve">26-31 Aralık</t>
  </si>
  <si>
    <t xml:space="preserve">HAKAN DERELİ</t>
  </si>
  <si>
    <t xml:space="preserve">YAHYA-AHMET AKÇAY</t>
  </si>
  <si>
    <t xml:space="preserve">2.000 TL KESİLCEK</t>
  </si>
  <si>
    <t xml:space="preserve">2000 TL KESİLCEK</t>
  </si>
  <si>
    <t xml:space="preserve">EKSİK GÜN</t>
  </si>
  <si>
    <t xml:space="preserve">13991912016</t>
  </si>
  <si>
    <t xml:space="preserve">98372520</t>
  </si>
  <si>
    <t xml:space="preserve">EYÜP SULTAN DEMİRCİ</t>
  </si>
  <si>
    <t xml:space="preserve">YAHYA ABİ</t>
  </si>
  <si>
    <t xml:space="preserve">çıktı  20 gün eksik</t>
  </si>
  <si>
    <t xml:space="preserve">52456542788</t>
  </si>
  <si>
    <t xml:space="preserve">8490168</t>
  </si>
  <si>
    <t xml:space="preserve">EYÜP SULTAN CEYLAN</t>
  </si>
  <si>
    <t xml:space="preserve">30865030904</t>
  </si>
  <si>
    <t xml:space="preserve">96958582</t>
  </si>
  <si>
    <t xml:space="preserve">ORHAN GEZER</t>
  </si>
  <si>
    <t xml:space="preserve">4 gün kesinti</t>
  </si>
  <si>
    <t xml:space="preserve">7 gün eksik, 1000 tl kesinti</t>
  </si>
  <si>
    <t xml:space="preserve">24293051488</t>
  </si>
  <si>
    <t xml:space="preserve">98751426</t>
  </si>
  <si>
    <t xml:space="preserve">1 eksik, -5000 </t>
  </si>
  <si>
    <t xml:space="preserve"> -4 gün</t>
  </si>
  <si>
    <t xml:space="preserve"> -1 gün</t>
  </si>
  <si>
    <t xml:space="preserve"> -5.000(kalan 25.000)</t>
  </si>
  <si>
    <t xml:space="preserve">YAHYA-SAMET</t>
  </si>
  <si>
    <t xml:space="preserve"> -5000(kalan 30000)</t>
  </si>
  <si>
    <t xml:space="preserve">3 GÜN EKSİK</t>
  </si>
  <si>
    <t xml:space="preserve">3 GÜN Yİ</t>
  </si>
  <si>
    <t xml:space="preserve">2 GÜN Yİ</t>
  </si>
  <si>
    <t xml:space="preserve">ÇIKTI</t>
  </si>
  <si>
    <t xml:space="preserve">12 GÜN EKSİK YENİ</t>
  </si>
  <si>
    <t xml:space="preserve">SERVİS ÜCRETİ</t>
  </si>
  <si>
    <t xml:space="preserve">BU AY KESİNTİ YOK</t>
  </si>
  <si>
    <t xml:space="preserve">ÖMER-CANSEL</t>
  </si>
  <si>
    <t xml:space="preserve">ÖMER-ZEHRA</t>
  </si>
  <si>
    <t xml:space="preserve">ÖMER-SİGORTA</t>
  </si>
  <si>
    <t xml:space="preserve">- all -</t>
  </si>
  <si>
    <t xml:space="preserve">Toplam G. Maaş</t>
  </si>
  <si>
    <t xml:space="preserve">(empty)</t>
  </si>
  <si>
    <t xml:space="preserve">Total Result</t>
  </si>
  <si>
    <t xml:space="preserve">T.Avans:</t>
  </si>
  <si>
    <t xml:space="preserve">T.Alınan:</t>
  </si>
  <si>
    <t xml:space="preserve">Bakiye:</t>
  </si>
  <si>
    <t xml:space="preserve">Tarih</t>
  </si>
  <si>
    <t xml:space="preserve">İşlem</t>
  </si>
  <si>
    <t xml:space="preserve">Avans</t>
  </si>
  <si>
    <t xml:space="preserve">Kesinti</t>
  </si>
  <si>
    <t xml:space="preserve">Per. Bakiye</t>
  </si>
  <si>
    <t xml:space="preserve">Kesilen</t>
  </si>
  <si>
    <t xml:space="preserve">ay</t>
  </si>
  <si>
    <t xml:space="preserve">grp</t>
  </si>
  <si>
    <t xml:space="preserve">- multiple -</t>
  </si>
  <si>
    <t xml:space="preserve">Mesai</t>
  </si>
  <si>
    <t xml:space="preserve">Gün</t>
  </si>
  <si>
    <t xml:space="preserve">Saat</t>
  </si>
  <si>
    <t xml:space="preserve">S.Ücret</t>
  </si>
  <si>
    <t xml:space="preserve">T. Tutar</t>
  </si>
  <si>
    <t xml:space="preserve">ADMS</t>
  </si>
  <si>
    <t xml:space="preserve">PAZAR MESAİ</t>
  </si>
  <si>
    <t xml:space="preserve">HAFTA İÇİ 2 SAAT SALI </t>
  </si>
  <si>
    <t xml:space="preserve">HAFTA İÇİ 2 SAAT SALI</t>
  </si>
  <si>
    <t xml:space="preserve">HAFTA İÇİ 2 SAAT PAZARTESİ</t>
  </si>
  <si>
    <t xml:space="preserve">2024- haftaiçi</t>
  </si>
  <si>
    <t xml:space="preserve">2024-Pazar</t>
  </si>
  <si>
    <t xml:space="preserve">23NİSAN BAYRAM</t>
  </si>
  <si>
    <t xml:space="preserve">BEKÇİLİK BAYRAM 3.GÜNÜ SABAH</t>
  </si>
  <si>
    <t xml:space="preserve">BEKÇİLİK BAYRAM 4.GÜNÜ SABAH</t>
  </si>
  <si>
    <t xml:space="preserve">ÇARŞAMBA 3 SAAT</t>
  </si>
  <si>
    <t xml:space="preserve">PERŞEMBE 3 SAAT</t>
  </si>
  <si>
    <t xml:space="preserve">CUMA MESAİ 3 SAAT</t>
  </si>
  <si>
    <t xml:space="preserve">SALI MESAİ 3 SAAT</t>
  </si>
  <si>
    <t xml:space="preserve">T.Mesai:</t>
  </si>
  <si>
    <t xml:space="preserve">T.Ödeme:</t>
  </si>
  <si>
    <t xml:space="preserve">M. Tutar</t>
  </si>
  <si>
    <t xml:space="preserve">Ödeme</t>
  </si>
  <si>
    <t xml:space="preserve">Bakiye</t>
  </si>
  <si>
    <t xml:space="preserve">Eski_M.Tutar</t>
  </si>
  <si>
    <t xml:space="preserve">pp</t>
  </si>
  <si>
    <t xml:space="preserve">19 MAYIS MESAİ</t>
  </si>
  <si>
    <t xml:space="preserve">BEKÇİLİK AREFE</t>
  </si>
  <si>
    <t xml:space="preserve">BEKÇİLİK BAYRAM 1.GÜNÜ</t>
  </si>
  <si>
    <t xml:space="preserve">BEKÇİLİK BAYRAM 2. GÜNÜ</t>
  </si>
  <si>
    <t xml:space="preserve">BEKÇİLİK BAYRAM 3.GÜNÜ AKŞAM</t>
  </si>
  <si>
    <t xml:space="preserve">BEKÇİLİK BAYRAM 4.GÜNÜ AKŞAM</t>
  </si>
  <si>
    <t xml:space="preserve">RESMİ TATİL</t>
  </si>
  <si>
    <t xml:space="preserve">PERŞEMBE 4 SAAT</t>
  </si>
  <si>
    <t xml:space="preserve">CUMA 2 SAAT</t>
  </si>
  <si>
    <t xml:space="preserve">CUMARTESİ 2 SAAT</t>
  </si>
  <si>
    <t xml:space="preserve">OPERAÖR:2.500 TL</t>
  </si>
  <si>
    <t xml:space="preserve">ŞÖFÖR :</t>
  </si>
  <si>
    <t xml:space="preserve">2.300 TL</t>
  </si>
  <si>
    <t xml:space="preserve">ÇENE:</t>
  </si>
  <si>
    <t xml:space="preserve">1.500 TL</t>
  </si>
  <si>
    <t xml:space="preserve">MESAİ ÖDEME LİSTESİ</t>
  </si>
  <si>
    <t xml:space="preserve">T.Saat</t>
  </si>
  <si>
    <t xml:space="preserve">T. MESAİ</t>
  </si>
  <si>
    <t xml:space="preserve">T. ÖDEME</t>
  </si>
  <si>
    <t xml:space="preserve">BAKİYE</t>
  </si>
  <si>
    <t xml:space="preserve">Sütun2</t>
  </si>
  <si>
    <t xml:space="preserve">.</t>
  </si>
  <si>
    <t xml:space="preserve">FM MİZAN</t>
  </si>
  <si>
    <t xml:space="preserve">Toplam M. Tutar</t>
  </si>
  <si>
    <t xml:space="preserve">Toplam Ödeme</t>
  </si>
  <si>
    <t xml:space="preserve">Toplam Bakiye</t>
  </si>
  <si>
    <t xml:space="preserve">FM PUANTAJI</t>
  </si>
  <si>
    <t xml:space="preserve">2025.aa</t>
  </si>
  <si>
    <t xml:space="preserve">SIRA NO</t>
  </si>
  <si>
    <t xml:space="preserve">GÖREVİ</t>
  </si>
  <si>
    <t xml:space="preserve">ADI-SOYADI</t>
  </si>
  <si>
    <t xml:space="preserve">Oca.24</t>
  </si>
  <si>
    <t xml:space="preserve">Tem.24</t>
  </si>
  <si>
    <t xml:space="preserve">Ağu.24</t>
  </si>
  <si>
    <t xml:space="preserve">Oca.25</t>
  </si>
  <si>
    <t xml:space="preserve">1-</t>
  </si>
  <si>
    <t xml:space="preserve">LODER OP.</t>
  </si>
  <si>
    <t xml:space="preserve">-</t>
  </si>
  <si>
    <t xml:space="preserve">2-</t>
  </si>
  <si>
    <t xml:space="preserve">3-</t>
  </si>
  <si>
    <t xml:space="preserve">YÜKLEYİCİ OP.</t>
  </si>
  <si>
    <t xml:space="preserve">4-</t>
  </si>
  <si>
    <t xml:space="preserve">5-</t>
  </si>
  <si>
    <t xml:space="preserve">KADEME</t>
  </si>
  <si>
    <t xml:space="preserve">6-</t>
  </si>
  <si>
    <t xml:space="preserve">KANTAR</t>
  </si>
  <si>
    <t xml:space="preserve">7-</t>
  </si>
  <si>
    <t xml:space="preserve">ŞÖFÖR</t>
  </si>
  <si>
    <t xml:space="preserve">8-</t>
  </si>
  <si>
    <t xml:space="preserve">9-</t>
  </si>
  <si>
    <t xml:space="preserve">10-</t>
  </si>
  <si>
    <t xml:space="preserve">11-</t>
  </si>
  <si>
    <t xml:space="preserve">MUTFAK</t>
  </si>
  <si>
    <t xml:space="preserve">12-</t>
  </si>
  <si>
    <t xml:space="preserve">BEKÇİ</t>
  </si>
  <si>
    <t xml:space="preserve">İŞE BAŞLANGIÇ</t>
  </si>
  <si>
    <t xml:space="preserve">KALAN YILLIK İZİN</t>
  </si>
  <si>
    <t xml:space="preserve">MUHASEBE</t>
  </si>
  <si>
    <t xml:space="preserve">ATEŞÇİ</t>
  </si>
  <si>
    <t xml:space="preserve">KONKOSÖR OP.</t>
  </si>
  <si>
    <t xml:space="preserve">ROK OP.</t>
  </si>
  <si>
    <t xml:space="preserve">KONKOSÖR PERSONEL</t>
  </si>
  <si>
    <t xml:space="preserve">MEYDANCI</t>
  </si>
  <si>
    <t xml:space="preserve">KAMYON ŞÖF.</t>
  </si>
  <si>
    <t xml:space="preserve">MADEN MÜHENDİSİ</t>
  </si>
  <si>
    <t xml:space="preserve">KANTARCI</t>
  </si>
  <si>
    <t xml:space="preserve">YEMEKHANE</t>
  </si>
  <si>
    <t xml:space="preserve">GECE BEKÇİSİ</t>
  </si>
  <si>
    <t xml:space="preserve">EKSKAVATÖR OP.</t>
  </si>
  <si>
    <t xml:space="preserve">OFİS HİZ.</t>
  </si>
  <si>
    <t xml:space="preserve">DİLEK TOPAL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</si>
</sst>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_(* #,##0.00_);_(* \(#,##0.00\);_(* \-??_);_(@_)"/>
    <numFmt numFmtId="166" formatCode="dd/mm/yyyy"/>
    <numFmt numFmtId="167" formatCode="#,##0.00_ ;[RED]\-#,##0.00\ "/>
    <numFmt numFmtId="168" formatCode="0_ ;[RED]\-0\ "/>
    <numFmt numFmtId="169" formatCode="#,##0.00"/>
    <numFmt numFmtId="170" formatCode="0"/>
    <numFmt numFmtId="171" formatCode="@"/>
    <numFmt numFmtId="172" formatCode="#,##0.0"/>
    <numFmt numFmtId="173" formatCode="m/d/yyyy"/>
    <numFmt numFmtId="174" formatCode="#,##0_ ;[RED]\-#,##0\ "/>
    <numFmt numFmtId="175" formatCode="\₺#,##0;[RED]&quot;-₺&quot;#,##0"/>
    <numFmt numFmtId="176" formatCode="\₺#,##0.00;[RED]&quot;-₺&quot;#,##0.00"/>
    <numFmt numFmtId="177" formatCode="#,##0"/>
    <numFmt numFmtId="178" formatCode="_-[$₺-41F]* #,##0.00_-;\-[$₺-41F]* #,##0.00_-;_-[$₺-41F]* \-??_-;_-@_-"/>
    <numFmt numFmtId="179" formatCode="dd\-ddd"/>
    <numFmt numFmtId="180" formatCode="mmm/yy"/>
  </numFmts>
  <fonts count="7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62"/>
    </font>
    <font>
      <b val="true"/>
      <sz val="11"/>
      <color theme="1"/>
      <name val="Calibri"/>
      <family val="0"/>
      <charset val="1"/>
    </font>
    <font>
      <sz val="11"/>
      <color rgb="FF000000"/>
      <name val="Calibri"/>
      <family val="2"/>
      <charset val="162"/>
    </font>
    <font>
      <sz val="9"/>
      <color rgb="FF000000"/>
      <name val="Calibri"/>
      <family val="2"/>
      <charset val="162"/>
    </font>
    <font>
      <i val="true"/>
      <sz val="10"/>
      <color rgb="FF000000"/>
      <name val="Calibri"/>
      <family val="2"/>
      <charset val="162"/>
    </font>
    <font>
      <sz val="11"/>
      <color theme="4" tint="-0.25"/>
      <name val="Calibri"/>
      <family val="2"/>
      <charset val="162"/>
    </font>
    <font>
      <sz val="11"/>
      <color rgb="FFFF0000"/>
      <name val="Calibri"/>
      <family val="2"/>
      <charset val="162"/>
    </font>
    <font>
      <sz val="11"/>
      <color rgb="FFC00000"/>
      <name val="Calibri"/>
      <family val="2"/>
      <charset val="162"/>
    </font>
    <font>
      <sz val="11"/>
      <color rgb="FF006100"/>
      <name val="Calibri"/>
      <family val="2"/>
      <charset val="162"/>
    </font>
    <font>
      <sz val="11"/>
      <color rgb="FF7030A0"/>
      <name val="Calibri"/>
      <family val="2"/>
      <charset val="162"/>
    </font>
    <font>
      <i val="true"/>
      <sz val="10"/>
      <color rgb="FF7030A0"/>
      <name val="Calibri"/>
      <family val="2"/>
      <charset val="162"/>
    </font>
    <font>
      <sz val="11"/>
      <color theme="4" tint="-0.5"/>
      <name val="Calibri"/>
      <family val="2"/>
      <charset val="162"/>
    </font>
    <font>
      <sz val="10"/>
      <color rgb="FF000000"/>
      <name val="Calibri"/>
      <family val="2"/>
      <charset val="162"/>
    </font>
    <font>
      <sz val="11"/>
      <color rgb="FF000000"/>
      <name val="Arial Narrow"/>
      <family val="2"/>
      <charset val="162"/>
    </font>
    <font>
      <sz val="11"/>
      <name val="Arial Narrow"/>
      <family val="2"/>
      <charset val="162"/>
    </font>
    <font>
      <sz val="11"/>
      <color theme="1"/>
      <name val="Arial Narrow"/>
      <family val="2"/>
      <charset val="162"/>
    </font>
    <font>
      <i val="true"/>
      <sz val="11"/>
      <color rgb="FF000000"/>
      <name val="Arial Narrow"/>
      <family val="2"/>
      <charset val="162"/>
    </font>
    <font>
      <sz val="11"/>
      <color rgb="FFC00000"/>
      <name val="Arial Narrow"/>
      <family val="2"/>
      <charset val="162"/>
    </font>
    <font>
      <sz val="11"/>
      <color rgb="FFFF0000"/>
      <name val="Arial Narrow"/>
      <family val="2"/>
      <charset val="162"/>
    </font>
    <font>
      <sz val="11"/>
      <color rgb="FF0070C0"/>
      <name val="Arial Narrow"/>
      <family val="2"/>
      <charset val="162"/>
    </font>
    <font>
      <sz val="11"/>
      <color theme="4" tint="-0.5"/>
      <name val="Arial Narrow"/>
      <family val="2"/>
      <charset val="162"/>
    </font>
    <font>
      <i val="true"/>
      <sz val="11"/>
      <color theme="4" tint="-0.5"/>
      <name val="Arial Narrow"/>
      <family val="2"/>
      <charset val="162"/>
    </font>
    <font>
      <sz val="11"/>
      <color rgb="FF7030A0"/>
      <name val="Arial Narrow"/>
      <family val="2"/>
      <charset val="162"/>
    </font>
    <font>
      <i val="true"/>
      <sz val="11"/>
      <color rgb="FF7030A0"/>
      <name val="Arial Narrow"/>
      <family val="2"/>
      <charset val="162"/>
    </font>
    <font>
      <i val="true"/>
      <sz val="11"/>
      <color rgb="FFFF0000"/>
      <name val="Arial Narrow"/>
      <family val="2"/>
      <charset val="162"/>
    </font>
    <font>
      <sz val="11"/>
      <name val="Arial Narrow"/>
      <family val="0"/>
      <charset val="1"/>
    </font>
    <font>
      <i val="true"/>
      <sz val="11"/>
      <color rgb="FF0070C0"/>
      <name val="Arial Narrow"/>
      <family val="2"/>
      <charset val="162"/>
    </font>
    <font>
      <sz val="11"/>
      <color theme="4" tint="-0.25"/>
      <name val="Arial Narrow"/>
      <family val="2"/>
      <charset val="162"/>
    </font>
    <font>
      <sz val="11"/>
      <color theme="1" tint="0.0499"/>
      <name val="Arial Narrow"/>
      <family val="2"/>
      <charset val="162"/>
    </font>
    <font>
      <b val="true"/>
      <sz val="11"/>
      <color theme="1"/>
      <name val="Arial Narrow"/>
      <family val="2"/>
      <charset val="162"/>
    </font>
    <font>
      <b val="true"/>
      <sz val="11"/>
      <color rgb="FFFF0000"/>
      <name val="Arial Narrow"/>
      <family val="2"/>
      <charset val="162"/>
    </font>
    <font>
      <b val="true"/>
      <sz val="9"/>
      <color theme="1"/>
      <name val="Arial Narrow"/>
      <family val="2"/>
      <charset val="162"/>
    </font>
    <font>
      <b val="true"/>
      <sz val="11"/>
      <color theme="1" tint="0.0499"/>
      <name val="Arial Narrow"/>
      <family val="2"/>
      <charset val="162"/>
    </font>
    <font>
      <b val="true"/>
      <sz val="11"/>
      <color theme="4" tint="-0.25"/>
      <name val="Arial Narrow"/>
      <family val="2"/>
      <charset val="162"/>
    </font>
    <font>
      <sz val="11"/>
      <color rgb="FF000000"/>
      <name val="Arial Narrow"/>
      <family val="0"/>
      <charset val="1"/>
    </font>
    <font>
      <sz val="11"/>
      <color theme="1"/>
      <name val="Arial Narrow"/>
      <family val="0"/>
      <charset val="1"/>
    </font>
    <font>
      <sz val="11"/>
      <color theme="4" tint="-0.25"/>
      <name val="Arial Narrow"/>
      <family val="0"/>
      <charset val="1"/>
    </font>
    <font>
      <b val="true"/>
      <sz val="11"/>
      <color rgb="FFFF0000"/>
      <name val="Arial Narrow"/>
      <family val="0"/>
      <charset val="1"/>
    </font>
    <font>
      <b val="true"/>
      <sz val="11"/>
      <color theme="4" tint="-0.25"/>
      <name val="Arial Narrow"/>
      <family val="0"/>
      <charset val="1"/>
    </font>
    <font>
      <sz val="11"/>
      <color theme="1" tint="0.0499"/>
      <name val="Calibri"/>
      <family val="2"/>
      <charset val="162"/>
    </font>
    <font>
      <b val="true"/>
      <sz val="11"/>
      <color theme="1"/>
      <name val="Calibri"/>
      <family val="2"/>
      <charset val="162"/>
    </font>
    <font>
      <b val="true"/>
      <sz val="11"/>
      <color rgb="FFFF0000"/>
      <name val="Calibri"/>
      <family val="2"/>
      <charset val="162"/>
    </font>
    <font>
      <b val="true"/>
      <sz val="9"/>
      <color theme="1"/>
      <name val="Calibri"/>
      <family val="2"/>
      <charset val="162"/>
    </font>
    <font>
      <b val="true"/>
      <sz val="11"/>
      <color theme="1" tint="0.0499"/>
      <name val="Calibri"/>
      <family val="2"/>
      <charset val="162"/>
    </font>
    <font>
      <sz val="10"/>
      <color theme="1"/>
      <name val="Calibri"/>
      <family val="2"/>
      <charset val="162"/>
    </font>
    <font>
      <b val="true"/>
      <sz val="10"/>
      <color theme="1"/>
      <name val="Calibri"/>
      <family val="2"/>
      <charset val="162"/>
    </font>
    <font>
      <sz val="11"/>
      <color theme="2" tint="-0.75"/>
      <name val="Calibri"/>
      <family val="2"/>
      <charset val="162"/>
    </font>
    <font>
      <sz val="12"/>
      <color theme="2" tint="-0.75"/>
      <name val="Calibri"/>
      <family val="2"/>
      <charset val="162"/>
    </font>
    <font>
      <b val="true"/>
      <sz val="11"/>
      <color theme="2" tint="-0.75"/>
      <name val="Calibri"/>
      <family val="2"/>
      <charset val="162"/>
    </font>
    <font>
      <sz val="8"/>
      <color theme="2" tint="-0.75"/>
      <name val="Calibri"/>
      <family val="2"/>
      <charset val="162"/>
    </font>
    <font>
      <sz val="12"/>
      <color theme="4" tint="-0.25"/>
      <name val="Calibri"/>
      <family val="2"/>
      <charset val="162"/>
    </font>
    <font>
      <sz val="8"/>
      <color theme="4" tint="-0.25"/>
      <name val="Calibri"/>
      <family val="2"/>
      <charset val="162"/>
    </font>
    <font>
      <sz val="11"/>
      <color theme="4"/>
      <name val="Calibri"/>
      <family val="2"/>
      <charset val="162"/>
    </font>
    <font>
      <sz val="11"/>
      <color theme="3"/>
      <name val="Calibri"/>
      <family val="2"/>
      <charset val="162"/>
    </font>
    <font>
      <b val="true"/>
      <sz val="11"/>
      <color theme="4" tint="-0.25"/>
      <name val="Calibri"/>
      <family val="2"/>
      <charset val="162"/>
    </font>
    <font>
      <sz val="11"/>
      <color theme="8" tint="-0.25"/>
      <name val="Calibri"/>
      <family val="2"/>
      <charset val="162"/>
    </font>
    <font>
      <sz val="10"/>
      <color theme="8" tint="-0.25"/>
      <name val="Calibri"/>
      <family val="2"/>
      <charset val="162"/>
    </font>
    <font>
      <b val="true"/>
      <sz val="11"/>
      <color rgb="FF000000"/>
      <name val="Calibri"/>
      <family val="2"/>
      <charset val="162"/>
    </font>
    <font>
      <sz val="10"/>
      <name val="Arial"/>
      <family val="2"/>
    </font>
    <font>
      <sz val="9"/>
      <color rgb="FF000000"/>
      <name val="Tahoma"/>
      <family val="2"/>
      <charset val="162"/>
    </font>
    <font>
      <sz val="12"/>
      <color theme="1"/>
      <name val="Calibri"/>
      <family val="2"/>
      <charset val="162"/>
    </font>
    <font>
      <b val="true"/>
      <sz val="12"/>
      <color rgb="FF000000"/>
      <name val="Calibri"/>
      <family val="2"/>
      <charset val="162"/>
    </font>
    <font>
      <sz val="8"/>
      <color theme="1"/>
      <name val="Calibri"/>
      <family val="2"/>
      <charset val="162"/>
    </font>
    <font>
      <sz val="11"/>
      <name val="Calibri"/>
      <family val="2"/>
      <charset val="162"/>
    </font>
    <font>
      <sz val="11"/>
      <color theme="1"/>
      <name val="Calibri"/>
      <family val="2"/>
      <charset val="162"/>
    </font>
    <font>
      <sz val="11"/>
      <color rgb="FFFF0000"/>
      <name val="Calibri"/>
      <family val="0"/>
      <charset val="1"/>
    </font>
    <font>
      <sz val="11"/>
      <color theme="4" tint="-0.25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theme="1"/>
      <name val="Calibri"/>
      <family val="2"/>
      <charset val="162"/>
    </font>
    <font>
      <sz val="11"/>
      <color theme="4" tint="-0.25"/>
      <name val="Calibri"/>
      <family val="2"/>
      <charset val="1"/>
    </font>
    <font>
      <b val="true"/>
      <sz val="11"/>
      <color theme="4" tint="-0.25"/>
      <name val="Calibri"/>
      <family val="0"/>
      <charset val="1"/>
    </font>
    <font>
      <b val="true"/>
      <sz val="11"/>
      <color rgb="FFFF0000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C6EFCE"/>
        <bgColor rgb="FFC5E0B4"/>
      </patternFill>
    </fill>
    <fill>
      <patternFill patternType="solid">
        <fgColor theme="9" tint="0.3999"/>
        <bgColor rgb="FFC5E0B4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FBE5D6"/>
      </patternFill>
    </fill>
    <fill>
      <patternFill patternType="solid">
        <fgColor theme="2"/>
        <bgColor rgb="FFDEEBF7"/>
      </patternFill>
    </fill>
    <fill>
      <patternFill patternType="solid">
        <fgColor theme="2" tint="-0.1"/>
        <bgColor rgb="FFC9C9C9"/>
      </patternFill>
    </fill>
    <fill>
      <patternFill patternType="solid">
        <fgColor rgb="FFFFFFFF"/>
        <bgColor rgb="FFF2F2F2"/>
      </patternFill>
    </fill>
    <fill>
      <patternFill patternType="solid">
        <fgColor theme="9" tint="0.5999"/>
        <bgColor rgb="FFC6EFCE"/>
      </patternFill>
    </fill>
    <fill>
      <patternFill patternType="solid">
        <fgColor theme="9" tint="0.7999"/>
        <bgColor rgb="FFE7E6E6"/>
      </patternFill>
    </fill>
    <fill>
      <patternFill patternType="solid">
        <fgColor theme="5" tint="0.7999"/>
        <bgColor rgb="FFFFF2CC"/>
      </patternFill>
    </fill>
    <fill>
      <patternFill patternType="solid">
        <fgColor theme="8" tint="0.7999"/>
        <bgColor rgb="FFE7E6E6"/>
      </patternFill>
    </fill>
    <fill>
      <patternFill patternType="solid">
        <fgColor theme="1"/>
        <bgColor rgb="FF0D0D0D"/>
      </patternFill>
    </fill>
    <fill>
      <patternFill patternType="solid">
        <fgColor theme="0" tint="-0.05"/>
        <bgColor rgb="FFE7E6E6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>
        <color theme="8"/>
      </left>
      <right/>
      <top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>
        <color theme="6" tint="0.3999"/>
      </left>
      <right style="thin">
        <color theme="6" tint="0.3999"/>
      </right>
      <top style="thin">
        <color theme="6" tint="0.3999"/>
      </top>
      <bottom style="thin">
        <color theme="6" tint="0.3999"/>
      </bottom>
      <diagonal/>
    </border>
    <border diagonalUp="false" diagonalDown="false">
      <left style="thin">
        <color theme="6" tint="0.3999"/>
      </left>
      <right style="thin">
        <color theme="6" tint="0.3999"/>
      </right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5" fillId="0" borderId="0" applyFont="true" applyBorder="false" applyAlignment="true" applyProtection="false">
      <alignment horizontal="general" vertical="center" textRotation="0" wrapText="false" indent="0" shrinkToFit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2" fillId="2" borderId="0" applyFont="true" applyBorder="false" applyAlignment="true" applyProtection="false">
      <alignment horizontal="general" vertical="center" textRotation="0" wrapText="false" indent="0" shrinkToFit="false"/>
    </xf>
  </cellStyleXfs>
  <cellXfs count="45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8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2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9" fontId="19" fillId="7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9" fontId="21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2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9" fontId="19" fillId="8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2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4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4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2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6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9" fontId="19" fillId="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9" fontId="2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2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2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8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2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9" fontId="22" fillId="8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2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2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2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7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9" fontId="22" fillId="7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1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8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3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3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18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1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3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3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1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2" fontId="1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0" fontId="3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35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1" fontId="35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33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33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2" fontId="3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3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7" fontId="3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3" fontId="1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3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3" fontId="17" fillId="9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9" fillId="9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31" fillId="9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31" fillId="9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7" fontId="31" fillId="9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34" fillId="9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37" fillId="9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38" fillId="9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3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0" fontId="39" fillId="9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39" fillId="9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7" fontId="40" fillId="9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0" fillId="9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7" fontId="40" fillId="9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41" fillId="9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42" fillId="9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42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3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7" fontId="4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4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70" fontId="4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46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1" fontId="46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4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4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2" fontId="4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1" fontId="46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5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6" fontId="5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5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5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8" fontId="51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53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50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0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0" fillId="5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6" fontId="50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50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8" fontId="51" fillId="5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8" fontId="5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5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9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6" fontId="9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9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8" fontId="54" fillId="5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5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5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5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4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5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2" fontId="5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6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48" fillId="9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48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5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6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23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7" fontId="0" fillId="0" borderId="8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7" fontId="0" fillId="0" borderId="10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1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2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7" fontId="5" fillId="0" borderId="13" xfId="24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6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65" fillId="6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75" fontId="65" fillId="11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65" fillId="1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4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9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7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7" xfId="21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6" xfId="21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4" xfId="21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0" fillId="0" borderId="4" xfId="21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67" fontId="0" fillId="0" borderId="4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7" fontId="0" fillId="0" borderId="17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18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9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6" fontId="0" fillId="0" borderId="20" xfId="21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66" fontId="5" fillId="0" borderId="21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22" xfId="25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7" fontId="5" fillId="0" borderId="22" xfId="25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7" fontId="5" fillId="0" borderId="23" xfId="25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75" fontId="65" fillId="6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65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4" fillId="9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76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9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4" fontId="6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5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4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8" fontId="7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7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7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26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27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7" fontId="0" fillId="0" borderId="28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77" fontId="0" fillId="0" borderId="29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76" fontId="0" fillId="0" borderId="30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2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77" fontId="0" fillId="0" borderId="0" xfId="26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6" fontId="0" fillId="0" borderId="31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1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32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77" fontId="0" fillId="0" borderId="33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76" fontId="0" fillId="0" borderId="34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5" fillId="0" borderId="35" xfId="24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77" fontId="5" fillId="0" borderId="22" xfId="24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36" xfId="24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1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7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6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7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0" xfId="23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32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6" fontId="0" fillId="0" borderId="33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6" fontId="5" fillId="0" borderId="17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28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9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29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8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5" fillId="0" borderId="8" xfId="24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26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26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5" fillId="0" borderId="10" xfId="24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0" xfId="24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3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2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3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33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9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5" fillId="0" borderId="11" xfId="24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35" xfId="24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5" fillId="0" borderId="22" xfId="24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5" fillId="0" borderId="23" xfId="24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3" xfId="24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4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44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2" fillId="0" borderId="4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7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65" fillId="0" borderId="4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65" fillId="0" borderId="4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8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4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15" borderId="4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9" borderId="4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2" fillId="9" borderId="4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9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9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15" borderId="42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Pivot Table Category" xfId="21"/>
    <cellStyle name="Pivot Table Corner" xfId="22"/>
    <cellStyle name="Pivot Table Field" xfId="23"/>
    <cellStyle name="Pivot Table Result" xfId="24"/>
    <cellStyle name="Pivot Table Title" xfId="25"/>
    <cellStyle name="Pivot Table Value" xfId="26"/>
    <cellStyle name="Excel Built-in Good" xfId="27"/>
  </cellStyles>
  <dxfs count="24">
    <dxf>
      <fill>
        <patternFill patternType="solid">
          <fgColor rgb="FFA9D18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203864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/>
    <dxf/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2E75B6"/>
      <rgbColor rgb="FFC9C9C9"/>
      <rgbColor rgb="FF808080"/>
      <rgbColor rgb="FF8FAADC"/>
      <rgbColor rgb="FF7030A0"/>
      <rgbColor rgb="FFFFF2CC"/>
      <rgbColor rgb="FFDEEBF7"/>
      <rgbColor rgb="FF660066"/>
      <rgbColor rgb="FFFF8080"/>
      <rgbColor rgb="FF0070C0"/>
      <rgbColor rgb="FFD0CECE"/>
      <rgbColor rgb="FF000080"/>
      <rgbColor rgb="FFFF00FF"/>
      <rgbColor rgb="FFFFFF00"/>
      <rgbColor rgb="FF00FFFF"/>
      <rgbColor rgb="FF800080"/>
      <rgbColor rgb="FF800000"/>
      <rgbColor rgb="FF2F5597"/>
      <rgbColor rgb="FF0000FF"/>
      <rgbColor rgb="FF00B0F0"/>
      <rgbColor rgb="FFE2F0D9"/>
      <rgbColor rgb="FFC6EFCE"/>
      <rgbColor rgb="FFF2F2F2"/>
      <rgbColor rgb="FFC5E0B4"/>
      <rgbColor rgb="FFE7E6E6"/>
      <rgbColor rgb="FFCC99FF"/>
      <rgbColor rgb="FFFBE5D6"/>
      <rgbColor rgb="FF4472C4"/>
      <rgbColor rgb="FF33CCCC"/>
      <rgbColor rgb="FFA9D18E"/>
      <rgbColor rgb="FFFFC000"/>
      <rgbColor rgb="FFFF9900"/>
      <rgbColor rgb="FFFF6600"/>
      <rgbColor rgb="FF44546A"/>
      <rgbColor rgb="FF5B9BD5"/>
      <rgbColor rgb="FF002060"/>
      <rgbColor rgb="FF339966"/>
      <rgbColor rgb="FF0D0D0D"/>
      <rgbColor rgb="FF385724"/>
      <rgbColor rgb="FF993300"/>
      <rgbColor rgb="FF993366"/>
      <rgbColor rgb="FF203864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22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2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27" createdVersion="3">
  <cacheSource type="worksheet">
    <worksheetSource ref="B1:O236" sheet="bordro"/>
  </cacheSource>
  <cacheFields count="14">
    <cacheField name="YIL" numFmtId="0">
      <sharedItems containsString="0" containsBlank="1" containsNumber="1" containsInteger="1" minValue="2025" maxValue="2025" count="2">
        <n v="2025"/>
        <m/>
      </sharedItems>
    </cacheField>
    <cacheField name="AY" numFmtId="0">
      <sharedItems containsString="0" containsBlank="1" containsNumber="1" containsInteger="1" minValue="1" maxValue="8" count="9">
        <n v="1"/>
        <n v="2"/>
        <n v="3"/>
        <n v="4"/>
        <n v="5"/>
        <n v="6"/>
        <n v="7"/>
        <n v="8"/>
        <m/>
      </sharedItems>
    </cacheField>
    <cacheField name="SSK FRM" numFmtId="0">
      <sharedItems containsBlank="1" containsMixedTypes="1" containsNumber="1" containsInteger="1" minValue="0" maxValue="0" count="12">
        <n v="0"/>
        <s v="_AİLE"/>
        <s v="_BEKÇİ"/>
        <s v="_D.ELEMAN"/>
        <s v="_KANTAR"/>
        <s v="_MUHASEBE"/>
        <s v="_MUTFAK"/>
        <s v="_MÜHNEDİS"/>
        <s v="_OPERATÖR"/>
        <s v="_ŞOFÖR"/>
        <s v="_TAMİR"/>
        <m/>
      </sharedItems>
    </cacheField>
    <cacheField name="TC KİMLİK NO" numFmtId="0">
      <sharedItems containsBlank="1" containsMixedTypes="1" containsNumber="1" containsInteger="1" minValue="0" maxValue="0" count="24">
        <n v="0"/>
        <s v="14188598600"/>
        <s v="14743821358"/>
        <s v="17159801204 "/>
        <s v="17630785580 "/>
        <s v="17917837216"/>
        <s v="18736701092"/>
        <s v="20743377542"/>
        <s v="21242693324 "/>
        <s v="22093575890"/>
        <s v="22118361712"/>
        <s v="23713484608"/>
        <s v="23764482950 "/>
        <s v="23965724132"/>
        <s v="24235463638"/>
        <s v="25672444846 "/>
        <s v="28699369338"/>
        <s v="36826974454"/>
        <s v="51499451514"/>
        <s v="51994540164"/>
        <s v="55186680706 "/>
        <s v="64996156028 "/>
        <s v="74524099796"/>
        <m/>
      </sharedItems>
    </cacheField>
    <cacheField name="MÜŞT. NO" numFmtId="0">
      <sharedItems containsBlank="1" containsMixedTypes="1" containsNumber="1" containsInteger="1" minValue="0" maxValue="97189681" count="16">
        <n v="0"/>
        <n v="95529415"/>
        <n v="95532064"/>
        <n v="95532066"/>
        <n v="95532077"/>
        <n v="95693810"/>
        <n v="95787183"/>
        <n v="96358353"/>
        <n v="97189681"/>
        <s v="95539771"/>
        <s v="95547779"/>
        <s v="96260905"/>
        <s v="96900867"/>
        <s v="98127163"/>
        <s v="99029232"/>
        <m/>
      </sharedItems>
    </cacheField>
    <cacheField name="Sütun1" numFmtId="0">
      <sharedItems containsBlank="1" containsMixedTypes="1" containsNumber="1" containsInteger="1" minValue="0" maxValue="1" count="7">
        <n v="0"/>
        <n v="1"/>
        <s v="bnk"/>
        <s v="e"/>
        <s v="Part1"/>
        <s v="part2"/>
        <m/>
      </sharedItems>
    </cacheField>
    <cacheField name="Personel" numFmtId="0">
      <sharedItems containsBlank="1" count="38">
        <s v="ABDULLAH KARAHANCI"/>
        <s v="AJDA OZANER"/>
        <s v="ALFİYA FERMAN"/>
        <s v="ALİM MEDETOĞULLARI"/>
        <s v="ARZU DANACI"/>
        <s v="AYHAN DOĞRU"/>
        <s v="AYŞEGÜL OZANER"/>
        <s v="BAYRAM ALSAN"/>
        <s v="BEKİR BULUT"/>
        <s v="CİHAN DUYMAZ"/>
        <s v="CUMA HAVAN"/>
        <s v="Dilek TOPAL"/>
        <s v="DURSUN ALİ NAZİK"/>
        <s v="DURSUN DURMUŞ"/>
        <s v="EJDER COŞGUNOĞLU"/>
        <s v="ENVER İBKİN"/>
        <s v="FATMA KOCATÜRK"/>
        <s v="GÜRHAN"/>
        <s v="HARUN ZEYBEK"/>
        <s v="MEHMET ALİ ALTINOK"/>
        <s v="MELEKNUR YILMAZ"/>
        <s v="MURAT EROL"/>
        <s v="MUSTAFA KAHRAMAN"/>
        <s v="NADİR EROĞLU"/>
        <s v="NAFAKA"/>
        <s v="NERMİN ŞEN"/>
        <s v="OSMAN BİLGİN"/>
        <s v="RAMAZAN TUNCER"/>
        <s v="SAMET EROĞLU"/>
        <s v="SÜLEYMAN İP"/>
        <s v="ŞENOL DURMUŞ"/>
        <s v="ÜMİT YİĞİT"/>
        <s v="VEYSEL DUYMAZ"/>
        <s v="VOLKAN KATRI"/>
        <s v="YAHYA-ÖMER"/>
        <s v="YAŞAR COŞKUN"/>
        <s v="YILMAZ YILMAZ"/>
        <m/>
      </sharedItems>
    </cacheField>
    <cacheField name="G. Maaş" numFmtId="0">
      <sharedItems containsString="0" containsBlank="1" containsNumber="1" containsInteger="1" minValue="0" maxValue="75000" count="21">
        <n v="0"/>
        <n v="5333"/>
        <n v="11500"/>
        <n v="11920"/>
        <n v="15000"/>
        <n v="22104"/>
        <n v="30000"/>
        <n v="34500"/>
        <n v="35000"/>
        <n v="38000"/>
        <n v="40000"/>
        <n v="43000"/>
        <n v="44000"/>
        <n v="45000"/>
        <n v="46000"/>
        <n v="48000"/>
        <n v="50000"/>
        <n v="52000"/>
        <n v="57500"/>
        <n v="75000"/>
        <m/>
      </sharedItems>
    </cacheField>
    <cacheField name="SGK-BNK" numFmtId="0">
      <sharedItems containsString="0" containsBlank="1" containsNumber="1" containsInteger="1" minValue="0" maxValue="50000" count="23">
        <n v="0"/>
        <n v="1603"/>
        <n v="1670"/>
        <n v="2000"/>
        <n v="2333"/>
        <n v="2335"/>
        <n v="2670"/>
        <n v="3450"/>
        <n v="6631"/>
        <n v="11333"/>
        <n v="15000"/>
        <n v="20000"/>
        <n v="22104"/>
        <n v="25000"/>
        <n v="28000"/>
        <n v="30000"/>
        <n v="33000"/>
        <n v="35000"/>
        <n v="38000"/>
        <n v="40000"/>
        <n v="48000"/>
        <n v="50000"/>
        <m/>
      </sharedItems>
    </cacheField>
    <cacheField name="E." numFmtId="0">
      <sharedItems containsString="0" containsBlank="1" containsNumber="1" minValue="-36667" maxValue="72330" count="77">
        <n v="-36667"/>
        <n v="-30000"/>
        <n v="-23000"/>
        <n v="-20000"/>
        <n v="-17104"/>
        <n v="-13000"/>
        <n v="-12604"/>
        <n v="-7500"/>
        <n v="-7104"/>
        <n v="-2500"/>
        <n v="-2"/>
        <n v="0"/>
        <n v="2000"/>
        <n v="2833.33"/>
        <n v="3450"/>
        <n v="3667"/>
        <n v="4000"/>
        <n v="4696"/>
        <n v="4869"/>
        <n v="5000"/>
        <n v="5333"/>
        <n v="6000"/>
        <n v="7000"/>
        <n v="7896"/>
        <n v="7897"/>
        <n v="9696"/>
        <n v="10000"/>
        <n v="10796"/>
        <n v="11920"/>
        <n v="12000"/>
        <n v="12396"/>
        <n v="12500"/>
        <n v="12998"/>
        <n v="13000"/>
        <n v="15000"/>
        <n v="15800"/>
        <n v="16000"/>
        <n v="16397"/>
        <n v="17500"/>
        <n v="17896"/>
        <n v="18665"/>
        <n v="20000"/>
        <n v="20796"/>
        <n v="21330"/>
        <n v="21920"/>
        <n v="22000"/>
        <n v="22500"/>
        <n v="22665"/>
        <n v="23397"/>
        <n v="25000"/>
        <n v="30000"/>
        <n v="30999.9"/>
        <n v="32897"/>
        <n v="33000"/>
        <n v="34337"/>
        <n v="35000"/>
        <n v="35499.9"/>
        <n v="36397"/>
        <n v="37665"/>
        <n v="38330"/>
        <n v="38667"/>
        <n v="40000"/>
        <n v="40165"/>
        <n v="41000"/>
        <n v="41397"/>
        <n v="43397"/>
        <n v="43665"/>
        <n v="44000"/>
        <n v="45000"/>
        <n v="46330"/>
        <n v="47330"/>
        <n v="47665"/>
        <n v="48397"/>
        <n v="50000"/>
        <n v="62330"/>
        <n v="72330"/>
        <m/>
      </sharedItems>
    </cacheField>
    <cacheField name="B+E" numFmtId="0">
      <sharedItems containsString="0" containsBlank="1" containsNumber="1" minValue="0" maxValue="80000" count="54">
        <n v="0"/>
        <n v="3450"/>
        <n v="4000"/>
        <n v="5000"/>
        <n v="6000"/>
        <n v="6670"/>
        <n v="9500"/>
        <n v="11333"/>
        <n v="11500"/>
        <n v="11920"/>
        <n v="13333"/>
        <n v="14601"/>
        <n v="15000"/>
        <n v="18000"/>
        <n v="20000"/>
        <n v="21000"/>
        <n v="21920"/>
        <n v="22102"/>
        <n v="22104"/>
        <n v="23000"/>
        <n v="25000"/>
        <n v="26800"/>
        <n v="27000"/>
        <n v="30000"/>
        <n v="30999.9"/>
        <n v="31800"/>
        <n v="32500"/>
        <n v="32833.33"/>
        <n v="32900"/>
        <n v="33000"/>
        <n v="34500"/>
        <n v="34603"/>
        <n v="35000"/>
        <n v="35102"/>
        <n v="36670"/>
        <n v="37499.9"/>
        <n v="38000"/>
        <n v="40000"/>
        <n v="42500"/>
        <n v="42900"/>
        <n v="43000"/>
        <n v="44000"/>
        <n v="45000"/>
        <n v="46000"/>
        <n v="48000"/>
        <n v="50000"/>
        <n v="52000"/>
        <n v="52500"/>
        <n v="55800"/>
        <n v="57500"/>
        <n v="65000"/>
        <n v="75000"/>
        <n v="80000"/>
        <m/>
      </sharedItems>
    </cacheField>
    <cacheField name="Eld. [+/-]" numFmtId="0">
      <sharedItems containsString="0" containsBlank="1" containsNumber="1" containsInteger="1" minValue="-50000" maxValue="10000" count="18">
        <n v="-50000"/>
        <n v="-44000"/>
        <n v="-36667"/>
        <n v="-35000"/>
        <n v="-31050"/>
        <n v="-25000"/>
        <n v="-15000"/>
        <n v="-13330"/>
        <n v="-10000"/>
        <n v="-5000"/>
        <n v="-3200"/>
        <n v="-1700"/>
        <n v="1800"/>
        <n v="2000"/>
        <n v="2900"/>
        <n v="3500"/>
        <n v="10000"/>
        <m/>
      </sharedItems>
    </cacheField>
    <cacheField name="Açıklama" numFmtId="0">
      <sharedItems containsBlank="1" count="32">
        <s v=" -5000avans, +1800 yol"/>
        <s v="?"/>
        <s v="(1.800) YOL ÜCRETİ"/>
        <s v="(25.000 TL) ÖNDEN"/>
        <s v="*30.000TL AVANS "/>
        <s v="09.04 İŞBAŞI 22GÜN"/>
        <s v="1 HAFTA KESİLCEK"/>
        <s v="10 GÜN ÇALIŞMASI VAR(17-27TEMMUZ)"/>
        <s v="10.000 SERVİS ÖDEMESİ"/>
        <s v="10.000 TLSERVSİ ÜCRETİ"/>
        <s v="14 gün yıllık izin"/>
        <s v="21.07.2025 ÇIKIŞ"/>
        <s v="22.04 İŞBAŞI 9GÜN"/>
        <s v="2900 yol ücreti"/>
        <s v="3 GÜN ÇALIŞMA VAR"/>
        <s v="4 GÜN ÇALIŞMA(28 TEMMUZ)"/>
        <s v="4000 ödenecek"/>
        <s v="5.000 TL AVANS"/>
        <s v="5000 AVANS"/>
        <s v="5000 TL AVANS KESİLECEK"/>
        <s v="7 gün yıllık izin"/>
        <s v="8 nisan da çıktı (8 gün)"/>
        <s v="avans"/>
        <s v="geçen aydan kalan"/>
        <s v="nafaka13.000"/>
        <s v="OCAK FARK"/>
        <s v="ÖDENDİ"/>
        <s v="yahya abi  hoca"/>
        <s v="yol ücreti"/>
        <s v="ZAM YAPILACAK"/>
        <s v="ZAM YAPILDI GEÇEN AY"/>
        <m/>
      </sharedItems>
    </cacheField>
    <cacheField name="Yİ" numFmtId="0">
      <sharedItems containsString="0" containsBlank="1" count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17" createdVersion="3">
  <cacheSource type="worksheet">
    <worksheetSource ref="A2:P319" sheet="Mesai Takip"/>
  </cacheSource>
  <cacheFields count="16">
    <cacheField name="Tarih" numFmtId="0">
      <sharedItems containsNonDate="0" containsDate="1" containsString="0" containsBlank="1" minDate="2025-02-02T00:00:00" maxDate="2025-08-14T00:00:00" count="33">
        <d v="2025-02-02T00:00:00"/>
        <d v="2025-02-04T00:00:00"/>
        <d v="2025-02-10T00:00:00"/>
        <d v="2025-02-11T00:00:00"/>
        <d v="2025-02-16T00:00:00"/>
        <d v="2025-03-15T00:00:00"/>
        <d v="2025-04-20T00:00:00"/>
        <d v="2025-04-23T00:00:00"/>
        <d v="2025-04-27T00:00:00"/>
        <d v="2025-05-04T00:00:00"/>
        <d v="2025-05-19T00:00:00"/>
        <d v="2025-06-05T00:00:00"/>
        <d v="2025-06-06T00:00:00"/>
        <d v="2025-06-07T00:00:00"/>
        <d v="2025-06-08T00:00:00"/>
        <d v="2025-06-09T00:00:00"/>
        <d v="2025-07-04T00:00:00"/>
        <d v="2025-07-15T00:00:00"/>
        <d v="2025-07-20T00:00:00"/>
        <d v="2025-07-25T00:00:00"/>
        <d v="2025-07-27T00:00:00"/>
        <d v="2025-07-31T00:00:00"/>
        <d v="2025-08-01T00:00:00"/>
        <d v="2025-08-02T00:00:00"/>
        <d v="2025-08-03T00:00:00"/>
        <d v="2025-08-06T00:00:00"/>
        <d v="2025-08-07T00:00:00"/>
        <d v="2025-08-08T00:00:00"/>
        <d v="2025-08-10T00:00:00"/>
        <d v="2025-08-12T00:00:00"/>
        <d v="2025-08-13T00:00:00"/>
        <d v="2025-08-14T00:00:00"/>
        <m/>
      </sharedItems>
    </cacheField>
    <cacheField name="Personel" numFmtId="0">
      <sharedItems containsBlank="1" count="19">
        <s v="AYHAN DOĞRU"/>
        <s v="BEKİR BULUT"/>
        <s v="CİHAN DUYMAZ"/>
        <s v="CUMA HAVAN"/>
        <s v="EJDER COŞGUNOĞLU"/>
        <s v="ENVER İBKİN"/>
        <s v="HARUN ZEYBEK"/>
        <s v="MEHMET ALİ ALTINOK"/>
        <s v="MURAT EROL"/>
        <s v="MUSTAFA KAHRAMAN"/>
        <s v="OSMAN BİLGİN"/>
        <s v="SÜLEYMAN İP"/>
        <s v="ŞENOL DURMUŞ"/>
        <s v="ÜMİT YİĞİT"/>
        <s v="VEYSEL DUYMAZ"/>
        <s v="VOLKAN KATRI"/>
        <s v="YAŞAR COŞKUN"/>
        <s v="YILMAZ YILMAZ"/>
        <m/>
      </sharedItems>
    </cacheField>
    <cacheField name="İşlem" numFmtId="0">
      <sharedItems containsBlank="1" count="3">
        <s v="Mesai"/>
        <s v="Ödeme"/>
        <m/>
      </sharedItems>
    </cacheField>
    <cacheField name="Saat" numFmtId="0">
      <sharedItems containsString="0" containsBlank="1" containsNumber="1" containsInteger="1" minValue="2" maxValue="30" count="10">
        <n v="2"/>
        <n v="3"/>
        <n v="4"/>
        <n v="5"/>
        <n v="10"/>
        <n v="18"/>
        <n v="20"/>
        <n v="25"/>
        <n v="30"/>
        <m/>
      </sharedItems>
    </cacheField>
    <cacheField name="S.Ücret" numFmtId="0">
      <sharedItems containsBlank="1" containsMixedTypes="1" containsNumber="1" containsInteger="1" minValue="0" maxValue="250" count="8">
        <n v="0"/>
        <n v="100"/>
        <n v="150"/>
        <n v="200"/>
        <n v="230"/>
        <n v="250"/>
        <e v="#N/A"/>
        <m/>
      </sharedItems>
    </cacheField>
    <cacheField name="M. Tutar" numFmtId="0">
      <sharedItems containsMixedTypes="1" containsNumber="1" containsInteger="1" minValue="0" maxValue="5000" count="17">
        <n v="0"/>
        <n v="300"/>
        <n v="400"/>
        <n v="450"/>
        <n v="460"/>
        <n v="500"/>
        <n v="690"/>
        <n v="750"/>
        <n v="920"/>
        <n v="1000"/>
        <n v="1500"/>
        <n v="2300"/>
        <n v="2500"/>
        <n v="3600"/>
        <n v="4500"/>
        <n v="5000"/>
        <e v="#N/A"/>
      </sharedItems>
    </cacheField>
    <cacheField name="Ödeme" numFmtId="0">
      <sharedItems containsMixedTypes="1" containsNumber="1" containsInteger="1" minValue="0" maxValue="2500" count="10">
        <n v="0"/>
        <n v="300"/>
        <n v="460"/>
        <n v="500"/>
        <n v="1000"/>
        <n v="1500"/>
        <n v="2000"/>
        <n v="2300"/>
        <n v="2500"/>
        <s v="pp"/>
      </sharedItems>
    </cacheField>
    <cacheField name="Açıklama" numFmtId="0">
      <sharedItems containsBlank="1" count="24">
        <s v="19 MAYIS MESAİ"/>
        <s v="2024- haftaiçi"/>
        <s v="2024-Pazar"/>
        <s v="23NİSAN BAYRAM"/>
        <s v="BEKÇİLİK AREFE"/>
        <s v="BEKÇİLİK BAYRAM 1.GÜNÜ"/>
        <s v="BEKÇİLİK BAYRAM 2. GÜNÜ"/>
        <s v="BEKÇİLİK BAYRAM 3.GÜNÜ AKŞAM"/>
        <s v="BEKÇİLİK BAYRAM 3.GÜNÜ SABAH"/>
        <s v="BEKÇİLİK BAYRAM 4.GÜNÜ AKŞAM"/>
        <s v="BEKÇİLİK BAYRAM 4.GÜNÜ SABAH"/>
        <s v="CUMA 2 SAAT"/>
        <s v="CUMA MESAİ 3 SAAT"/>
        <s v="CUMARTESİ 2 SAAT"/>
        <s v="ÇARŞAMBA 3 SAAT"/>
        <s v="HAFTA İÇİ 2 SAAT PAZARTESİ"/>
        <s v="HAFTA İÇİ 2 SAAT SALI"/>
        <s v="HAFTA İÇİ 2 SAAT SALI "/>
        <s v="PAZAR MESAİ"/>
        <s v="PERŞEMBE 3 SAAT"/>
        <s v="PERŞEMBE 4 SAAT"/>
        <s v="RESMİ TATİL"/>
        <s v="SALI MESAİ 3 SAAT"/>
        <m/>
      </sharedItems>
    </cacheField>
    <cacheField name="Bakiye" numFmtId="0">
      <sharedItems containsBlank="1" containsMixedTypes="1" containsNumber="1" containsInteger="1" minValue="-5000" maxValue="0" count="18">
        <n v="-5000"/>
        <n v="-4500"/>
        <n v="-2500"/>
        <n v="-2300"/>
        <n v="-1500"/>
        <n v="-1000"/>
        <n v="-920"/>
        <n v="-750"/>
        <n v="-690"/>
        <n v="-500"/>
        <n v="-460"/>
        <n v="-450"/>
        <n v="-400"/>
        <n v="-300"/>
        <n v="0"/>
        <e v="#N/A"/>
        <e v="#VALUE!"/>
        <m/>
      </sharedItems>
    </cacheField>
    <cacheField name="Per. Bakiye" numFmtId="0">
      <sharedItems containsString="0" containsBlank="1" containsNumber="1" containsInteger="1" minValue="0" maxValue="19740" count="16">
        <n v="0"/>
        <n v="2300"/>
        <n v="4750"/>
        <n v="5000"/>
        <n v="5060"/>
        <n v="5100"/>
        <n v="6250"/>
        <n v="7820"/>
        <n v="8550"/>
        <n v="9250"/>
        <n v="9300"/>
        <n v="13000"/>
        <n v="15030"/>
        <n v="17240"/>
        <n v="19740"/>
        <m/>
      </sharedItems>
    </cacheField>
    <cacheField name="YIL" numFmtId="0">
      <sharedItems containsBlank="1" count="3">
        <s v="1899"/>
        <s v="2025"/>
        <m/>
      </sharedItems>
    </cacheField>
    <cacheField name="ay" numFmtId="0">
      <sharedItems containsBlank="1" count="3">
        <s v="1899.aa"/>
        <s v="2025.aa"/>
        <m/>
      </sharedItems>
    </cacheField>
    <cacheField name="Gün" numFmtId="0">
      <sharedItems containsBlank="1" count="2">
        <s v="ADMS"/>
        <m/>
      </sharedItems>
    </cacheField>
    <cacheField name="grp" numFmtId="0">
      <sharedItems containsBlank="1" count="7">
        <s v="_BEKÇİ"/>
        <s v="_D.ELEMAN"/>
        <s v="_KANTAR"/>
        <s v="_OPERATÖR"/>
        <s v="_ŞOFÖR"/>
        <e v="#N/A"/>
        <m/>
      </sharedItems>
    </cacheField>
    <cacheField name="Eski_M.Tutar" numFmtId="0">
      <sharedItems containsString="0" containsBlank="1" count="1">
        <m/>
      </sharedItems>
    </cacheField>
    <cacheField name="Sütun1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7">
  <r>
    <x v="0"/>
    <x v="0"/>
    <x v="5"/>
    <x v="16"/>
    <x v="7"/>
    <x v="5"/>
    <x v="0"/>
    <x v="18"/>
    <x v="19"/>
    <x v="19"/>
    <x v="42"/>
    <x v="17"/>
    <x v="31"/>
    <x v="0"/>
  </r>
  <r>
    <x v="0"/>
    <x v="0"/>
    <x v="3"/>
    <x v="4"/>
    <x v="1"/>
    <x v="5"/>
    <x v="13"/>
    <x v="19"/>
    <x v="6"/>
    <x v="74"/>
    <x v="50"/>
    <x v="17"/>
    <x v="31"/>
    <x v="0"/>
  </r>
  <r>
    <x v="0"/>
    <x v="0"/>
    <x v="5"/>
    <x v="20"/>
    <x v="6"/>
    <x v="5"/>
    <x v="27"/>
    <x v="5"/>
    <x v="12"/>
    <x v="11"/>
    <x v="18"/>
    <x v="17"/>
    <x v="31"/>
    <x v="0"/>
  </r>
  <r>
    <x v="0"/>
    <x v="0"/>
    <x v="3"/>
    <x v="8"/>
    <x v="2"/>
    <x v="4"/>
    <x v="29"/>
    <x v="15"/>
    <x v="2"/>
    <x v="59"/>
    <x v="37"/>
    <x v="17"/>
    <x v="31"/>
    <x v="0"/>
  </r>
  <r>
    <x v="0"/>
    <x v="0"/>
    <x v="3"/>
    <x v="3"/>
    <x v="3"/>
    <x v="4"/>
    <x v="30"/>
    <x v="17"/>
    <x v="19"/>
    <x v="19"/>
    <x v="42"/>
    <x v="17"/>
    <x v="31"/>
    <x v="0"/>
  </r>
  <r>
    <x v="0"/>
    <x v="0"/>
    <x v="3"/>
    <x v="17"/>
    <x v="0"/>
    <x v="4"/>
    <x v="10"/>
    <x v="7"/>
    <x v="12"/>
    <x v="32"/>
    <x v="33"/>
    <x v="17"/>
    <x v="31"/>
    <x v="0"/>
  </r>
  <r>
    <x v="0"/>
    <x v="0"/>
    <x v="3"/>
    <x v="5"/>
    <x v="0"/>
    <x v="4"/>
    <x v="14"/>
    <x v="7"/>
    <x v="1"/>
    <x v="32"/>
    <x v="11"/>
    <x v="17"/>
    <x v="31"/>
    <x v="0"/>
  </r>
  <r>
    <x v="0"/>
    <x v="0"/>
    <x v="8"/>
    <x v="12"/>
    <x v="4"/>
    <x v="5"/>
    <x v="32"/>
    <x v="14"/>
    <x v="5"/>
    <x v="58"/>
    <x v="37"/>
    <x v="17"/>
    <x v="31"/>
    <x v="0"/>
  </r>
  <r>
    <x v="0"/>
    <x v="0"/>
    <x v="9"/>
    <x v="15"/>
    <x v="5"/>
    <x v="4"/>
    <x v="22"/>
    <x v="11"/>
    <x v="3"/>
    <x v="56"/>
    <x v="35"/>
    <x v="17"/>
    <x v="31"/>
    <x v="0"/>
  </r>
  <r>
    <x v="0"/>
    <x v="0"/>
    <x v="7"/>
    <x v="19"/>
    <x v="12"/>
    <x v="5"/>
    <x v="12"/>
    <x v="18"/>
    <x v="17"/>
    <x v="33"/>
    <x v="44"/>
    <x v="17"/>
    <x v="31"/>
    <x v="0"/>
  </r>
  <r>
    <x v="0"/>
    <x v="0"/>
    <x v="4"/>
    <x v="11"/>
    <x v="8"/>
    <x v="4"/>
    <x v="9"/>
    <x v="10"/>
    <x v="18"/>
    <x v="11"/>
    <x v="36"/>
    <x v="17"/>
    <x v="31"/>
    <x v="0"/>
  </r>
  <r>
    <x v="0"/>
    <x v="0"/>
    <x v="9"/>
    <x v="0"/>
    <x v="0"/>
    <x v="4"/>
    <x v="26"/>
    <x v="10"/>
    <x v="0"/>
    <x v="53"/>
    <x v="29"/>
    <x v="17"/>
    <x v="31"/>
    <x v="0"/>
  </r>
  <r>
    <x v="0"/>
    <x v="0"/>
    <x v="10"/>
    <x v="1"/>
    <x v="0"/>
    <x v="4"/>
    <x v="3"/>
    <x v="15"/>
    <x v="20"/>
    <x v="11"/>
    <x v="44"/>
    <x v="17"/>
    <x v="31"/>
    <x v="0"/>
  </r>
  <r>
    <x v="0"/>
    <x v="0"/>
    <x v="8"/>
    <x v="0"/>
    <x v="0"/>
    <x v="4"/>
    <x v="19"/>
    <x v="16"/>
    <x v="5"/>
    <x v="62"/>
    <x v="38"/>
    <x v="17"/>
    <x v="31"/>
    <x v="0"/>
  </r>
  <r>
    <x v="0"/>
    <x v="0"/>
    <x v="8"/>
    <x v="7"/>
    <x v="14"/>
    <x v="4"/>
    <x v="31"/>
    <x v="16"/>
    <x v="9"/>
    <x v="11"/>
    <x v="7"/>
    <x v="17"/>
    <x v="31"/>
    <x v="0"/>
  </r>
  <r>
    <x v="0"/>
    <x v="0"/>
    <x v="6"/>
    <x v="14"/>
    <x v="0"/>
    <x v="4"/>
    <x v="25"/>
    <x v="6"/>
    <x v="13"/>
    <x v="11"/>
    <x v="20"/>
    <x v="17"/>
    <x v="31"/>
    <x v="0"/>
  </r>
  <r>
    <x v="0"/>
    <x v="0"/>
    <x v="3"/>
    <x v="0"/>
    <x v="0"/>
    <x v="4"/>
    <x v="23"/>
    <x v="0"/>
    <x v="0"/>
    <x v="21"/>
    <x v="4"/>
    <x v="17"/>
    <x v="31"/>
    <x v="0"/>
  </r>
  <r>
    <x v="0"/>
    <x v="0"/>
    <x v="2"/>
    <x v="0"/>
    <x v="0"/>
    <x v="4"/>
    <x v="15"/>
    <x v="6"/>
    <x v="0"/>
    <x v="49"/>
    <x v="20"/>
    <x v="17"/>
    <x v="31"/>
    <x v="0"/>
  </r>
  <r>
    <x v="0"/>
    <x v="0"/>
    <x v="9"/>
    <x v="0"/>
    <x v="0"/>
    <x v="4"/>
    <x v="36"/>
    <x v="3"/>
    <x v="0"/>
    <x v="51"/>
    <x v="24"/>
    <x v="17"/>
    <x v="31"/>
    <x v="0"/>
  </r>
  <r>
    <x v="0"/>
    <x v="0"/>
    <x v="9"/>
    <x v="0"/>
    <x v="0"/>
    <x v="4"/>
    <x v="35"/>
    <x v="11"/>
    <x v="1"/>
    <x v="53"/>
    <x v="31"/>
    <x v="17"/>
    <x v="31"/>
    <x v="0"/>
  </r>
  <r>
    <x v="0"/>
    <x v="0"/>
    <x v="0"/>
    <x v="0"/>
    <x v="0"/>
    <x v="5"/>
    <x v="28"/>
    <x v="4"/>
    <x v="0"/>
    <x v="34"/>
    <x v="12"/>
    <x v="17"/>
    <x v="31"/>
    <x v="0"/>
  </r>
  <r>
    <x v="0"/>
    <x v="0"/>
    <x v="8"/>
    <x v="10"/>
    <x v="0"/>
    <x v="4"/>
    <x v="18"/>
    <x v="16"/>
    <x v="15"/>
    <x v="13"/>
    <x v="27"/>
    <x v="17"/>
    <x v="31"/>
    <x v="0"/>
  </r>
  <r>
    <x v="0"/>
    <x v="0"/>
    <x v="1"/>
    <x v="6"/>
    <x v="10"/>
    <x v="5"/>
    <x v="11"/>
    <x v="6"/>
    <x v="12"/>
    <x v="32"/>
    <x v="33"/>
    <x v="17"/>
    <x v="31"/>
    <x v="0"/>
  </r>
  <r>
    <x v="0"/>
    <x v="0"/>
    <x v="1"/>
    <x v="22"/>
    <x v="13"/>
    <x v="5"/>
    <x v="2"/>
    <x v="10"/>
    <x v="12"/>
    <x v="10"/>
    <x v="17"/>
    <x v="17"/>
    <x v="31"/>
    <x v="0"/>
  </r>
  <r>
    <x v="0"/>
    <x v="0"/>
    <x v="1"/>
    <x v="0"/>
    <x v="0"/>
    <x v="5"/>
    <x v="34"/>
    <x v="6"/>
    <x v="0"/>
    <x v="50"/>
    <x v="23"/>
    <x v="17"/>
    <x v="31"/>
    <x v="0"/>
  </r>
  <r>
    <x v="0"/>
    <x v="0"/>
    <x v="1"/>
    <x v="9"/>
    <x v="11"/>
    <x v="5"/>
    <x v="1"/>
    <x v="16"/>
    <x v="15"/>
    <x v="73"/>
    <x v="52"/>
    <x v="17"/>
    <x v="31"/>
    <x v="0"/>
  </r>
  <r>
    <x v="0"/>
    <x v="0"/>
    <x v="1"/>
    <x v="21"/>
    <x v="9"/>
    <x v="5"/>
    <x v="20"/>
    <x v="16"/>
    <x v="15"/>
    <x v="73"/>
    <x v="52"/>
    <x v="17"/>
    <x v="31"/>
    <x v="0"/>
  </r>
  <r>
    <x v="0"/>
    <x v="1"/>
    <x v="5"/>
    <x v="16"/>
    <x v="7"/>
    <x v="3"/>
    <x v="0"/>
    <x v="18"/>
    <x v="19"/>
    <x v="38"/>
    <x v="49"/>
    <x v="17"/>
    <x v="31"/>
    <x v="0"/>
  </r>
  <r>
    <x v="0"/>
    <x v="1"/>
    <x v="3"/>
    <x v="4"/>
    <x v="1"/>
    <x v="2"/>
    <x v="13"/>
    <x v="19"/>
    <x v="6"/>
    <x v="75"/>
    <x v="51"/>
    <x v="17"/>
    <x v="31"/>
    <x v="0"/>
  </r>
  <r>
    <x v="0"/>
    <x v="1"/>
    <x v="5"/>
    <x v="20"/>
    <x v="6"/>
    <x v="2"/>
    <x v="27"/>
    <x v="5"/>
    <x v="12"/>
    <x v="11"/>
    <x v="18"/>
    <x v="17"/>
    <x v="31"/>
    <x v="0"/>
  </r>
  <r>
    <x v="0"/>
    <x v="1"/>
    <x v="3"/>
    <x v="8"/>
    <x v="2"/>
    <x v="2"/>
    <x v="29"/>
    <x v="15"/>
    <x v="2"/>
    <x v="69"/>
    <x v="44"/>
    <x v="17"/>
    <x v="31"/>
    <x v="0"/>
  </r>
  <r>
    <x v="0"/>
    <x v="1"/>
    <x v="3"/>
    <x v="3"/>
    <x v="3"/>
    <x v="2"/>
    <x v="30"/>
    <x v="17"/>
    <x v="19"/>
    <x v="29"/>
    <x v="46"/>
    <x v="17"/>
    <x v="31"/>
    <x v="0"/>
  </r>
  <r>
    <x v="0"/>
    <x v="1"/>
    <x v="3"/>
    <x v="17"/>
    <x v="0"/>
    <x v="2"/>
    <x v="10"/>
    <x v="7"/>
    <x v="12"/>
    <x v="30"/>
    <x v="30"/>
    <x v="17"/>
    <x v="31"/>
    <x v="0"/>
  </r>
  <r>
    <x v="0"/>
    <x v="1"/>
    <x v="3"/>
    <x v="5"/>
    <x v="0"/>
    <x v="2"/>
    <x v="14"/>
    <x v="7"/>
    <x v="1"/>
    <x v="52"/>
    <x v="30"/>
    <x v="17"/>
    <x v="31"/>
    <x v="0"/>
  </r>
  <r>
    <x v="0"/>
    <x v="1"/>
    <x v="8"/>
    <x v="12"/>
    <x v="4"/>
    <x v="2"/>
    <x v="32"/>
    <x v="14"/>
    <x v="5"/>
    <x v="66"/>
    <x v="43"/>
    <x v="17"/>
    <x v="31"/>
    <x v="0"/>
  </r>
  <r>
    <x v="0"/>
    <x v="1"/>
    <x v="9"/>
    <x v="15"/>
    <x v="5"/>
    <x v="2"/>
    <x v="22"/>
    <x v="11"/>
    <x v="3"/>
    <x v="63"/>
    <x v="40"/>
    <x v="17"/>
    <x v="31"/>
    <x v="0"/>
  </r>
  <r>
    <x v="0"/>
    <x v="1"/>
    <x v="7"/>
    <x v="19"/>
    <x v="12"/>
    <x v="2"/>
    <x v="12"/>
    <x v="18"/>
    <x v="17"/>
    <x v="46"/>
    <x v="49"/>
    <x v="17"/>
    <x v="31"/>
    <x v="0"/>
  </r>
  <r>
    <x v="0"/>
    <x v="1"/>
    <x v="4"/>
    <x v="11"/>
    <x v="8"/>
    <x v="2"/>
    <x v="9"/>
    <x v="10"/>
    <x v="18"/>
    <x v="12"/>
    <x v="37"/>
    <x v="17"/>
    <x v="31"/>
    <x v="0"/>
  </r>
  <r>
    <x v="0"/>
    <x v="1"/>
    <x v="9"/>
    <x v="0"/>
    <x v="0"/>
    <x v="3"/>
    <x v="26"/>
    <x v="10"/>
    <x v="0"/>
    <x v="61"/>
    <x v="37"/>
    <x v="17"/>
    <x v="31"/>
    <x v="0"/>
  </r>
  <r>
    <x v="0"/>
    <x v="1"/>
    <x v="10"/>
    <x v="1"/>
    <x v="0"/>
    <x v="2"/>
    <x v="3"/>
    <x v="15"/>
    <x v="20"/>
    <x v="11"/>
    <x v="44"/>
    <x v="17"/>
    <x v="31"/>
    <x v="0"/>
  </r>
  <r>
    <x v="0"/>
    <x v="1"/>
    <x v="8"/>
    <x v="0"/>
    <x v="0"/>
    <x v="2"/>
    <x v="19"/>
    <x v="16"/>
    <x v="5"/>
    <x v="71"/>
    <x v="45"/>
    <x v="17"/>
    <x v="31"/>
    <x v="0"/>
  </r>
  <r>
    <x v="0"/>
    <x v="1"/>
    <x v="8"/>
    <x v="7"/>
    <x v="14"/>
    <x v="2"/>
    <x v="31"/>
    <x v="16"/>
    <x v="9"/>
    <x v="60"/>
    <x v="45"/>
    <x v="17"/>
    <x v="31"/>
    <x v="0"/>
  </r>
  <r>
    <x v="0"/>
    <x v="1"/>
    <x v="6"/>
    <x v="14"/>
    <x v="0"/>
    <x v="2"/>
    <x v="25"/>
    <x v="6"/>
    <x v="13"/>
    <x v="19"/>
    <x v="23"/>
    <x v="17"/>
    <x v="31"/>
    <x v="0"/>
  </r>
  <r>
    <x v="0"/>
    <x v="1"/>
    <x v="2"/>
    <x v="0"/>
    <x v="0"/>
    <x v="3"/>
    <x v="15"/>
    <x v="6"/>
    <x v="0"/>
    <x v="50"/>
    <x v="23"/>
    <x v="17"/>
    <x v="31"/>
    <x v="0"/>
  </r>
  <r>
    <x v="0"/>
    <x v="1"/>
    <x v="9"/>
    <x v="0"/>
    <x v="0"/>
    <x v="2"/>
    <x v="36"/>
    <x v="3"/>
    <x v="0"/>
    <x v="44"/>
    <x v="16"/>
    <x v="16"/>
    <x v="8"/>
    <x v="0"/>
  </r>
  <r>
    <x v="0"/>
    <x v="1"/>
    <x v="9"/>
    <x v="0"/>
    <x v="0"/>
    <x v="2"/>
    <x v="35"/>
    <x v="11"/>
    <x v="1"/>
    <x v="65"/>
    <x v="42"/>
    <x v="13"/>
    <x v="25"/>
    <x v="0"/>
  </r>
  <r>
    <x v="0"/>
    <x v="1"/>
    <x v="0"/>
    <x v="0"/>
    <x v="0"/>
    <x v="3"/>
    <x v="28"/>
    <x v="4"/>
    <x v="0"/>
    <x v="34"/>
    <x v="12"/>
    <x v="17"/>
    <x v="31"/>
    <x v="0"/>
  </r>
  <r>
    <x v="0"/>
    <x v="1"/>
    <x v="8"/>
    <x v="10"/>
    <x v="0"/>
    <x v="2"/>
    <x v="18"/>
    <x v="16"/>
    <x v="21"/>
    <x v="11"/>
    <x v="45"/>
    <x v="17"/>
    <x v="31"/>
    <x v="0"/>
  </r>
  <r>
    <x v="0"/>
    <x v="1"/>
    <x v="1"/>
    <x v="6"/>
    <x v="10"/>
    <x v="2"/>
    <x v="11"/>
    <x v="6"/>
    <x v="12"/>
    <x v="23"/>
    <x v="23"/>
    <x v="17"/>
    <x v="31"/>
    <x v="0"/>
  </r>
  <r>
    <x v="0"/>
    <x v="1"/>
    <x v="1"/>
    <x v="0"/>
    <x v="0"/>
    <x v="3"/>
    <x v="16"/>
    <x v="6"/>
    <x v="0"/>
    <x v="50"/>
    <x v="23"/>
    <x v="17"/>
    <x v="31"/>
    <x v="0"/>
  </r>
  <r>
    <x v="0"/>
    <x v="1"/>
    <x v="1"/>
    <x v="0"/>
    <x v="0"/>
    <x v="3"/>
    <x v="24"/>
    <x v="16"/>
    <x v="0"/>
    <x v="73"/>
    <x v="45"/>
    <x v="17"/>
    <x v="24"/>
    <x v="0"/>
  </r>
  <r>
    <x v="0"/>
    <x v="1"/>
    <x v="1"/>
    <x v="0"/>
    <x v="15"/>
    <x v="3"/>
    <x v="6"/>
    <x v="6"/>
    <x v="0"/>
    <x v="50"/>
    <x v="23"/>
    <x v="17"/>
    <x v="31"/>
    <x v="0"/>
  </r>
  <r>
    <x v="0"/>
    <x v="1"/>
    <x v="1"/>
    <x v="22"/>
    <x v="13"/>
    <x v="2"/>
    <x v="2"/>
    <x v="10"/>
    <x v="12"/>
    <x v="39"/>
    <x v="37"/>
    <x v="17"/>
    <x v="31"/>
    <x v="0"/>
  </r>
  <r>
    <x v="0"/>
    <x v="1"/>
    <x v="1"/>
    <x v="0"/>
    <x v="0"/>
    <x v="3"/>
    <x v="34"/>
    <x v="6"/>
    <x v="0"/>
    <x v="50"/>
    <x v="23"/>
    <x v="17"/>
    <x v="31"/>
    <x v="0"/>
  </r>
  <r>
    <x v="0"/>
    <x v="1"/>
    <x v="1"/>
    <x v="9"/>
    <x v="11"/>
    <x v="3"/>
    <x v="1"/>
    <x v="16"/>
    <x v="15"/>
    <x v="41"/>
    <x v="45"/>
    <x v="17"/>
    <x v="31"/>
    <x v="0"/>
  </r>
  <r>
    <x v="0"/>
    <x v="1"/>
    <x v="1"/>
    <x v="21"/>
    <x v="9"/>
    <x v="2"/>
    <x v="20"/>
    <x v="16"/>
    <x v="15"/>
    <x v="41"/>
    <x v="45"/>
    <x v="17"/>
    <x v="31"/>
    <x v="0"/>
  </r>
  <r>
    <x v="0"/>
    <x v="2"/>
    <x v="5"/>
    <x v="16"/>
    <x v="7"/>
    <x v="3"/>
    <x v="0"/>
    <x v="18"/>
    <x v="19"/>
    <x v="7"/>
    <x v="26"/>
    <x v="5"/>
    <x v="22"/>
    <x v="0"/>
  </r>
  <r>
    <x v="0"/>
    <x v="2"/>
    <x v="3"/>
    <x v="4"/>
    <x v="1"/>
    <x v="2"/>
    <x v="13"/>
    <x v="19"/>
    <x v="6"/>
    <x v="70"/>
    <x v="45"/>
    <x v="5"/>
    <x v="22"/>
    <x v="0"/>
  </r>
  <r>
    <x v="0"/>
    <x v="2"/>
    <x v="5"/>
    <x v="20"/>
    <x v="6"/>
    <x v="2"/>
    <x v="27"/>
    <x v="5"/>
    <x v="12"/>
    <x v="11"/>
    <x v="18"/>
    <x v="17"/>
    <x v="31"/>
    <x v="0"/>
  </r>
  <r>
    <x v="0"/>
    <x v="2"/>
    <x v="3"/>
    <x v="8"/>
    <x v="2"/>
    <x v="2"/>
    <x v="29"/>
    <x v="15"/>
    <x v="2"/>
    <x v="43"/>
    <x v="19"/>
    <x v="5"/>
    <x v="22"/>
    <x v="0"/>
  </r>
  <r>
    <x v="0"/>
    <x v="2"/>
    <x v="3"/>
    <x v="3"/>
    <x v="3"/>
    <x v="2"/>
    <x v="30"/>
    <x v="17"/>
    <x v="19"/>
    <x v="5"/>
    <x v="22"/>
    <x v="5"/>
    <x v="22"/>
    <x v="0"/>
  </r>
  <r>
    <x v="0"/>
    <x v="2"/>
    <x v="3"/>
    <x v="17"/>
    <x v="0"/>
    <x v="2"/>
    <x v="10"/>
    <x v="7"/>
    <x v="12"/>
    <x v="6"/>
    <x v="6"/>
    <x v="5"/>
    <x v="22"/>
    <x v="0"/>
  </r>
  <r>
    <x v="0"/>
    <x v="2"/>
    <x v="3"/>
    <x v="5"/>
    <x v="0"/>
    <x v="2"/>
    <x v="14"/>
    <x v="7"/>
    <x v="1"/>
    <x v="24"/>
    <x v="6"/>
    <x v="5"/>
    <x v="22"/>
    <x v="0"/>
  </r>
  <r>
    <x v="0"/>
    <x v="2"/>
    <x v="8"/>
    <x v="12"/>
    <x v="4"/>
    <x v="2"/>
    <x v="32"/>
    <x v="14"/>
    <x v="5"/>
    <x v="40"/>
    <x v="15"/>
    <x v="5"/>
    <x v="22"/>
    <x v="0"/>
  </r>
  <r>
    <x v="0"/>
    <x v="2"/>
    <x v="9"/>
    <x v="15"/>
    <x v="5"/>
    <x v="2"/>
    <x v="22"/>
    <x v="11"/>
    <x v="3"/>
    <x v="36"/>
    <x v="13"/>
    <x v="5"/>
    <x v="22"/>
    <x v="0"/>
  </r>
  <r>
    <x v="0"/>
    <x v="2"/>
    <x v="7"/>
    <x v="19"/>
    <x v="12"/>
    <x v="2"/>
    <x v="12"/>
    <x v="18"/>
    <x v="17"/>
    <x v="9"/>
    <x v="26"/>
    <x v="5"/>
    <x v="22"/>
    <x v="0"/>
  </r>
  <r>
    <x v="0"/>
    <x v="2"/>
    <x v="4"/>
    <x v="11"/>
    <x v="8"/>
    <x v="2"/>
    <x v="9"/>
    <x v="10"/>
    <x v="18"/>
    <x v="2"/>
    <x v="12"/>
    <x v="5"/>
    <x v="22"/>
    <x v="0"/>
  </r>
  <r>
    <x v="0"/>
    <x v="2"/>
    <x v="9"/>
    <x v="0"/>
    <x v="0"/>
    <x v="3"/>
    <x v="26"/>
    <x v="10"/>
    <x v="0"/>
    <x v="34"/>
    <x v="12"/>
    <x v="5"/>
    <x v="22"/>
    <x v="0"/>
  </r>
  <r>
    <x v="0"/>
    <x v="2"/>
    <x v="10"/>
    <x v="1"/>
    <x v="0"/>
    <x v="2"/>
    <x v="3"/>
    <x v="15"/>
    <x v="20"/>
    <x v="11"/>
    <x v="44"/>
    <x v="17"/>
    <x v="31"/>
    <x v="0"/>
  </r>
  <r>
    <x v="0"/>
    <x v="2"/>
    <x v="8"/>
    <x v="0"/>
    <x v="0"/>
    <x v="2"/>
    <x v="19"/>
    <x v="16"/>
    <x v="5"/>
    <x v="47"/>
    <x v="20"/>
    <x v="5"/>
    <x v="22"/>
    <x v="0"/>
  </r>
  <r>
    <x v="0"/>
    <x v="2"/>
    <x v="8"/>
    <x v="7"/>
    <x v="14"/>
    <x v="2"/>
    <x v="31"/>
    <x v="16"/>
    <x v="9"/>
    <x v="15"/>
    <x v="12"/>
    <x v="3"/>
    <x v="22"/>
    <x v="0"/>
  </r>
  <r>
    <x v="0"/>
    <x v="2"/>
    <x v="6"/>
    <x v="14"/>
    <x v="0"/>
    <x v="2"/>
    <x v="25"/>
    <x v="6"/>
    <x v="13"/>
    <x v="3"/>
    <x v="3"/>
    <x v="5"/>
    <x v="22"/>
    <x v="0"/>
  </r>
  <r>
    <x v="0"/>
    <x v="2"/>
    <x v="2"/>
    <x v="0"/>
    <x v="0"/>
    <x v="3"/>
    <x v="15"/>
    <x v="6"/>
    <x v="0"/>
    <x v="19"/>
    <x v="3"/>
    <x v="5"/>
    <x v="22"/>
    <x v="0"/>
  </r>
  <r>
    <x v="0"/>
    <x v="2"/>
    <x v="9"/>
    <x v="0"/>
    <x v="0"/>
    <x v="2"/>
    <x v="36"/>
    <x v="3"/>
    <x v="0"/>
    <x v="28"/>
    <x v="9"/>
    <x v="17"/>
    <x v="31"/>
    <x v="0"/>
  </r>
  <r>
    <x v="0"/>
    <x v="2"/>
    <x v="9"/>
    <x v="0"/>
    <x v="0"/>
    <x v="2"/>
    <x v="35"/>
    <x v="11"/>
    <x v="1"/>
    <x v="37"/>
    <x v="13"/>
    <x v="5"/>
    <x v="22"/>
    <x v="0"/>
  </r>
  <r>
    <x v="0"/>
    <x v="2"/>
    <x v="0"/>
    <x v="0"/>
    <x v="0"/>
    <x v="3"/>
    <x v="28"/>
    <x v="4"/>
    <x v="0"/>
    <x v="34"/>
    <x v="12"/>
    <x v="17"/>
    <x v="31"/>
    <x v="0"/>
  </r>
  <r>
    <x v="0"/>
    <x v="2"/>
    <x v="8"/>
    <x v="10"/>
    <x v="0"/>
    <x v="2"/>
    <x v="18"/>
    <x v="16"/>
    <x v="21"/>
    <x v="0"/>
    <x v="10"/>
    <x v="2"/>
    <x v="22"/>
    <x v="0"/>
  </r>
  <r>
    <x v="0"/>
    <x v="2"/>
    <x v="8"/>
    <x v="2"/>
    <x v="0"/>
    <x v="2"/>
    <x v="8"/>
    <x v="16"/>
    <x v="1"/>
    <x v="48"/>
    <x v="20"/>
    <x v="5"/>
    <x v="22"/>
    <x v="0"/>
  </r>
  <r>
    <x v="0"/>
    <x v="2"/>
    <x v="1"/>
    <x v="6"/>
    <x v="10"/>
    <x v="2"/>
    <x v="11"/>
    <x v="6"/>
    <x v="12"/>
    <x v="4"/>
    <x v="3"/>
    <x v="5"/>
    <x v="22"/>
    <x v="0"/>
  </r>
  <r>
    <x v="0"/>
    <x v="2"/>
    <x v="1"/>
    <x v="0"/>
    <x v="0"/>
    <x v="3"/>
    <x v="16"/>
    <x v="6"/>
    <x v="0"/>
    <x v="50"/>
    <x v="23"/>
    <x v="17"/>
    <x v="31"/>
    <x v="0"/>
  </r>
  <r>
    <x v="0"/>
    <x v="2"/>
    <x v="1"/>
    <x v="0"/>
    <x v="0"/>
    <x v="3"/>
    <x v="24"/>
    <x v="12"/>
    <x v="0"/>
    <x v="67"/>
    <x v="0"/>
    <x v="1"/>
    <x v="26"/>
    <x v="0"/>
  </r>
  <r>
    <x v="0"/>
    <x v="2"/>
    <x v="1"/>
    <x v="0"/>
    <x v="15"/>
    <x v="3"/>
    <x v="6"/>
    <x v="6"/>
    <x v="0"/>
    <x v="19"/>
    <x v="3"/>
    <x v="5"/>
    <x v="22"/>
    <x v="0"/>
  </r>
  <r>
    <x v="0"/>
    <x v="2"/>
    <x v="1"/>
    <x v="22"/>
    <x v="13"/>
    <x v="2"/>
    <x v="2"/>
    <x v="10"/>
    <x v="12"/>
    <x v="8"/>
    <x v="12"/>
    <x v="5"/>
    <x v="22"/>
    <x v="0"/>
  </r>
  <r>
    <x v="0"/>
    <x v="2"/>
    <x v="1"/>
    <x v="0"/>
    <x v="0"/>
    <x v="3"/>
    <x v="34"/>
    <x v="6"/>
    <x v="0"/>
    <x v="50"/>
    <x v="23"/>
    <x v="17"/>
    <x v="31"/>
    <x v="0"/>
  </r>
  <r>
    <x v="0"/>
    <x v="2"/>
    <x v="1"/>
    <x v="9"/>
    <x v="11"/>
    <x v="3"/>
    <x v="1"/>
    <x v="16"/>
    <x v="15"/>
    <x v="1"/>
    <x v="0"/>
    <x v="0"/>
    <x v="26"/>
    <x v="0"/>
  </r>
  <r>
    <x v="0"/>
    <x v="2"/>
    <x v="1"/>
    <x v="21"/>
    <x v="9"/>
    <x v="2"/>
    <x v="20"/>
    <x v="16"/>
    <x v="15"/>
    <x v="1"/>
    <x v="0"/>
    <x v="0"/>
    <x v="26"/>
    <x v="0"/>
  </r>
  <r>
    <x v="0"/>
    <x v="3"/>
    <x v="5"/>
    <x v="16"/>
    <x v="7"/>
    <x v="6"/>
    <x v="0"/>
    <x v="18"/>
    <x v="19"/>
    <x v="38"/>
    <x v="49"/>
    <x v="17"/>
    <x v="4"/>
    <x v="0"/>
  </r>
  <r>
    <x v="0"/>
    <x v="3"/>
    <x v="3"/>
    <x v="4"/>
    <x v="1"/>
    <x v="6"/>
    <x v="13"/>
    <x v="19"/>
    <x v="6"/>
    <x v="75"/>
    <x v="51"/>
    <x v="17"/>
    <x v="31"/>
    <x v="0"/>
  </r>
  <r>
    <x v="0"/>
    <x v="3"/>
    <x v="5"/>
    <x v="20"/>
    <x v="6"/>
    <x v="6"/>
    <x v="27"/>
    <x v="5"/>
    <x v="12"/>
    <x v="11"/>
    <x v="18"/>
    <x v="17"/>
    <x v="31"/>
    <x v="0"/>
  </r>
  <r>
    <x v="0"/>
    <x v="3"/>
    <x v="3"/>
    <x v="8"/>
    <x v="2"/>
    <x v="6"/>
    <x v="29"/>
    <x v="15"/>
    <x v="2"/>
    <x v="69"/>
    <x v="44"/>
    <x v="17"/>
    <x v="31"/>
    <x v="0"/>
  </r>
  <r>
    <x v="0"/>
    <x v="3"/>
    <x v="3"/>
    <x v="3"/>
    <x v="3"/>
    <x v="6"/>
    <x v="30"/>
    <x v="17"/>
    <x v="19"/>
    <x v="29"/>
    <x v="46"/>
    <x v="17"/>
    <x v="31"/>
    <x v="0"/>
  </r>
  <r>
    <x v="0"/>
    <x v="3"/>
    <x v="3"/>
    <x v="17"/>
    <x v="0"/>
    <x v="6"/>
    <x v="10"/>
    <x v="7"/>
    <x v="12"/>
    <x v="30"/>
    <x v="30"/>
    <x v="17"/>
    <x v="31"/>
    <x v="0"/>
  </r>
  <r>
    <x v="0"/>
    <x v="3"/>
    <x v="3"/>
    <x v="5"/>
    <x v="0"/>
    <x v="6"/>
    <x v="14"/>
    <x v="7"/>
    <x v="1"/>
    <x v="52"/>
    <x v="30"/>
    <x v="17"/>
    <x v="31"/>
    <x v="0"/>
  </r>
  <r>
    <x v="0"/>
    <x v="3"/>
    <x v="8"/>
    <x v="12"/>
    <x v="4"/>
    <x v="6"/>
    <x v="32"/>
    <x v="14"/>
    <x v="5"/>
    <x v="66"/>
    <x v="43"/>
    <x v="17"/>
    <x v="31"/>
    <x v="0"/>
  </r>
  <r>
    <x v="0"/>
    <x v="3"/>
    <x v="9"/>
    <x v="15"/>
    <x v="5"/>
    <x v="6"/>
    <x v="22"/>
    <x v="11"/>
    <x v="3"/>
    <x v="63"/>
    <x v="40"/>
    <x v="17"/>
    <x v="31"/>
    <x v="0"/>
  </r>
  <r>
    <x v="0"/>
    <x v="3"/>
    <x v="7"/>
    <x v="19"/>
    <x v="12"/>
    <x v="6"/>
    <x v="12"/>
    <x v="18"/>
    <x v="17"/>
    <x v="46"/>
    <x v="49"/>
    <x v="17"/>
    <x v="31"/>
    <x v="0"/>
  </r>
  <r>
    <x v="0"/>
    <x v="3"/>
    <x v="4"/>
    <x v="11"/>
    <x v="8"/>
    <x v="6"/>
    <x v="9"/>
    <x v="10"/>
    <x v="17"/>
    <x v="11"/>
    <x v="32"/>
    <x v="9"/>
    <x v="18"/>
    <x v="0"/>
  </r>
  <r>
    <x v="0"/>
    <x v="3"/>
    <x v="9"/>
    <x v="0"/>
    <x v="0"/>
    <x v="6"/>
    <x v="26"/>
    <x v="10"/>
    <x v="0"/>
    <x v="61"/>
    <x v="37"/>
    <x v="17"/>
    <x v="31"/>
    <x v="0"/>
  </r>
  <r>
    <x v="0"/>
    <x v="3"/>
    <x v="8"/>
    <x v="0"/>
    <x v="0"/>
    <x v="6"/>
    <x v="19"/>
    <x v="16"/>
    <x v="5"/>
    <x v="71"/>
    <x v="45"/>
    <x v="17"/>
    <x v="31"/>
    <x v="0"/>
  </r>
  <r>
    <x v="0"/>
    <x v="3"/>
    <x v="8"/>
    <x v="7"/>
    <x v="14"/>
    <x v="6"/>
    <x v="31"/>
    <x v="16"/>
    <x v="9"/>
    <x v="12"/>
    <x v="10"/>
    <x v="2"/>
    <x v="21"/>
    <x v="0"/>
  </r>
  <r>
    <x v="0"/>
    <x v="3"/>
    <x v="6"/>
    <x v="14"/>
    <x v="0"/>
    <x v="6"/>
    <x v="25"/>
    <x v="6"/>
    <x v="13"/>
    <x v="19"/>
    <x v="23"/>
    <x v="17"/>
    <x v="31"/>
    <x v="0"/>
  </r>
  <r>
    <x v="0"/>
    <x v="3"/>
    <x v="2"/>
    <x v="0"/>
    <x v="0"/>
    <x v="6"/>
    <x v="15"/>
    <x v="6"/>
    <x v="0"/>
    <x v="50"/>
    <x v="23"/>
    <x v="17"/>
    <x v="31"/>
    <x v="0"/>
  </r>
  <r>
    <x v="0"/>
    <x v="3"/>
    <x v="9"/>
    <x v="0"/>
    <x v="0"/>
    <x v="6"/>
    <x v="36"/>
    <x v="3"/>
    <x v="0"/>
    <x v="28"/>
    <x v="9"/>
    <x v="17"/>
    <x v="9"/>
    <x v="0"/>
  </r>
  <r>
    <x v="0"/>
    <x v="3"/>
    <x v="9"/>
    <x v="0"/>
    <x v="0"/>
    <x v="6"/>
    <x v="35"/>
    <x v="11"/>
    <x v="1"/>
    <x v="64"/>
    <x v="40"/>
    <x v="17"/>
    <x v="31"/>
    <x v="0"/>
  </r>
  <r>
    <x v="0"/>
    <x v="3"/>
    <x v="0"/>
    <x v="0"/>
    <x v="0"/>
    <x v="6"/>
    <x v="28"/>
    <x v="4"/>
    <x v="0"/>
    <x v="34"/>
    <x v="12"/>
    <x v="17"/>
    <x v="31"/>
    <x v="0"/>
  </r>
  <r>
    <x v="0"/>
    <x v="3"/>
    <x v="8"/>
    <x v="2"/>
    <x v="0"/>
    <x v="6"/>
    <x v="8"/>
    <x v="16"/>
    <x v="1"/>
    <x v="72"/>
    <x v="45"/>
    <x v="17"/>
    <x v="31"/>
    <x v="0"/>
  </r>
  <r>
    <x v="0"/>
    <x v="3"/>
    <x v="8"/>
    <x v="0"/>
    <x v="0"/>
    <x v="6"/>
    <x v="5"/>
    <x v="16"/>
    <x v="4"/>
    <x v="54"/>
    <x v="34"/>
    <x v="7"/>
    <x v="5"/>
    <x v="0"/>
  </r>
  <r>
    <x v="0"/>
    <x v="3"/>
    <x v="8"/>
    <x v="18"/>
    <x v="0"/>
    <x v="6"/>
    <x v="21"/>
    <x v="16"/>
    <x v="9"/>
    <x v="15"/>
    <x v="12"/>
    <x v="3"/>
    <x v="12"/>
    <x v="0"/>
  </r>
  <r>
    <x v="0"/>
    <x v="3"/>
    <x v="1"/>
    <x v="6"/>
    <x v="10"/>
    <x v="6"/>
    <x v="11"/>
    <x v="6"/>
    <x v="12"/>
    <x v="25"/>
    <x v="25"/>
    <x v="12"/>
    <x v="28"/>
    <x v="0"/>
  </r>
  <r>
    <x v="0"/>
    <x v="3"/>
    <x v="1"/>
    <x v="0"/>
    <x v="0"/>
    <x v="6"/>
    <x v="24"/>
    <x v="12"/>
    <x v="0"/>
    <x v="67"/>
    <x v="41"/>
    <x v="17"/>
    <x v="31"/>
    <x v="0"/>
  </r>
  <r>
    <x v="0"/>
    <x v="3"/>
    <x v="1"/>
    <x v="0"/>
    <x v="15"/>
    <x v="6"/>
    <x v="6"/>
    <x v="6"/>
    <x v="0"/>
    <x v="50"/>
    <x v="23"/>
    <x v="17"/>
    <x v="26"/>
    <x v="0"/>
  </r>
  <r>
    <x v="0"/>
    <x v="3"/>
    <x v="1"/>
    <x v="22"/>
    <x v="13"/>
    <x v="6"/>
    <x v="2"/>
    <x v="10"/>
    <x v="12"/>
    <x v="39"/>
    <x v="37"/>
    <x v="17"/>
    <x v="31"/>
    <x v="0"/>
  </r>
  <r>
    <x v="0"/>
    <x v="3"/>
    <x v="1"/>
    <x v="0"/>
    <x v="0"/>
    <x v="6"/>
    <x v="34"/>
    <x v="6"/>
    <x v="0"/>
    <x v="50"/>
    <x v="23"/>
    <x v="17"/>
    <x v="26"/>
    <x v="0"/>
  </r>
  <r>
    <x v="0"/>
    <x v="3"/>
    <x v="1"/>
    <x v="9"/>
    <x v="11"/>
    <x v="6"/>
    <x v="1"/>
    <x v="16"/>
    <x v="15"/>
    <x v="41"/>
    <x v="45"/>
    <x v="17"/>
    <x v="26"/>
    <x v="0"/>
  </r>
  <r>
    <x v="0"/>
    <x v="3"/>
    <x v="1"/>
    <x v="21"/>
    <x v="9"/>
    <x v="6"/>
    <x v="20"/>
    <x v="16"/>
    <x v="15"/>
    <x v="41"/>
    <x v="45"/>
    <x v="17"/>
    <x v="31"/>
    <x v="0"/>
  </r>
  <r>
    <x v="0"/>
    <x v="4"/>
    <x v="5"/>
    <x v="16"/>
    <x v="7"/>
    <x v="6"/>
    <x v="0"/>
    <x v="18"/>
    <x v="19"/>
    <x v="38"/>
    <x v="49"/>
    <x v="17"/>
    <x v="4"/>
    <x v="0"/>
  </r>
  <r>
    <x v="0"/>
    <x v="4"/>
    <x v="3"/>
    <x v="4"/>
    <x v="1"/>
    <x v="6"/>
    <x v="13"/>
    <x v="19"/>
    <x v="6"/>
    <x v="75"/>
    <x v="51"/>
    <x v="17"/>
    <x v="31"/>
    <x v="0"/>
  </r>
  <r>
    <x v="0"/>
    <x v="4"/>
    <x v="5"/>
    <x v="20"/>
    <x v="6"/>
    <x v="6"/>
    <x v="27"/>
    <x v="5"/>
    <x v="12"/>
    <x v="11"/>
    <x v="18"/>
    <x v="17"/>
    <x v="31"/>
    <x v="0"/>
  </r>
  <r>
    <x v="0"/>
    <x v="4"/>
    <x v="3"/>
    <x v="8"/>
    <x v="2"/>
    <x v="6"/>
    <x v="29"/>
    <x v="15"/>
    <x v="2"/>
    <x v="69"/>
    <x v="44"/>
    <x v="17"/>
    <x v="31"/>
    <x v="0"/>
  </r>
  <r>
    <x v="0"/>
    <x v="4"/>
    <x v="3"/>
    <x v="3"/>
    <x v="3"/>
    <x v="6"/>
    <x v="30"/>
    <x v="17"/>
    <x v="19"/>
    <x v="29"/>
    <x v="46"/>
    <x v="17"/>
    <x v="31"/>
    <x v="0"/>
  </r>
  <r>
    <x v="0"/>
    <x v="4"/>
    <x v="3"/>
    <x v="17"/>
    <x v="0"/>
    <x v="6"/>
    <x v="10"/>
    <x v="7"/>
    <x v="12"/>
    <x v="30"/>
    <x v="30"/>
    <x v="17"/>
    <x v="31"/>
    <x v="0"/>
  </r>
  <r>
    <x v="0"/>
    <x v="4"/>
    <x v="3"/>
    <x v="5"/>
    <x v="0"/>
    <x v="6"/>
    <x v="14"/>
    <x v="7"/>
    <x v="1"/>
    <x v="52"/>
    <x v="30"/>
    <x v="17"/>
    <x v="31"/>
    <x v="0"/>
  </r>
  <r>
    <x v="0"/>
    <x v="4"/>
    <x v="8"/>
    <x v="12"/>
    <x v="4"/>
    <x v="6"/>
    <x v="32"/>
    <x v="14"/>
    <x v="5"/>
    <x v="66"/>
    <x v="43"/>
    <x v="17"/>
    <x v="31"/>
    <x v="0"/>
  </r>
  <r>
    <x v="0"/>
    <x v="4"/>
    <x v="9"/>
    <x v="15"/>
    <x v="5"/>
    <x v="6"/>
    <x v="22"/>
    <x v="11"/>
    <x v="3"/>
    <x v="63"/>
    <x v="40"/>
    <x v="17"/>
    <x v="20"/>
    <x v="0"/>
  </r>
  <r>
    <x v="0"/>
    <x v="4"/>
    <x v="7"/>
    <x v="19"/>
    <x v="12"/>
    <x v="6"/>
    <x v="12"/>
    <x v="18"/>
    <x v="17"/>
    <x v="46"/>
    <x v="49"/>
    <x v="17"/>
    <x v="10"/>
    <x v="0"/>
  </r>
  <r>
    <x v="0"/>
    <x v="4"/>
    <x v="4"/>
    <x v="11"/>
    <x v="8"/>
    <x v="6"/>
    <x v="9"/>
    <x v="10"/>
    <x v="15"/>
    <x v="26"/>
    <x v="37"/>
    <x v="17"/>
    <x v="31"/>
    <x v="0"/>
  </r>
  <r>
    <x v="0"/>
    <x v="4"/>
    <x v="9"/>
    <x v="0"/>
    <x v="0"/>
    <x v="6"/>
    <x v="26"/>
    <x v="10"/>
    <x v="0"/>
    <x v="61"/>
    <x v="37"/>
    <x v="17"/>
    <x v="31"/>
    <x v="0"/>
  </r>
  <r>
    <x v="0"/>
    <x v="4"/>
    <x v="8"/>
    <x v="0"/>
    <x v="0"/>
    <x v="6"/>
    <x v="19"/>
    <x v="16"/>
    <x v="5"/>
    <x v="71"/>
    <x v="45"/>
    <x v="17"/>
    <x v="31"/>
    <x v="0"/>
  </r>
  <r>
    <x v="0"/>
    <x v="4"/>
    <x v="6"/>
    <x v="14"/>
    <x v="0"/>
    <x v="6"/>
    <x v="25"/>
    <x v="6"/>
    <x v="13"/>
    <x v="19"/>
    <x v="23"/>
    <x v="17"/>
    <x v="31"/>
    <x v="0"/>
  </r>
  <r>
    <x v="0"/>
    <x v="4"/>
    <x v="2"/>
    <x v="0"/>
    <x v="0"/>
    <x v="6"/>
    <x v="15"/>
    <x v="6"/>
    <x v="0"/>
    <x v="50"/>
    <x v="23"/>
    <x v="17"/>
    <x v="31"/>
    <x v="0"/>
  </r>
  <r>
    <x v="0"/>
    <x v="4"/>
    <x v="9"/>
    <x v="0"/>
    <x v="0"/>
    <x v="6"/>
    <x v="36"/>
    <x v="10"/>
    <x v="0"/>
    <x v="61"/>
    <x v="37"/>
    <x v="17"/>
    <x v="31"/>
    <x v="0"/>
  </r>
  <r>
    <x v="0"/>
    <x v="4"/>
    <x v="9"/>
    <x v="0"/>
    <x v="0"/>
    <x v="6"/>
    <x v="35"/>
    <x v="11"/>
    <x v="1"/>
    <x v="64"/>
    <x v="40"/>
    <x v="17"/>
    <x v="31"/>
    <x v="0"/>
  </r>
  <r>
    <x v="0"/>
    <x v="4"/>
    <x v="1"/>
    <x v="0"/>
    <x v="0"/>
    <x v="6"/>
    <x v="17"/>
    <x v="6"/>
    <x v="0"/>
    <x v="50"/>
    <x v="23"/>
    <x v="17"/>
    <x v="27"/>
    <x v="0"/>
  </r>
  <r>
    <x v="0"/>
    <x v="4"/>
    <x v="8"/>
    <x v="2"/>
    <x v="0"/>
    <x v="6"/>
    <x v="8"/>
    <x v="16"/>
    <x v="1"/>
    <x v="72"/>
    <x v="45"/>
    <x v="17"/>
    <x v="31"/>
    <x v="0"/>
  </r>
  <r>
    <x v="0"/>
    <x v="4"/>
    <x v="8"/>
    <x v="0"/>
    <x v="0"/>
    <x v="6"/>
    <x v="5"/>
    <x v="16"/>
    <x v="5"/>
    <x v="71"/>
    <x v="45"/>
    <x v="17"/>
    <x v="31"/>
    <x v="0"/>
  </r>
  <r>
    <x v="0"/>
    <x v="4"/>
    <x v="8"/>
    <x v="18"/>
    <x v="0"/>
    <x v="6"/>
    <x v="21"/>
    <x v="16"/>
    <x v="14"/>
    <x v="45"/>
    <x v="45"/>
    <x v="17"/>
    <x v="31"/>
    <x v="0"/>
  </r>
  <r>
    <x v="0"/>
    <x v="4"/>
    <x v="5"/>
    <x v="13"/>
    <x v="0"/>
    <x v="6"/>
    <x v="4"/>
    <x v="8"/>
    <x v="0"/>
    <x v="55"/>
    <x v="32"/>
    <x v="17"/>
    <x v="31"/>
    <x v="0"/>
  </r>
  <r>
    <x v="0"/>
    <x v="4"/>
    <x v="10"/>
    <x v="1"/>
    <x v="0"/>
    <x v="6"/>
    <x v="3"/>
    <x v="4"/>
    <x v="10"/>
    <x v="11"/>
    <x v="12"/>
    <x v="17"/>
    <x v="1"/>
    <x v="0"/>
  </r>
  <r>
    <x v="0"/>
    <x v="4"/>
    <x v="1"/>
    <x v="6"/>
    <x v="10"/>
    <x v="6"/>
    <x v="11"/>
    <x v="6"/>
    <x v="12"/>
    <x v="17"/>
    <x v="21"/>
    <x v="10"/>
    <x v="0"/>
    <x v="0"/>
  </r>
  <r>
    <x v="0"/>
    <x v="4"/>
    <x v="1"/>
    <x v="0"/>
    <x v="15"/>
    <x v="6"/>
    <x v="6"/>
    <x v="6"/>
    <x v="0"/>
    <x v="50"/>
    <x v="23"/>
    <x v="17"/>
    <x v="31"/>
    <x v="0"/>
  </r>
  <r>
    <x v="0"/>
    <x v="4"/>
    <x v="1"/>
    <x v="22"/>
    <x v="13"/>
    <x v="6"/>
    <x v="2"/>
    <x v="10"/>
    <x v="12"/>
    <x v="39"/>
    <x v="37"/>
    <x v="17"/>
    <x v="31"/>
    <x v="0"/>
  </r>
  <r>
    <x v="0"/>
    <x v="4"/>
    <x v="1"/>
    <x v="0"/>
    <x v="0"/>
    <x v="6"/>
    <x v="34"/>
    <x v="6"/>
    <x v="0"/>
    <x v="50"/>
    <x v="23"/>
    <x v="17"/>
    <x v="31"/>
    <x v="0"/>
  </r>
  <r>
    <x v="0"/>
    <x v="4"/>
    <x v="1"/>
    <x v="9"/>
    <x v="11"/>
    <x v="6"/>
    <x v="1"/>
    <x v="16"/>
    <x v="15"/>
    <x v="41"/>
    <x v="45"/>
    <x v="17"/>
    <x v="31"/>
    <x v="0"/>
  </r>
  <r>
    <x v="0"/>
    <x v="4"/>
    <x v="1"/>
    <x v="21"/>
    <x v="9"/>
    <x v="6"/>
    <x v="20"/>
    <x v="16"/>
    <x v="15"/>
    <x v="41"/>
    <x v="45"/>
    <x v="17"/>
    <x v="31"/>
    <x v="0"/>
  </r>
  <r>
    <x v="0"/>
    <x v="5"/>
    <x v="5"/>
    <x v="16"/>
    <x v="7"/>
    <x v="1"/>
    <x v="0"/>
    <x v="18"/>
    <x v="19"/>
    <x v="38"/>
    <x v="49"/>
    <x v="17"/>
    <x v="31"/>
    <x v="0"/>
  </r>
  <r>
    <x v="0"/>
    <x v="5"/>
    <x v="3"/>
    <x v="4"/>
    <x v="1"/>
    <x v="0"/>
    <x v="13"/>
    <x v="19"/>
    <x v="6"/>
    <x v="75"/>
    <x v="51"/>
    <x v="17"/>
    <x v="31"/>
    <x v="0"/>
  </r>
  <r>
    <x v="0"/>
    <x v="5"/>
    <x v="5"/>
    <x v="20"/>
    <x v="6"/>
    <x v="1"/>
    <x v="27"/>
    <x v="5"/>
    <x v="12"/>
    <x v="11"/>
    <x v="18"/>
    <x v="17"/>
    <x v="31"/>
    <x v="0"/>
  </r>
  <r>
    <x v="0"/>
    <x v="5"/>
    <x v="3"/>
    <x v="8"/>
    <x v="2"/>
    <x v="1"/>
    <x v="29"/>
    <x v="15"/>
    <x v="2"/>
    <x v="69"/>
    <x v="44"/>
    <x v="17"/>
    <x v="31"/>
    <x v="0"/>
  </r>
  <r>
    <x v="0"/>
    <x v="5"/>
    <x v="3"/>
    <x v="3"/>
    <x v="3"/>
    <x v="1"/>
    <x v="30"/>
    <x v="17"/>
    <x v="19"/>
    <x v="29"/>
    <x v="46"/>
    <x v="17"/>
    <x v="31"/>
    <x v="0"/>
  </r>
  <r>
    <x v="0"/>
    <x v="5"/>
    <x v="3"/>
    <x v="17"/>
    <x v="0"/>
    <x v="1"/>
    <x v="10"/>
    <x v="7"/>
    <x v="12"/>
    <x v="30"/>
    <x v="30"/>
    <x v="17"/>
    <x v="31"/>
    <x v="0"/>
  </r>
  <r>
    <x v="0"/>
    <x v="5"/>
    <x v="3"/>
    <x v="5"/>
    <x v="0"/>
    <x v="1"/>
    <x v="14"/>
    <x v="7"/>
    <x v="1"/>
    <x v="52"/>
    <x v="30"/>
    <x v="17"/>
    <x v="31"/>
    <x v="0"/>
  </r>
  <r>
    <x v="0"/>
    <x v="5"/>
    <x v="8"/>
    <x v="12"/>
    <x v="4"/>
    <x v="1"/>
    <x v="32"/>
    <x v="14"/>
    <x v="5"/>
    <x v="66"/>
    <x v="43"/>
    <x v="17"/>
    <x v="31"/>
    <x v="0"/>
  </r>
  <r>
    <x v="0"/>
    <x v="5"/>
    <x v="9"/>
    <x v="15"/>
    <x v="5"/>
    <x v="1"/>
    <x v="22"/>
    <x v="11"/>
    <x v="3"/>
    <x v="63"/>
    <x v="40"/>
    <x v="17"/>
    <x v="31"/>
    <x v="0"/>
  </r>
  <r>
    <x v="0"/>
    <x v="5"/>
    <x v="7"/>
    <x v="19"/>
    <x v="12"/>
    <x v="1"/>
    <x v="12"/>
    <x v="18"/>
    <x v="17"/>
    <x v="46"/>
    <x v="49"/>
    <x v="17"/>
    <x v="31"/>
    <x v="0"/>
  </r>
  <r>
    <x v="0"/>
    <x v="5"/>
    <x v="4"/>
    <x v="11"/>
    <x v="8"/>
    <x v="1"/>
    <x v="9"/>
    <x v="10"/>
    <x v="16"/>
    <x v="22"/>
    <x v="37"/>
    <x v="17"/>
    <x v="31"/>
    <x v="0"/>
  </r>
  <r>
    <x v="0"/>
    <x v="5"/>
    <x v="9"/>
    <x v="0"/>
    <x v="0"/>
    <x v="1"/>
    <x v="26"/>
    <x v="10"/>
    <x v="0"/>
    <x v="61"/>
    <x v="37"/>
    <x v="17"/>
    <x v="31"/>
    <x v="0"/>
  </r>
  <r>
    <x v="0"/>
    <x v="5"/>
    <x v="8"/>
    <x v="0"/>
    <x v="0"/>
    <x v="1"/>
    <x v="19"/>
    <x v="16"/>
    <x v="5"/>
    <x v="71"/>
    <x v="45"/>
    <x v="17"/>
    <x v="31"/>
    <x v="0"/>
  </r>
  <r>
    <x v="0"/>
    <x v="5"/>
    <x v="6"/>
    <x v="14"/>
    <x v="0"/>
    <x v="1"/>
    <x v="25"/>
    <x v="6"/>
    <x v="13"/>
    <x v="19"/>
    <x v="23"/>
    <x v="17"/>
    <x v="31"/>
    <x v="0"/>
  </r>
  <r>
    <x v="0"/>
    <x v="5"/>
    <x v="2"/>
    <x v="0"/>
    <x v="0"/>
    <x v="1"/>
    <x v="15"/>
    <x v="6"/>
    <x v="0"/>
    <x v="50"/>
    <x v="23"/>
    <x v="17"/>
    <x v="31"/>
    <x v="0"/>
  </r>
  <r>
    <x v="0"/>
    <x v="5"/>
    <x v="9"/>
    <x v="0"/>
    <x v="0"/>
    <x v="1"/>
    <x v="35"/>
    <x v="11"/>
    <x v="1"/>
    <x v="64"/>
    <x v="40"/>
    <x v="17"/>
    <x v="31"/>
    <x v="0"/>
  </r>
  <r>
    <x v="0"/>
    <x v="5"/>
    <x v="8"/>
    <x v="2"/>
    <x v="0"/>
    <x v="1"/>
    <x v="8"/>
    <x v="16"/>
    <x v="1"/>
    <x v="72"/>
    <x v="45"/>
    <x v="17"/>
    <x v="31"/>
    <x v="0"/>
  </r>
  <r>
    <x v="0"/>
    <x v="5"/>
    <x v="8"/>
    <x v="0"/>
    <x v="0"/>
    <x v="1"/>
    <x v="5"/>
    <x v="16"/>
    <x v="5"/>
    <x v="71"/>
    <x v="45"/>
    <x v="17"/>
    <x v="31"/>
    <x v="0"/>
  </r>
  <r>
    <x v="0"/>
    <x v="5"/>
    <x v="8"/>
    <x v="18"/>
    <x v="0"/>
    <x v="1"/>
    <x v="21"/>
    <x v="16"/>
    <x v="14"/>
    <x v="45"/>
    <x v="45"/>
    <x v="17"/>
    <x v="31"/>
    <x v="0"/>
  </r>
  <r>
    <x v="0"/>
    <x v="5"/>
    <x v="5"/>
    <x v="13"/>
    <x v="0"/>
    <x v="1"/>
    <x v="4"/>
    <x v="8"/>
    <x v="0"/>
    <x v="50"/>
    <x v="23"/>
    <x v="9"/>
    <x v="22"/>
    <x v="0"/>
  </r>
  <r>
    <x v="0"/>
    <x v="5"/>
    <x v="1"/>
    <x v="6"/>
    <x v="10"/>
    <x v="0"/>
    <x v="11"/>
    <x v="6"/>
    <x v="12"/>
    <x v="23"/>
    <x v="23"/>
    <x v="17"/>
    <x v="31"/>
    <x v="0"/>
  </r>
  <r>
    <x v="0"/>
    <x v="5"/>
    <x v="1"/>
    <x v="0"/>
    <x v="15"/>
    <x v="0"/>
    <x v="6"/>
    <x v="0"/>
    <x v="0"/>
    <x v="11"/>
    <x v="0"/>
    <x v="17"/>
    <x v="31"/>
    <x v="0"/>
  </r>
  <r>
    <x v="0"/>
    <x v="5"/>
    <x v="1"/>
    <x v="22"/>
    <x v="13"/>
    <x v="0"/>
    <x v="2"/>
    <x v="10"/>
    <x v="12"/>
    <x v="39"/>
    <x v="37"/>
    <x v="17"/>
    <x v="31"/>
    <x v="0"/>
  </r>
  <r>
    <x v="0"/>
    <x v="5"/>
    <x v="1"/>
    <x v="0"/>
    <x v="0"/>
    <x v="0"/>
    <x v="34"/>
    <x v="4"/>
    <x v="0"/>
    <x v="34"/>
    <x v="12"/>
    <x v="17"/>
    <x v="31"/>
    <x v="0"/>
  </r>
  <r>
    <x v="0"/>
    <x v="5"/>
    <x v="1"/>
    <x v="9"/>
    <x v="11"/>
    <x v="0"/>
    <x v="1"/>
    <x v="16"/>
    <x v="15"/>
    <x v="41"/>
    <x v="45"/>
    <x v="17"/>
    <x v="31"/>
    <x v="0"/>
  </r>
  <r>
    <x v="0"/>
    <x v="5"/>
    <x v="1"/>
    <x v="21"/>
    <x v="9"/>
    <x v="0"/>
    <x v="20"/>
    <x v="16"/>
    <x v="15"/>
    <x v="41"/>
    <x v="45"/>
    <x v="17"/>
    <x v="31"/>
    <x v="0"/>
  </r>
  <r>
    <x v="0"/>
    <x v="6"/>
    <x v="5"/>
    <x v="16"/>
    <x v="7"/>
    <x v="1"/>
    <x v="0"/>
    <x v="18"/>
    <x v="19"/>
    <x v="35"/>
    <x v="48"/>
    <x v="11"/>
    <x v="22"/>
    <x v="0"/>
  </r>
  <r>
    <x v="0"/>
    <x v="6"/>
    <x v="3"/>
    <x v="4"/>
    <x v="1"/>
    <x v="0"/>
    <x v="13"/>
    <x v="19"/>
    <x v="6"/>
    <x v="75"/>
    <x v="51"/>
    <x v="17"/>
    <x v="3"/>
    <x v="0"/>
  </r>
  <r>
    <x v="0"/>
    <x v="6"/>
    <x v="5"/>
    <x v="20"/>
    <x v="6"/>
    <x v="1"/>
    <x v="27"/>
    <x v="5"/>
    <x v="12"/>
    <x v="11"/>
    <x v="18"/>
    <x v="17"/>
    <x v="31"/>
    <x v="0"/>
  </r>
  <r>
    <x v="0"/>
    <x v="6"/>
    <x v="3"/>
    <x v="8"/>
    <x v="2"/>
    <x v="1"/>
    <x v="29"/>
    <x v="15"/>
    <x v="2"/>
    <x v="69"/>
    <x v="44"/>
    <x v="17"/>
    <x v="31"/>
    <x v="0"/>
  </r>
  <r>
    <x v="0"/>
    <x v="6"/>
    <x v="3"/>
    <x v="3"/>
    <x v="3"/>
    <x v="1"/>
    <x v="30"/>
    <x v="17"/>
    <x v="19"/>
    <x v="29"/>
    <x v="46"/>
    <x v="17"/>
    <x v="31"/>
    <x v="0"/>
  </r>
  <r>
    <x v="0"/>
    <x v="6"/>
    <x v="3"/>
    <x v="17"/>
    <x v="0"/>
    <x v="1"/>
    <x v="10"/>
    <x v="7"/>
    <x v="7"/>
    <x v="11"/>
    <x v="1"/>
    <x v="4"/>
    <x v="14"/>
    <x v="0"/>
  </r>
  <r>
    <x v="0"/>
    <x v="6"/>
    <x v="3"/>
    <x v="5"/>
    <x v="0"/>
    <x v="1"/>
    <x v="14"/>
    <x v="9"/>
    <x v="1"/>
    <x v="57"/>
    <x v="36"/>
    <x v="17"/>
    <x v="29"/>
    <x v="0"/>
  </r>
  <r>
    <x v="0"/>
    <x v="6"/>
    <x v="8"/>
    <x v="12"/>
    <x v="4"/>
    <x v="1"/>
    <x v="32"/>
    <x v="14"/>
    <x v="5"/>
    <x v="66"/>
    <x v="43"/>
    <x v="17"/>
    <x v="31"/>
    <x v="0"/>
  </r>
  <r>
    <x v="0"/>
    <x v="6"/>
    <x v="9"/>
    <x v="15"/>
    <x v="5"/>
    <x v="1"/>
    <x v="22"/>
    <x v="11"/>
    <x v="3"/>
    <x v="63"/>
    <x v="40"/>
    <x v="17"/>
    <x v="31"/>
    <x v="0"/>
  </r>
  <r>
    <x v="0"/>
    <x v="6"/>
    <x v="7"/>
    <x v="19"/>
    <x v="12"/>
    <x v="1"/>
    <x v="12"/>
    <x v="18"/>
    <x v="17"/>
    <x v="46"/>
    <x v="49"/>
    <x v="17"/>
    <x v="31"/>
    <x v="0"/>
  </r>
  <r>
    <x v="0"/>
    <x v="6"/>
    <x v="4"/>
    <x v="11"/>
    <x v="8"/>
    <x v="1"/>
    <x v="9"/>
    <x v="10"/>
    <x v="16"/>
    <x v="22"/>
    <x v="37"/>
    <x v="17"/>
    <x v="31"/>
    <x v="0"/>
  </r>
  <r>
    <x v="0"/>
    <x v="6"/>
    <x v="9"/>
    <x v="0"/>
    <x v="0"/>
    <x v="1"/>
    <x v="26"/>
    <x v="10"/>
    <x v="0"/>
    <x v="61"/>
    <x v="37"/>
    <x v="17"/>
    <x v="31"/>
    <x v="0"/>
  </r>
  <r>
    <x v="0"/>
    <x v="6"/>
    <x v="8"/>
    <x v="0"/>
    <x v="0"/>
    <x v="1"/>
    <x v="19"/>
    <x v="16"/>
    <x v="5"/>
    <x v="71"/>
    <x v="45"/>
    <x v="17"/>
    <x v="31"/>
    <x v="0"/>
  </r>
  <r>
    <x v="0"/>
    <x v="6"/>
    <x v="8"/>
    <x v="0"/>
    <x v="0"/>
    <x v="1"/>
    <x v="7"/>
    <x v="2"/>
    <x v="8"/>
    <x v="18"/>
    <x v="8"/>
    <x v="17"/>
    <x v="7"/>
    <x v="0"/>
  </r>
  <r>
    <x v="0"/>
    <x v="6"/>
    <x v="8"/>
    <x v="0"/>
    <x v="0"/>
    <x v="1"/>
    <x v="33"/>
    <x v="1"/>
    <x v="0"/>
    <x v="20"/>
    <x v="5"/>
    <x v="17"/>
    <x v="15"/>
    <x v="0"/>
  </r>
  <r>
    <x v="0"/>
    <x v="6"/>
    <x v="1"/>
    <x v="0"/>
    <x v="0"/>
    <x v="1"/>
    <x v="17"/>
    <x v="6"/>
    <x v="0"/>
    <x v="50"/>
    <x v="23"/>
    <x v="17"/>
    <x v="27"/>
    <x v="0"/>
  </r>
  <r>
    <x v="0"/>
    <x v="6"/>
    <x v="6"/>
    <x v="14"/>
    <x v="0"/>
    <x v="1"/>
    <x v="25"/>
    <x v="6"/>
    <x v="11"/>
    <x v="11"/>
    <x v="14"/>
    <x v="8"/>
    <x v="22"/>
    <x v="0"/>
  </r>
  <r>
    <x v="0"/>
    <x v="6"/>
    <x v="2"/>
    <x v="0"/>
    <x v="0"/>
    <x v="1"/>
    <x v="15"/>
    <x v="6"/>
    <x v="0"/>
    <x v="50"/>
    <x v="23"/>
    <x v="17"/>
    <x v="31"/>
    <x v="0"/>
  </r>
  <r>
    <x v="0"/>
    <x v="6"/>
    <x v="9"/>
    <x v="0"/>
    <x v="0"/>
    <x v="1"/>
    <x v="35"/>
    <x v="11"/>
    <x v="1"/>
    <x v="64"/>
    <x v="40"/>
    <x v="17"/>
    <x v="31"/>
    <x v="0"/>
  </r>
  <r>
    <x v="0"/>
    <x v="6"/>
    <x v="8"/>
    <x v="2"/>
    <x v="0"/>
    <x v="1"/>
    <x v="8"/>
    <x v="16"/>
    <x v="1"/>
    <x v="72"/>
    <x v="45"/>
    <x v="17"/>
    <x v="31"/>
    <x v="0"/>
  </r>
  <r>
    <x v="0"/>
    <x v="6"/>
    <x v="8"/>
    <x v="0"/>
    <x v="0"/>
    <x v="1"/>
    <x v="5"/>
    <x v="16"/>
    <x v="5"/>
    <x v="71"/>
    <x v="45"/>
    <x v="17"/>
    <x v="31"/>
    <x v="0"/>
  </r>
  <r>
    <x v="0"/>
    <x v="6"/>
    <x v="8"/>
    <x v="18"/>
    <x v="0"/>
    <x v="1"/>
    <x v="21"/>
    <x v="16"/>
    <x v="14"/>
    <x v="22"/>
    <x v="32"/>
    <x v="6"/>
    <x v="11"/>
    <x v="0"/>
  </r>
  <r>
    <x v="0"/>
    <x v="6"/>
    <x v="5"/>
    <x v="13"/>
    <x v="0"/>
    <x v="1"/>
    <x v="4"/>
    <x v="13"/>
    <x v="0"/>
    <x v="68"/>
    <x v="42"/>
    <x v="17"/>
    <x v="31"/>
    <x v="0"/>
  </r>
  <r>
    <x v="0"/>
    <x v="6"/>
    <x v="1"/>
    <x v="6"/>
    <x v="10"/>
    <x v="0"/>
    <x v="11"/>
    <x v="6"/>
    <x v="12"/>
    <x v="25"/>
    <x v="25"/>
    <x v="12"/>
    <x v="2"/>
    <x v="0"/>
  </r>
  <r>
    <x v="0"/>
    <x v="6"/>
    <x v="1"/>
    <x v="0"/>
    <x v="15"/>
    <x v="0"/>
    <x v="6"/>
    <x v="6"/>
    <x v="0"/>
    <x v="50"/>
    <x v="23"/>
    <x v="17"/>
    <x v="31"/>
    <x v="0"/>
  </r>
  <r>
    <x v="0"/>
    <x v="6"/>
    <x v="1"/>
    <x v="22"/>
    <x v="13"/>
    <x v="0"/>
    <x v="2"/>
    <x v="10"/>
    <x v="12"/>
    <x v="39"/>
    <x v="37"/>
    <x v="17"/>
    <x v="31"/>
    <x v="0"/>
  </r>
  <r>
    <x v="0"/>
    <x v="6"/>
    <x v="1"/>
    <x v="0"/>
    <x v="0"/>
    <x v="0"/>
    <x v="34"/>
    <x v="6"/>
    <x v="0"/>
    <x v="50"/>
    <x v="23"/>
    <x v="17"/>
    <x v="31"/>
    <x v="0"/>
  </r>
  <r>
    <x v="0"/>
    <x v="6"/>
    <x v="1"/>
    <x v="9"/>
    <x v="11"/>
    <x v="0"/>
    <x v="1"/>
    <x v="16"/>
    <x v="15"/>
    <x v="41"/>
    <x v="45"/>
    <x v="17"/>
    <x v="31"/>
    <x v="0"/>
  </r>
  <r>
    <x v="0"/>
    <x v="6"/>
    <x v="1"/>
    <x v="21"/>
    <x v="9"/>
    <x v="0"/>
    <x v="20"/>
    <x v="16"/>
    <x v="15"/>
    <x v="41"/>
    <x v="45"/>
    <x v="17"/>
    <x v="31"/>
    <x v="0"/>
  </r>
  <r>
    <x v="0"/>
    <x v="7"/>
    <x v="5"/>
    <x v="16"/>
    <x v="7"/>
    <x v="1"/>
    <x v="0"/>
    <x v="18"/>
    <x v="19"/>
    <x v="31"/>
    <x v="47"/>
    <x v="9"/>
    <x v="19"/>
    <x v="0"/>
  </r>
  <r>
    <x v="0"/>
    <x v="7"/>
    <x v="3"/>
    <x v="4"/>
    <x v="1"/>
    <x v="0"/>
    <x v="13"/>
    <x v="19"/>
    <x v="6"/>
    <x v="75"/>
    <x v="51"/>
    <x v="17"/>
    <x v="31"/>
    <x v="0"/>
  </r>
  <r>
    <x v="0"/>
    <x v="7"/>
    <x v="5"/>
    <x v="20"/>
    <x v="6"/>
    <x v="1"/>
    <x v="27"/>
    <x v="5"/>
    <x v="12"/>
    <x v="11"/>
    <x v="18"/>
    <x v="17"/>
    <x v="31"/>
    <x v="0"/>
  </r>
  <r>
    <x v="0"/>
    <x v="7"/>
    <x v="3"/>
    <x v="8"/>
    <x v="2"/>
    <x v="1"/>
    <x v="29"/>
    <x v="15"/>
    <x v="2"/>
    <x v="69"/>
    <x v="44"/>
    <x v="17"/>
    <x v="31"/>
    <x v="0"/>
  </r>
  <r>
    <x v="0"/>
    <x v="7"/>
    <x v="3"/>
    <x v="3"/>
    <x v="3"/>
    <x v="1"/>
    <x v="30"/>
    <x v="17"/>
    <x v="19"/>
    <x v="29"/>
    <x v="46"/>
    <x v="17"/>
    <x v="31"/>
    <x v="0"/>
  </r>
  <r>
    <x v="0"/>
    <x v="7"/>
    <x v="3"/>
    <x v="17"/>
    <x v="0"/>
    <x v="1"/>
    <x v="10"/>
    <x v="7"/>
    <x v="0"/>
    <x v="14"/>
    <x v="1"/>
    <x v="17"/>
    <x v="23"/>
    <x v="0"/>
  </r>
  <r>
    <x v="0"/>
    <x v="7"/>
    <x v="3"/>
    <x v="5"/>
    <x v="0"/>
    <x v="1"/>
    <x v="14"/>
    <x v="7"/>
    <x v="1"/>
    <x v="57"/>
    <x v="36"/>
    <x v="15"/>
    <x v="30"/>
    <x v="0"/>
  </r>
  <r>
    <x v="0"/>
    <x v="7"/>
    <x v="8"/>
    <x v="12"/>
    <x v="4"/>
    <x v="1"/>
    <x v="32"/>
    <x v="14"/>
    <x v="5"/>
    <x v="66"/>
    <x v="43"/>
    <x v="17"/>
    <x v="31"/>
    <x v="0"/>
  </r>
  <r>
    <x v="0"/>
    <x v="7"/>
    <x v="9"/>
    <x v="15"/>
    <x v="5"/>
    <x v="1"/>
    <x v="22"/>
    <x v="11"/>
    <x v="3"/>
    <x v="63"/>
    <x v="40"/>
    <x v="17"/>
    <x v="31"/>
    <x v="0"/>
  </r>
  <r>
    <x v="0"/>
    <x v="7"/>
    <x v="7"/>
    <x v="19"/>
    <x v="12"/>
    <x v="1"/>
    <x v="12"/>
    <x v="18"/>
    <x v="17"/>
    <x v="46"/>
    <x v="49"/>
    <x v="17"/>
    <x v="31"/>
    <x v="0"/>
  </r>
  <r>
    <x v="0"/>
    <x v="7"/>
    <x v="4"/>
    <x v="11"/>
    <x v="8"/>
    <x v="1"/>
    <x v="9"/>
    <x v="10"/>
    <x v="16"/>
    <x v="22"/>
    <x v="37"/>
    <x v="17"/>
    <x v="31"/>
    <x v="0"/>
  </r>
  <r>
    <x v="0"/>
    <x v="7"/>
    <x v="9"/>
    <x v="0"/>
    <x v="0"/>
    <x v="1"/>
    <x v="26"/>
    <x v="10"/>
    <x v="0"/>
    <x v="61"/>
    <x v="37"/>
    <x v="17"/>
    <x v="31"/>
    <x v="0"/>
  </r>
  <r>
    <x v="0"/>
    <x v="7"/>
    <x v="8"/>
    <x v="0"/>
    <x v="0"/>
    <x v="1"/>
    <x v="19"/>
    <x v="16"/>
    <x v="5"/>
    <x v="71"/>
    <x v="45"/>
    <x v="17"/>
    <x v="31"/>
    <x v="0"/>
  </r>
  <r>
    <x v="0"/>
    <x v="7"/>
    <x v="8"/>
    <x v="0"/>
    <x v="0"/>
    <x v="1"/>
    <x v="7"/>
    <x v="7"/>
    <x v="0"/>
    <x v="16"/>
    <x v="2"/>
    <x v="17"/>
    <x v="16"/>
    <x v="0"/>
  </r>
  <r>
    <x v="0"/>
    <x v="7"/>
    <x v="8"/>
    <x v="0"/>
    <x v="0"/>
    <x v="1"/>
    <x v="33"/>
    <x v="16"/>
    <x v="0"/>
    <x v="68"/>
    <x v="42"/>
    <x v="9"/>
    <x v="17"/>
    <x v="0"/>
  </r>
  <r>
    <x v="0"/>
    <x v="7"/>
    <x v="1"/>
    <x v="0"/>
    <x v="0"/>
    <x v="1"/>
    <x v="17"/>
    <x v="6"/>
    <x v="0"/>
    <x v="50"/>
    <x v="23"/>
    <x v="17"/>
    <x v="27"/>
    <x v="0"/>
  </r>
  <r>
    <x v="0"/>
    <x v="7"/>
    <x v="6"/>
    <x v="14"/>
    <x v="0"/>
    <x v="1"/>
    <x v="25"/>
    <x v="6"/>
    <x v="13"/>
    <x v="19"/>
    <x v="23"/>
    <x v="17"/>
    <x v="31"/>
    <x v="0"/>
  </r>
  <r>
    <x v="0"/>
    <x v="7"/>
    <x v="2"/>
    <x v="0"/>
    <x v="0"/>
    <x v="1"/>
    <x v="15"/>
    <x v="6"/>
    <x v="0"/>
    <x v="50"/>
    <x v="23"/>
    <x v="17"/>
    <x v="31"/>
    <x v="0"/>
  </r>
  <r>
    <x v="0"/>
    <x v="7"/>
    <x v="9"/>
    <x v="0"/>
    <x v="0"/>
    <x v="1"/>
    <x v="35"/>
    <x v="11"/>
    <x v="1"/>
    <x v="64"/>
    <x v="40"/>
    <x v="17"/>
    <x v="31"/>
    <x v="0"/>
  </r>
  <r>
    <x v="0"/>
    <x v="7"/>
    <x v="8"/>
    <x v="2"/>
    <x v="0"/>
    <x v="1"/>
    <x v="8"/>
    <x v="16"/>
    <x v="1"/>
    <x v="72"/>
    <x v="45"/>
    <x v="17"/>
    <x v="31"/>
    <x v="0"/>
  </r>
  <r>
    <x v="0"/>
    <x v="7"/>
    <x v="8"/>
    <x v="0"/>
    <x v="0"/>
    <x v="1"/>
    <x v="5"/>
    <x v="16"/>
    <x v="5"/>
    <x v="58"/>
    <x v="37"/>
    <x v="8"/>
    <x v="6"/>
    <x v="0"/>
  </r>
  <r>
    <x v="0"/>
    <x v="7"/>
    <x v="5"/>
    <x v="13"/>
    <x v="0"/>
    <x v="1"/>
    <x v="4"/>
    <x v="13"/>
    <x v="0"/>
    <x v="68"/>
    <x v="42"/>
    <x v="17"/>
    <x v="31"/>
    <x v="0"/>
  </r>
  <r>
    <x v="0"/>
    <x v="7"/>
    <x v="1"/>
    <x v="6"/>
    <x v="10"/>
    <x v="0"/>
    <x v="11"/>
    <x v="6"/>
    <x v="12"/>
    <x v="27"/>
    <x v="28"/>
    <x v="14"/>
    <x v="13"/>
    <x v="0"/>
  </r>
  <r>
    <x v="0"/>
    <x v="7"/>
    <x v="1"/>
    <x v="0"/>
    <x v="15"/>
    <x v="0"/>
    <x v="6"/>
    <x v="6"/>
    <x v="0"/>
    <x v="50"/>
    <x v="23"/>
    <x v="17"/>
    <x v="31"/>
    <x v="0"/>
  </r>
  <r>
    <x v="0"/>
    <x v="7"/>
    <x v="1"/>
    <x v="22"/>
    <x v="13"/>
    <x v="0"/>
    <x v="2"/>
    <x v="10"/>
    <x v="12"/>
    <x v="42"/>
    <x v="39"/>
    <x v="14"/>
    <x v="13"/>
    <x v="0"/>
  </r>
  <r>
    <x v="0"/>
    <x v="7"/>
    <x v="1"/>
    <x v="0"/>
    <x v="0"/>
    <x v="0"/>
    <x v="34"/>
    <x v="6"/>
    <x v="0"/>
    <x v="50"/>
    <x v="23"/>
    <x v="17"/>
    <x v="31"/>
    <x v="0"/>
  </r>
  <r>
    <x v="0"/>
    <x v="7"/>
    <x v="1"/>
    <x v="9"/>
    <x v="11"/>
    <x v="0"/>
    <x v="1"/>
    <x v="16"/>
    <x v="15"/>
    <x v="41"/>
    <x v="45"/>
    <x v="17"/>
    <x v="31"/>
    <x v="0"/>
  </r>
  <r>
    <x v="0"/>
    <x v="7"/>
    <x v="1"/>
    <x v="21"/>
    <x v="9"/>
    <x v="0"/>
    <x v="20"/>
    <x v="16"/>
    <x v="15"/>
    <x v="41"/>
    <x v="45"/>
    <x v="17"/>
    <x v="3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17">
  <r>
    <x v="0"/>
    <x v="13"/>
    <x v="0"/>
    <x v="4"/>
    <x v="5"/>
    <x v="12"/>
    <x v="8"/>
    <x v="18"/>
    <x v="14"/>
    <x v="0"/>
    <x v="1"/>
    <x v="1"/>
    <x v="0"/>
    <x v="3"/>
    <x v="0"/>
    <x v="0"/>
  </r>
  <r>
    <x v="0"/>
    <x v="9"/>
    <x v="0"/>
    <x v="4"/>
    <x v="4"/>
    <x v="11"/>
    <x v="7"/>
    <x v="18"/>
    <x v="14"/>
    <x v="4"/>
    <x v="1"/>
    <x v="1"/>
    <x v="0"/>
    <x v="4"/>
    <x v="0"/>
    <x v="0"/>
  </r>
  <r>
    <x v="0"/>
    <x v="10"/>
    <x v="0"/>
    <x v="4"/>
    <x v="4"/>
    <x v="11"/>
    <x v="0"/>
    <x v="18"/>
    <x v="3"/>
    <x v="12"/>
    <x v="1"/>
    <x v="1"/>
    <x v="0"/>
    <x v="4"/>
    <x v="0"/>
    <x v="0"/>
  </r>
  <r>
    <x v="0"/>
    <x v="7"/>
    <x v="0"/>
    <x v="4"/>
    <x v="5"/>
    <x v="12"/>
    <x v="0"/>
    <x v="18"/>
    <x v="2"/>
    <x v="3"/>
    <x v="1"/>
    <x v="1"/>
    <x v="0"/>
    <x v="3"/>
    <x v="0"/>
    <x v="0"/>
  </r>
  <r>
    <x v="0"/>
    <x v="2"/>
    <x v="0"/>
    <x v="4"/>
    <x v="4"/>
    <x v="11"/>
    <x v="7"/>
    <x v="18"/>
    <x v="14"/>
    <x v="13"/>
    <x v="1"/>
    <x v="1"/>
    <x v="0"/>
    <x v="2"/>
    <x v="0"/>
    <x v="0"/>
  </r>
  <r>
    <x v="0"/>
    <x v="12"/>
    <x v="0"/>
    <x v="4"/>
    <x v="5"/>
    <x v="12"/>
    <x v="8"/>
    <x v="18"/>
    <x v="14"/>
    <x v="2"/>
    <x v="1"/>
    <x v="1"/>
    <x v="0"/>
    <x v="1"/>
    <x v="0"/>
    <x v="0"/>
  </r>
  <r>
    <x v="0"/>
    <x v="3"/>
    <x v="0"/>
    <x v="4"/>
    <x v="2"/>
    <x v="10"/>
    <x v="0"/>
    <x v="18"/>
    <x v="4"/>
    <x v="5"/>
    <x v="1"/>
    <x v="1"/>
    <x v="0"/>
    <x v="1"/>
    <x v="0"/>
    <x v="0"/>
  </r>
  <r>
    <x v="1"/>
    <x v="6"/>
    <x v="0"/>
    <x v="0"/>
    <x v="5"/>
    <x v="5"/>
    <x v="3"/>
    <x v="16"/>
    <x v="14"/>
    <x v="0"/>
    <x v="1"/>
    <x v="1"/>
    <x v="0"/>
    <x v="3"/>
    <x v="0"/>
    <x v="0"/>
  </r>
  <r>
    <x v="1"/>
    <x v="17"/>
    <x v="0"/>
    <x v="0"/>
    <x v="4"/>
    <x v="4"/>
    <x v="2"/>
    <x v="16"/>
    <x v="14"/>
    <x v="1"/>
    <x v="1"/>
    <x v="1"/>
    <x v="0"/>
    <x v="4"/>
    <x v="0"/>
    <x v="0"/>
  </r>
  <r>
    <x v="1"/>
    <x v="16"/>
    <x v="0"/>
    <x v="0"/>
    <x v="4"/>
    <x v="4"/>
    <x v="0"/>
    <x v="16"/>
    <x v="10"/>
    <x v="7"/>
    <x v="1"/>
    <x v="1"/>
    <x v="0"/>
    <x v="4"/>
    <x v="0"/>
    <x v="0"/>
  </r>
  <r>
    <x v="1"/>
    <x v="3"/>
    <x v="0"/>
    <x v="0"/>
    <x v="2"/>
    <x v="1"/>
    <x v="0"/>
    <x v="16"/>
    <x v="13"/>
    <x v="5"/>
    <x v="1"/>
    <x v="1"/>
    <x v="0"/>
    <x v="1"/>
    <x v="0"/>
    <x v="0"/>
  </r>
  <r>
    <x v="1"/>
    <x v="11"/>
    <x v="0"/>
    <x v="0"/>
    <x v="3"/>
    <x v="2"/>
    <x v="0"/>
    <x v="17"/>
    <x v="12"/>
    <x v="14"/>
    <x v="1"/>
    <x v="1"/>
    <x v="0"/>
    <x v="1"/>
    <x v="0"/>
    <x v="0"/>
  </r>
  <r>
    <x v="2"/>
    <x v="13"/>
    <x v="0"/>
    <x v="0"/>
    <x v="5"/>
    <x v="5"/>
    <x v="3"/>
    <x v="15"/>
    <x v="14"/>
    <x v="0"/>
    <x v="1"/>
    <x v="1"/>
    <x v="0"/>
    <x v="3"/>
    <x v="0"/>
    <x v="0"/>
  </r>
  <r>
    <x v="2"/>
    <x v="9"/>
    <x v="0"/>
    <x v="0"/>
    <x v="4"/>
    <x v="4"/>
    <x v="2"/>
    <x v="15"/>
    <x v="14"/>
    <x v="4"/>
    <x v="1"/>
    <x v="1"/>
    <x v="0"/>
    <x v="4"/>
    <x v="0"/>
    <x v="0"/>
  </r>
  <r>
    <x v="2"/>
    <x v="10"/>
    <x v="0"/>
    <x v="0"/>
    <x v="4"/>
    <x v="4"/>
    <x v="9"/>
    <x v="15"/>
    <x v="16"/>
    <x v="12"/>
    <x v="1"/>
    <x v="1"/>
    <x v="0"/>
    <x v="4"/>
    <x v="0"/>
    <x v="0"/>
  </r>
  <r>
    <x v="2"/>
    <x v="11"/>
    <x v="0"/>
    <x v="0"/>
    <x v="4"/>
    <x v="4"/>
    <x v="0"/>
    <x v="15"/>
    <x v="10"/>
    <x v="14"/>
    <x v="1"/>
    <x v="1"/>
    <x v="0"/>
    <x v="1"/>
    <x v="0"/>
    <x v="0"/>
  </r>
  <r>
    <x v="2"/>
    <x v="4"/>
    <x v="0"/>
    <x v="0"/>
    <x v="2"/>
    <x v="1"/>
    <x v="1"/>
    <x v="15"/>
    <x v="14"/>
    <x v="10"/>
    <x v="1"/>
    <x v="1"/>
    <x v="0"/>
    <x v="1"/>
    <x v="0"/>
    <x v="0"/>
  </r>
  <r>
    <x v="3"/>
    <x v="6"/>
    <x v="0"/>
    <x v="0"/>
    <x v="5"/>
    <x v="5"/>
    <x v="3"/>
    <x v="16"/>
    <x v="14"/>
    <x v="0"/>
    <x v="1"/>
    <x v="1"/>
    <x v="0"/>
    <x v="3"/>
    <x v="0"/>
    <x v="0"/>
  </r>
  <r>
    <x v="3"/>
    <x v="17"/>
    <x v="0"/>
    <x v="0"/>
    <x v="4"/>
    <x v="4"/>
    <x v="2"/>
    <x v="16"/>
    <x v="14"/>
    <x v="1"/>
    <x v="1"/>
    <x v="1"/>
    <x v="0"/>
    <x v="4"/>
    <x v="0"/>
    <x v="0"/>
  </r>
  <r>
    <x v="3"/>
    <x v="16"/>
    <x v="0"/>
    <x v="0"/>
    <x v="4"/>
    <x v="4"/>
    <x v="2"/>
    <x v="16"/>
    <x v="14"/>
    <x v="7"/>
    <x v="1"/>
    <x v="1"/>
    <x v="0"/>
    <x v="4"/>
    <x v="0"/>
    <x v="0"/>
  </r>
  <r>
    <x v="3"/>
    <x v="12"/>
    <x v="0"/>
    <x v="0"/>
    <x v="5"/>
    <x v="5"/>
    <x v="3"/>
    <x v="16"/>
    <x v="14"/>
    <x v="2"/>
    <x v="1"/>
    <x v="1"/>
    <x v="0"/>
    <x v="1"/>
    <x v="0"/>
    <x v="0"/>
  </r>
  <r>
    <x v="3"/>
    <x v="3"/>
    <x v="0"/>
    <x v="0"/>
    <x v="2"/>
    <x v="1"/>
    <x v="0"/>
    <x v="16"/>
    <x v="13"/>
    <x v="5"/>
    <x v="1"/>
    <x v="1"/>
    <x v="0"/>
    <x v="1"/>
    <x v="0"/>
    <x v="0"/>
  </r>
  <r>
    <x v="4"/>
    <x v="13"/>
    <x v="0"/>
    <x v="4"/>
    <x v="5"/>
    <x v="12"/>
    <x v="8"/>
    <x v="18"/>
    <x v="14"/>
    <x v="0"/>
    <x v="1"/>
    <x v="1"/>
    <x v="0"/>
    <x v="3"/>
    <x v="0"/>
    <x v="0"/>
  </r>
  <r>
    <x v="4"/>
    <x v="9"/>
    <x v="0"/>
    <x v="4"/>
    <x v="4"/>
    <x v="11"/>
    <x v="7"/>
    <x v="18"/>
    <x v="14"/>
    <x v="4"/>
    <x v="1"/>
    <x v="1"/>
    <x v="0"/>
    <x v="4"/>
    <x v="0"/>
    <x v="0"/>
  </r>
  <r>
    <x v="4"/>
    <x v="16"/>
    <x v="0"/>
    <x v="4"/>
    <x v="4"/>
    <x v="11"/>
    <x v="7"/>
    <x v="18"/>
    <x v="14"/>
    <x v="7"/>
    <x v="1"/>
    <x v="1"/>
    <x v="0"/>
    <x v="4"/>
    <x v="0"/>
    <x v="0"/>
  </r>
  <r>
    <x v="4"/>
    <x v="11"/>
    <x v="0"/>
    <x v="4"/>
    <x v="4"/>
    <x v="11"/>
    <x v="0"/>
    <x v="18"/>
    <x v="3"/>
    <x v="14"/>
    <x v="1"/>
    <x v="1"/>
    <x v="0"/>
    <x v="1"/>
    <x v="0"/>
    <x v="0"/>
  </r>
  <r>
    <x v="4"/>
    <x v="4"/>
    <x v="0"/>
    <x v="4"/>
    <x v="2"/>
    <x v="10"/>
    <x v="5"/>
    <x v="18"/>
    <x v="14"/>
    <x v="10"/>
    <x v="1"/>
    <x v="1"/>
    <x v="0"/>
    <x v="1"/>
    <x v="0"/>
    <x v="0"/>
  </r>
  <r>
    <x v="4"/>
    <x v="14"/>
    <x v="0"/>
    <x v="4"/>
    <x v="4"/>
    <x v="11"/>
    <x v="0"/>
    <x v="18"/>
    <x v="3"/>
    <x v="8"/>
    <x v="1"/>
    <x v="1"/>
    <x v="0"/>
    <x v="3"/>
    <x v="0"/>
    <x v="0"/>
  </r>
  <r>
    <x v="4"/>
    <x v="2"/>
    <x v="0"/>
    <x v="4"/>
    <x v="4"/>
    <x v="11"/>
    <x v="7"/>
    <x v="18"/>
    <x v="14"/>
    <x v="13"/>
    <x v="1"/>
    <x v="1"/>
    <x v="0"/>
    <x v="2"/>
    <x v="0"/>
    <x v="0"/>
  </r>
  <r>
    <x v="6"/>
    <x v="0"/>
    <x v="0"/>
    <x v="4"/>
    <x v="5"/>
    <x v="12"/>
    <x v="0"/>
    <x v="18"/>
    <x v="2"/>
    <x v="9"/>
    <x v="1"/>
    <x v="1"/>
    <x v="0"/>
    <x v="3"/>
    <x v="0"/>
    <x v="0"/>
  </r>
  <r>
    <x v="6"/>
    <x v="1"/>
    <x v="0"/>
    <x v="4"/>
    <x v="5"/>
    <x v="12"/>
    <x v="0"/>
    <x v="18"/>
    <x v="2"/>
    <x v="11"/>
    <x v="1"/>
    <x v="1"/>
    <x v="0"/>
    <x v="3"/>
    <x v="0"/>
    <x v="0"/>
  </r>
  <r>
    <x v="6"/>
    <x v="2"/>
    <x v="0"/>
    <x v="4"/>
    <x v="4"/>
    <x v="11"/>
    <x v="0"/>
    <x v="18"/>
    <x v="3"/>
    <x v="13"/>
    <x v="1"/>
    <x v="1"/>
    <x v="0"/>
    <x v="2"/>
    <x v="0"/>
    <x v="0"/>
  </r>
  <r>
    <x v="6"/>
    <x v="10"/>
    <x v="0"/>
    <x v="4"/>
    <x v="4"/>
    <x v="11"/>
    <x v="0"/>
    <x v="18"/>
    <x v="3"/>
    <x v="12"/>
    <x v="1"/>
    <x v="1"/>
    <x v="0"/>
    <x v="4"/>
    <x v="0"/>
    <x v="0"/>
  </r>
  <r>
    <x v="6"/>
    <x v="12"/>
    <x v="0"/>
    <x v="4"/>
    <x v="5"/>
    <x v="12"/>
    <x v="8"/>
    <x v="18"/>
    <x v="14"/>
    <x v="2"/>
    <x v="1"/>
    <x v="1"/>
    <x v="0"/>
    <x v="1"/>
    <x v="0"/>
    <x v="0"/>
  </r>
  <r>
    <x v="6"/>
    <x v="3"/>
    <x v="0"/>
    <x v="4"/>
    <x v="2"/>
    <x v="10"/>
    <x v="0"/>
    <x v="18"/>
    <x v="4"/>
    <x v="5"/>
    <x v="1"/>
    <x v="1"/>
    <x v="0"/>
    <x v="1"/>
    <x v="0"/>
    <x v="0"/>
  </r>
  <r>
    <x v="7"/>
    <x v="0"/>
    <x v="0"/>
    <x v="4"/>
    <x v="5"/>
    <x v="12"/>
    <x v="0"/>
    <x v="3"/>
    <x v="2"/>
    <x v="9"/>
    <x v="1"/>
    <x v="1"/>
    <x v="0"/>
    <x v="3"/>
    <x v="0"/>
    <x v="0"/>
  </r>
  <r>
    <x v="7"/>
    <x v="9"/>
    <x v="0"/>
    <x v="4"/>
    <x v="4"/>
    <x v="11"/>
    <x v="7"/>
    <x v="3"/>
    <x v="14"/>
    <x v="4"/>
    <x v="1"/>
    <x v="1"/>
    <x v="0"/>
    <x v="4"/>
    <x v="0"/>
    <x v="0"/>
  </r>
  <r>
    <x v="7"/>
    <x v="16"/>
    <x v="0"/>
    <x v="4"/>
    <x v="4"/>
    <x v="11"/>
    <x v="7"/>
    <x v="3"/>
    <x v="14"/>
    <x v="7"/>
    <x v="1"/>
    <x v="1"/>
    <x v="0"/>
    <x v="4"/>
    <x v="0"/>
    <x v="0"/>
  </r>
  <r>
    <x v="5"/>
    <x v="11"/>
    <x v="0"/>
    <x v="7"/>
    <x v="3"/>
    <x v="15"/>
    <x v="0"/>
    <x v="2"/>
    <x v="17"/>
    <x v="15"/>
    <x v="2"/>
    <x v="2"/>
    <x v="1"/>
    <x v="6"/>
    <x v="0"/>
    <x v="0"/>
  </r>
  <r>
    <x v="5"/>
    <x v="11"/>
    <x v="0"/>
    <x v="5"/>
    <x v="3"/>
    <x v="13"/>
    <x v="0"/>
    <x v="1"/>
    <x v="17"/>
    <x v="15"/>
    <x v="2"/>
    <x v="2"/>
    <x v="1"/>
    <x v="6"/>
    <x v="0"/>
    <x v="0"/>
  </r>
  <r>
    <x v="7"/>
    <x v="11"/>
    <x v="0"/>
    <x v="4"/>
    <x v="4"/>
    <x v="11"/>
    <x v="0"/>
    <x v="3"/>
    <x v="3"/>
    <x v="14"/>
    <x v="1"/>
    <x v="1"/>
    <x v="0"/>
    <x v="1"/>
    <x v="0"/>
    <x v="0"/>
  </r>
  <r>
    <x v="7"/>
    <x v="4"/>
    <x v="0"/>
    <x v="4"/>
    <x v="2"/>
    <x v="10"/>
    <x v="0"/>
    <x v="3"/>
    <x v="4"/>
    <x v="10"/>
    <x v="1"/>
    <x v="1"/>
    <x v="0"/>
    <x v="1"/>
    <x v="0"/>
    <x v="0"/>
  </r>
  <r>
    <x v="8"/>
    <x v="1"/>
    <x v="0"/>
    <x v="4"/>
    <x v="5"/>
    <x v="12"/>
    <x v="0"/>
    <x v="18"/>
    <x v="2"/>
    <x v="11"/>
    <x v="1"/>
    <x v="1"/>
    <x v="0"/>
    <x v="3"/>
    <x v="0"/>
    <x v="0"/>
  </r>
  <r>
    <x v="8"/>
    <x v="2"/>
    <x v="0"/>
    <x v="4"/>
    <x v="4"/>
    <x v="11"/>
    <x v="0"/>
    <x v="18"/>
    <x v="3"/>
    <x v="13"/>
    <x v="1"/>
    <x v="1"/>
    <x v="0"/>
    <x v="2"/>
    <x v="0"/>
    <x v="0"/>
  </r>
  <r>
    <x v="9"/>
    <x v="8"/>
    <x v="0"/>
    <x v="6"/>
    <x v="5"/>
    <x v="15"/>
    <x v="0"/>
    <x v="18"/>
    <x v="0"/>
    <x v="3"/>
    <x v="1"/>
    <x v="1"/>
    <x v="0"/>
    <x v="3"/>
    <x v="0"/>
    <x v="0"/>
  </r>
  <r>
    <x v="9"/>
    <x v="17"/>
    <x v="0"/>
    <x v="4"/>
    <x v="4"/>
    <x v="11"/>
    <x v="0"/>
    <x v="18"/>
    <x v="3"/>
    <x v="1"/>
    <x v="1"/>
    <x v="1"/>
    <x v="0"/>
    <x v="4"/>
    <x v="0"/>
    <x v="0"/>
  </r>
  <r>
    <x v="9"/>
    <x v="16"/>
    <x v="0"/>
    <x v="4"/>
    <x v="4"/>
    <x v="11"/>
    <x v="0"/>
    <x v="18"/>
    <x v="3"/>
    <x v="7"/>
    <x v="1"/>
    <x v="1"/>
    <x v="0"/>
    <x v="4"/>
    <x v="0"/>
    <x v="0"/>
  </r>
  <r>
    <x v="9"/>
    <x v="10"/>
    <x v="0"/>
    <x v="4"/>
    <x v="4"/>
    <x v="11"/>
    <x v="0"/>
    <x v="18"/>
    <x v="3"/>
    <x v="12"/>
    <x v="1"/>
    <x v="1"/>
    <x v="0"/>
    <x v="4"/>
    <x v="0"/>
    <x v="0"/>
  </r>
  <r>
    <x v="9"/>
    <x v="7"/>
    <x v="0"/>
    <x v="4"/>
    <x v="5"/>
    <x v="12"/>
    <x v="0"/>
    <x v="18"/>
    <x v="2"/>
    <x v="3"/>
    <x v="1"/>
    <x v="1"/>
    <x v="0"/>
    <x v="3"/>
    <x v="0"/>
    <x v="0"/>
  </r>
  <r>
    <x v="9"/>
    <x v="12"/>
    <x v="0"/>
    <x v="4"/>
    <x v="5"/>
    <x v="12"/>
    <x v="8"/>
    <x v="18"/>
    <x v="14"/>
    <x v="2"/>
    <x v="1"/>
    <x v="1"/>
    <x v="0"/>
    <x v="1"/>
    <x v="0"/>
    <x v="0"/>
  </r>
  <r>
    <x v="9"/>
    <x v="3"/>
    <x v="0"/>
    <x v="4"/>
    <x v="2"/>
    <x v="10"/>
    <x v="0"/>
    <x v="18"/>
    <x v="4"/>
    <x v="5"/>
    <x v="1"/>
    <x v="1"/>
    <x v="0"/>
    <x v="1"/>
    <x v="0"/>
    <x v="0"/>
  </r>
  <r>
    <x v="10"/>
    <x v="2"/>
    <x v="0"/>
    <x v="4"/>
    <x v="4"/>
    <x v="11"/>
    <x v="0"/>
    <x v="0"/>
    <x v="3"/>
    <x v="13"/>
    <x v="1"/>
    <x v="1"/>
    <x v="0"/>
    <x v="2"/>
    <x v="0"/>
    <x v="0"/>
  </r>
  <r>
    <x v="10"/>
    <x v="1"/>
    <x v="0"/>
    <x v="4"/>
    <x v="5"/>
    <x v="12"/>
    <x v="0"/>
    <x v="0"/>
    <x v="2"/>
    <x v="11"/>
    <x v="1"/>
    <x v="1"/>
    <x v="0"/>
    <x v="3"/>
    <x v="0"/>
    <x v="0"/>
  </r>
  <r>
    <x v="11"/>
    <x v="5"/>
    <x v="0"/>
    <x v="9"/>
    <x v="0"/>
    <x v="0"/>
    <x v="0"/>
    <x v="4"/>
    <x v="14"/>
    <x v="0"/>
    <x v="1"/>
    <x v="1"/>
    <x v="0"/>
    <x v="0"/>
    <x v="0"/>
    <x v="0"/>
  </r>
  <r>
    <x v="12"/>
    <x v="5"/>
    <x v="0"/>
    <x v="9"/>
    <x v="0"/>
    <x v="0"/>
    <x v="0"/>
    <x v="5"/>
    <x v="14"/>
    <x v="0"/>
    <x v="1"/>
    <x v="1"/>
    <x v="0"/>
    <x v="0"/>
    <x v="0"/>
    <x v="0"/>
  </r>
  <r>
    <x v="13"/>
    <x v="5"/>
    <x v="0"/>
    <x v="9"/>
    <x v="0"/>
    <x v="0"/>
    <x v="0"/>
    <x v="6"/>
    <x v="14"/>
    <x v="0"/>
    <x v="1"/>
    <x v="1"/>
    <x v="0"/>
    <x v="0"/>
    <x v="0"/>
    <x v="0"/>
  </r>
  <r>
    <x v="14"/>
    <x v="11"/>
    <x v="0"/>
    <x v="3"/>
    <x v="3"/>
    <x v="9"/>
    <x v="0"/>
    <x v="8"/>
    <x v="5"/>
    <x v="14"/>
    <x v="1"/>
    <x v="1"/>
    <x v="0"/>
    <x v="1"/>
    <x v="0"/>
    <x v="0"/>
  </r>
  <r>
    <x v="14"/>
    <x v="0"/>
    <x v="0"/>
    <x v="4"/>
    <x v="1"/>
    <x v="9"/>
    <x v="0"/>
    <x v="7"/>
    <x v="5"/>
    <x v="9"/>
    <x v="1"/>
    <x v="1"/>
    <x v="0"/>
    <x v="3"/>
    <x v="0"/>
    <x v="0"/>
  </r>
  <r>
    <x v="15"/>
    <x v="11"/>
    <x v="0"/>
    <x v="3"/>
    <x v="3"/>
    <x v="9"/>
    <x v="0"/>
    <x v="10"/>
    <x v="5"/>
    <x v="14"/>
    <x v="1"/>
    <x v="1"/>
    <x v="0"/>
    <x v="1"/>
    <x v="0"/>
    <x v="0"/>
  </r>
  <r>
    <x v="15"/>
    <x v="10"/>
    <x v="0"/>
    <x v="3"/>
    <x v="3"/>
    <x v="9"/>
    <x v="0"/>
    <x v="9"/>
    <x v="5"/>
    <x v="12"/>
    <x v="1"/>
    <x v="1"/>
    <x v="0"/>
    <x v="4"/>
    <x v="0"/>
    <x v="0"/>
  </r>
  <r>
    <x v="16"/>
    <x v="2"/>
    <x v="1"/>
    <x v="9"/>
    <x v="7"/>
    <x v="0"/>
    <x v="4"/>
    <x v="23"/>
    <x v="17"/>
    <x v="15"/>
    <x v="2"/>
    <x v="2"/>
    <x v="1"/>
    <x v="6"/>
    <x v="0"/>
    <x v="0"/>
  </r>
  <r>
    <x v="17"/>
    <x v="2"/>
    <x v="0"/>
    <x v="4"/>
    <x v="4"/>
    <x v="11"/>
    <x v="0"/>
    <x v="21"/>
    <x v="3"/>
    <x v="13"/>
    <x v="1"/>
    <x v="1"/>
    <x v="0"/>
    <x v="2"/>
    <x v="0"/>
    <x v="0"/>
  </r>
  <r>
    <x v="17"/>
    <x v="1"/>
    <x v="0"/>
    <x v="6"/>
    <x v="5"/>
    <x v="15"/>
    <x v="0"/>
    <x v="21"/>
    <x v="0"/>
    <x v="11"/>
    <x v="1"/>
    <x v="1"/>
    <x v="0"/>
    <x v="3"/>
    <x v="0"/>
    <x v="0"/>
  </r>
  <r>
    <x v="18"/>
    <x v="2"/>
    <x v="0"/>
    <x v="4"/>
    <x v="4"/>
    <x v="11"/>
    <x v="0"/>
    <x v="18"/>
    <x v="3"/>
    <x v="13"/>
    <x v="1"/>
    <x v="1"/>
    <x v="0"/>
    <x v="2"/>
    <x v="0"/>
    <x v="0"/>
  </r>
  <r>
    <x v="19"/>
    <x v="2"/>
    <x v="1"/>
    <x v="9"/>
    <x v="7"/>
    <x v="0"/>
    <x v="6"/>
    <x v="23"/>
    <x v="17"/>
    <x v="15"/>
    <x v="2"/>
    <x v="2"/>
    <x v="1"/>
    <x v="6"/>
    <x v="0"/>
    <x v="0"/>
  </r>
  <r>
    <x v="20"/>
    <x v="2"/>
    <x v="0"/>
    <x v="4"/>
    <x v="4"/>
    <x v="11"/>
    <x v="0"/>
    <x v="18"/>
    <x v="3"/>
    <x v="13"/>
    <x v="1"/>
    <x v="1"/>
    <x v="0"/>
    <x v="2"/>
    <x v="0"/>
    <x v="0"/>
  </r>
  <r>
    <x v="21"/>
    <x v="2"/>
    <x v="0"/>
    <x v="2"/>
    <x v="4"/>
    <x v="8"/>
    <x v="0"/>
    <x v="20"/>
    <x v="6"/>
    <x v="13"/>
    <x v="1"/>
    <x v="1"/>
    <x v="0"/>
    <x v="2"/>
    <x v="0"/>
    <x v="0"/>
  </r>
  <r>
    <x v="22"/>
    <x v="2"/>
    <x v="0"/>
    <x v="0"/>
    <x v="4"/>
    <x v="4"/>
    <x v="0"/>
    <x v="11"/>
    <x v="10"/>
    <x v="13"/>
    <x v="1"/>
    <x v="1"/>
    <x v="0"/>
    <x v="2"/>
    <x v="0"/>
    <x v="0"/>
  </r>
  <r>
    <x v="22"/>
    <x v="14"/>
    <x v="0"/>
    <x v="0"/>
    <x v="5"/>
    <x v="5"/>
    <x v="0"/>
    <x v="11"/>
    <x v="9"/>
    <x v="8"/>
    <x v="1"/>
    <x v="1"/>
    <x v="0"/>
    <x v="3"/>
    <x v="0"/>
    <x v="0"/>
  </r>
  <r>
    <x v="23"/>
    <x v="1"/>
    <x v="0"/>
    <x v="0"/>
    <x v="5"/>
    <x v="5"/>
    <x v="0"/>
    <x v="13"/>
    <x v="9"/>
    <x v="11"/>
    <x v="1"/>
    <x v="1"/>
    <x v="0"/>
    <x v="3"/>
    <x v="0"/>
    <x v="0"/>
  </r>
  <r>
    <x v="23"/>
    <x v="2"/>
    <x v="0"/>
    <x v="0"/>
    <x v="4"/>
    <x v="4"/>
    <x v="0"/>
    <x v="13"/>
    <x v="10"/>
    <x v="13"/>
    <x v="1"/>
    <x v="1"/>
    <x v="0"/>
    <x v="2"/>
    <x v="0"/>
    <x v="0"/>
  </r>
  <r>
    <x v="24"/>
    <x v="0"/>
    <x v="0"/>
    <x v="4"/>
    <x v="5"/>
    <x v="12"/>
    <x v="0"/>
    <x v="18"/>
    <x v="2"/>
    <x v="9"/>
    <x v="1"/>
    <x v="1"/>
    <x v="0"/>
    <x v="3"/>
    <x v="0"/>
    <x v="0"/>
  </r>
  <r>
    <x v="24"/>
    <x v="9"/>
    <x v="0"/>
    <x v="4"/>
    <x v="4"/>
    <x v="11"/>
    <x v="0"/>
    <x v="18"/>
    <x v="3"/>
    <x v="4"/>
    <x v="1"/>
    <x v="1"/>
    <x v="0"/>
    <x v="4"/>
    <x v="0"/>
    <x v="0"/>
  </r>
  <r>
    <x v="24"/>
    <x v="10"/>
    <x v="0"/>
    <x v="4"/>
    <x v="4"/>
    <x v="11"/>
    <x v="0"/>
    <x v="18"/>
    <x v="3"/>
    <x v="12"/>
    <x v="1"/>
    <x v="1"/>
    <x v="0"/>
    <x v="4"/>
    <x v="0"/>
    <x v="0"/>
  </r>
  <r>
    <x v="24"/>
    <x v="11"/>
    <x v="0"/>
    <x v="4"/>
    <x v="4"/>
    <x v="11"/>
    <x v="0"/>
    <x v="18"/>
    <x v="3"/>
    <x v="14"/>
    <x v="1"/>
    <x v="1"/>
    <x v="0"/>
    <x v="1"/>
    <x v="0"/>
    <x v="0"/>
  </r>
  <r>
    <x v="24"/>
    <x v="4"/>
    <x v="0"/>
    <x v="4"/>
    <x v="2"/>
    <x v="10"/>
    <x v="0"/>
    <x v="18"/>
    <x v="4"/>
    <x v="10"/>
    <x v="1"/>
    <x v="1"/>
    <x v="0"/>
    <x v="1"/>
    <x v="0"/>
    <x v="0"/>
  </r>
  <r>
    <x v="24"/>
    <x v="14"/>
    <x v="0"/>
    <x v="4"/>
    <x v="5"/>
    <x v="12"/>
    <x v="0"/>
    <x v="18"/>
    <x v="2"/>
    <x v="8"/>
    <x v="1"/>
    <x v="1"/>
    <x v="0"/>
    <x v="3"/>
    <x v="0"/>
    <x v="0"/>
  </r>
  <r>
    <x v="24"/>
    <x v="2"/>
    <x v="0"/>
    <x v="4"/>
    <x v="4"/>
    <x v="11"/>
    <x v="0"/>
    <x v="18"/>
    <x v="3"/>
    <x v="13"/>
    <x v="1"/>
    <x v="1"/>
    <x v="0"/>
    <x v="2"/>
    <x v="0"/>
    <x v="0"/>
  </r>
  <r>
    <x v="25"/>
    <x v="0"/>
    <x v="0"/>
    <x v="1"/>
    <x v="5"/>
    <x v="7"/>
    <x v="0"/>
    <x v="14"/>
    <x v="7"/>
    <x v="9"/>
    <x v="1"/>
    <x v="1"/>
    <x v="0"/>
    <x v="3"/>
    <x v="0"/>
    <x v="0"/>
  </r>
  <r>
    <x v="25"/>
    <x v="16"/>
    <x v="0"/>
    <x v="1"/>
    <x v="4"/>
    <x v="6"/>
    <x v="0"/>
    <x v="14"/>
    <x v="8"/>
    <x v="7"/>
    <x v="1"/>
    <x v="1"/>
    <x v="0"/>
    <x v="4"/>
    <x v="0"/>
    <x v="0"/>
  </r>
  <r>
    <x v="25"/>
    <x v="10"/>
    <x v="0"/>
    <x v="1"/>
    <x v="4"/>
    <x v="6"/>
    <x v="0"/>
    <x v="14"/>
    <x v="8"/>
    <x v="12"/>
    <x v="1"/>
    <x v="1"/>
    <x v="0"/>
    <x v="4"/>
    <x v="0"/>
    <x v="0"/>
  </r>
  <r>
    <x v="25"/>
    <x v="12"/>
    <x v="0"/>
    <x v="1"/>
    <x v="5"/>
    <x v="7"/>
    <x v="0"/>
    <x v="14"/>
    <x v="7"/>
    <x v="2"/>
    <x v="1"/>
    <x v="1"/>
    <x v="0"/>
    <x v="1"/>
    <x v="0"/>
    <x v="0"/>
  </r>
  <r>
    <x v="25"/>
    <x v="4"/>
    <x v="0"/>
    <x v="1"/>
    <x v="2"/>
    <x v="3"/>
    <x v="0"/>
    <x v="14"/>
    <x v="11"/>
    <x v="10"/>
    <x v="1"/>
    <x v="1"/>
    <x v="0"/>
    <x v="1"/>
    <x v="0"/>
    <x v="0"/>
  </r>
  <r>
    <x v="26"/>
    <x v="15"/>
    <x v="0"/>
    <x v="1"/>
    <x v="5"/>
    <x v="7"/>
    <x v="0"/>
    <x v="19"/>
    <x v="7"/>
    <x v="6"/>
    <x v="1"/>
    <x v="1"/>
    <x v="0"/>
    <x v="3"/>
    <x v="0"/>
    <x v="0"/>
  </r>
  <r>
    <x v="26"/>
    <x v="9"/>
    <x v="0"/>
    <x v="1"/>
    <x v="4"/>
    <x v="6"/>
    <x v="0"/>
    <x v="19"/>
    <x v="8"/>
    <x v="4"/>
    <x v="1"/>
    <x v="1"/>
    <x v="0"/>
    <x v="4"/>
    <x v="0"/>
    <x v="0"/>
  </r>
  <r>
    <x v="26"/>
    <x v="16"/>
    <x v="0"/>
    <x v="1"/>
    <x v="4"/>
    <x v="6"/>
    <x v="0"/>
    <x v="19"/>
    <x v="8"/>
    <x v="7"/>
    <x v="1"/>
    <x v="1"/>
    <x v="0"/>
    <x v="4"/>
    <x v="0"/>
    <x v="0"/>
  </r>
  <r>
    <x v="26"/>
    <x v="11"/>
    <x v="0"/>
    <x v="1"/>
    <x v="4"/>
    <x v="6"/>
    <x v="0"/>
    <x v="19"/>
    <x v="8"/>
    <x v="14"/>
    <x v="1"/>
    <x v="1"/>
    <x v="0"/>
    <x v="1"/>
    <x v="0"/>
    <x v="0"/>
  </r>
  <r>
    <x v="26"/>
    <x v="4"/>
    <x v="0"/>
    <x v="1"/>
    <x v="2"/>
    <x v="3"/>
    <x v="0"/>
    <x v="19"/>
    <x v="11"/>
    <x v="10"/>
    <x v="1"/>
    <x v="1"/>
    <x v="0"/>
    <x v="1"/>
    <x v="0"/>
    <x v="0"/>
  </r>
  <r>
    <x v="27"/>
    <x v="15"/>
    <x v="0"/>
    <x v="1"/>
    <x v="5"/>
    <x v="7"/>
    <x v="0"/>
    <x v="12"/>
    <x v="7"/>
    <x v="6"/>
    <x v="1"/>
    <x v="1"/>
    <x v="0"/>
    <x v="3"/>
    <x v="0"/>
    <x v="0"/>
  </r>
  <r>
    <x v="27"/>
    <x v="9"/>
    <x v="0"/>
    <x v="1"/>
    <x v="4"/>
    <x v="6"/>
    <x v="0"/>
    <x v="12"/>
    <x v="8"/>
    <x v="4"/>
    <x v="1"/>
    <x v="1"/>
    <x v="0"/>
    <x v="4"/>
    <x v="0"/>
    <x v="0"/>
  </r>
  <r>
    <x v="27"/>
    <x v="10"/>
    <x v="0"/>
    <x v="1"/>
    <x v="4"/>
    <x v="6"/>
    <x v="0"/>
    <x v="12"/>
    <x v="8"/>
    <x v="12"/>
    <x v="1"/>
    <x v="1"/>
    <x v="0"/>
    <x v="4"/>
    <x v="0"/>
    <x v="0"/>
  </r>
  <r>
    <x v="27"/>
    <x v="12"/>
    <x v="0"/>
    <x v="1"/>
    <x v="5"/>
    <x v="7"/>
    <x v="0"/>
    <x v="12"/>
    <x v="7"/>
    <x v="2"/>
    <x v="1"/>
    <x v="1"/>
    <x v="0"/>
    <x v="1"/>
    <x v="0"/>
    <x v="0"/>
  </r>
  <r>
    <x v="27"/>
    <x v="4"/>
    <x v="0"/>
    <x v="1"/>
    <x v="2"/>
    <x v="3"/>
    <x v="0"/>
    <x v="12"/>
    <x v="11"/>
    <x v="10"/>
    <x v="1"/>
    <x v="1"/>
    <x v="0"/>
    <x v="1"/>
    <x v="0"/>
    <x v="0"/>
  </r>
  <r>
    <x v="28"/>
    <x v="15"/>
    <x v="0"/>
    <x v="4"/>
    <x v="5"/>
    <x v="12"/>
    <x v="0"/>
    <x v="18"/>
    <x v="2"/>
    <x v="6"/>
    <x v="1"/>
    <x v="1"/>
    <x v="0"/>
    <x v="3"/>
    <x v="0"/>
    <x v="0"/>
  </r>
  <r>
    <x v="28"/>
    <x v="16"/>
    <x v="0"/>
    <x v="4"/>
    <x v="4"/>
    <x v="11"/>
    <x v="0"/>
    <x v="18"/>
    <x v="3"/>
    <x v="7"/>
    <x v="1"/>
    <x v="1"/>
    <x v="0"/>
    <x v="4"/>
    <x v="0"/>
    <x v="0"/>
  </r>
  <r>
    <x v="28"/>
    <x v="10"/>
    <x v="0"/>
    <x v="4"/>
    <x v="4"/>
    <x v="11"/>
    <x v="0"/>
    <x v="18"/>
    <x v="3"/>
    <x v="12"/>
    <x v="1"/>
    <x v="1"/>
    <x v="0"/>
    <x v="4"/>
    <x v="0"/>
    <x v="0"/>
  </r>
  <r>
    <x v="28"/>
    <x v="12"/>
    <x v="0"/>
    <x v="4"/>
    <x v="5"/>
    <x v="12"/>
    <x v="0"/>
    <x v="18"/>
    <x v="2"/>
    <x v="2"/>
    <x v="1"/>
    <x v="1"/>
    <x v="0"/>
    <x v="1"/>
    <x v="0"/>
    <x v="0"/>
  </r>
  <r>
    <x v="28"/>
    <x v="4"/>
    <x v="0"/>
    <x v="8"/>
    <x v="2"/>
    <x v="14"/>
    <x v="0"/>
    <x v="18"/>
    <x v="1"/>
    <x v="10"/>
    <x v="1"/>
    <x v="1"/>
    <x v="0"/>
    <x v="1"/>
    <x v="0"/>
    <x v="0"/>
  </r>
  <r>
    <x v="28"/>
    <x v="14"/>
    <x v="0"/>
    <x v="4"/>
    <x v="5"/>
    <x v="12"/>
    <x v="0"/>
    <x v="18"/>
    <x v="2"/>
    <x v="8"/>
    <x v="1"/>
    <x v="1"/>
    <x v="0"/>
    <x v="3"/>
    <x v="0"/>
    <x v="0"/>
  </r>
  <r>
    <x v="28"/>
    <x v="2"/>
    <x v="0"/>
    <x v="4"/>
    <x v="4"/>
    <x v="11"/>
    <x v="0"/>
    <x v="18"/>
    <x v="3"/>
    <x v="13"/>
    <x v="1"/>
    <x v="1"/>
    <x v="0"/>
    <x v="2"/>
    <x v="0"/>
    <x v="0"/>
  </r>
  <r>
    <x v="29"/>
    <x v="15"/>
    <x v="0"/>
    <x v="1"/>
    <x v="5"/>
    <x v="7"/>
    <x v="0"/>
    <x v="22"/>
    <x v="7"/>
    <x v="6"/>
    <x v="1"/>
    <x v="1"/>
    <x v="0"/>
    <x v="3"/>
    <x v="0"/>
    <x v="0"/>
  </r>
  <r>
    <x v="29"/>
    <x v="9"/>
    <x v="0"/>
    <x v="1"/>
    <x v="4"/>
    <x v="6"/>
    <x v="0"/>
    <x v="22"/>
    <x v="8"/>
    <x v="4"/>
    <x v="1"/>
    <x v="1"/>
    <x v="0"/>
    <x v="4"/>
    <x v="0"/>
    <x v="0"/>
  </r>
  <r>
    <x v="29"/>
    <x v="16"/>
    <x v="0"/>
    <x v="1"/>
    <x v="4"/>
    <x v="6"/>
    <x v="0"/>
    <x v="22"/>
    <x v="8"/>
    <x v="7"/>
    <x v="1"/>
    <x v="1"/>
    <x v="0"/>
    <x v="4"/>
    <x v="0"/>
    <x v="0"/>
  </r>
  <r>
    <x v="29"/>
    <x v="11"/>
    <x v="0"/>
    <x v="1"/>
    <x v="4"/>
    <x v="6"/>
    <x v="0"/>
    <x v="22"/>
    <x v="8"/>
    <x v="14"/>
    <x v="1"/>
    <x v="1"/>
    <x v="0"/>
    <x v="1"/>
    <x v="0"/>
    <x v="0"/>
  </r>
  <r>
    <x v="29"/>
    <x v="4"/>
    <x v="0"/>
    <x v="1"/>
    <x v="2"/>
    <x v="3"/>
    <x v="0"/>
    <x v="22"/>
    <x v="11"/>
    <x v="10"/>
    <x v="1"/>
    <x v="1"/>
    <x v="0"/>
    <x v="1"/>
    <x v="0"/>
    <x v="0"/>
  </r>
  <r>
    <x v="30"/>
    <x v="15"/>
    <x v="0"/>
    <x v="1"/>
    <x v="5"/>
    <x v="7"/>
    <x v="0"/>
    <x v="14"/>
    <x v="7"/>
    <x v="6"/>
    <x v="1"/>
    <x v="1"/>
    <x v="0"/>
    <x v="3"/>
    <x v="0"/>
    <x v="0"/>
  </r>
  <r>
    <x v="30"/>
    <x v="9"/>
    <x v="0"/>
    <x v="1"/>
    <x v="4"/>
    <x v="6"/>
    <x v="0"/>
    <x v="14"/>
    <x v="8"/>
    <x v="4"/>
    <x v="1"/>
    <x v="1"/>
    <x v="0"/>
    <x v="4"/>
    <x v="0"/>
    <x v="0"/>
  </r>
  <r>
    <x v="30"/>
    <x v="10"/>
    <x v="0"/>
    <x v="1"/>
    <x v="4"/>
    <x v="6"/>
    <x v="0"/>
    <x v="14"/>
    <x v="8"/>
    <x v="12"/>
    <x v="1"/>
    <x v="1"/>
    <x v="0"/>
    <x v="4"/>
    <x v="0"/>
    <x v="0"/>
  </r>
  <r>
    <x v="30"/>
    <x v="16"/>
    <x v="0"/>
    <x v="1"/>
    <x v="4"/>
    <x v="6"/>
    <x v="0"/>
    <x v="14"/>
    <x v="8"/>
    <x v="7"/>
    <x v="1"/>
    <x v="1"/>
    <x v="0"/>
    <x v="4"/>
    <x v="0"/>
    <x v="0"/>
  </r>
  <r>
    <x v="30"/>
    <x v="14"/>
    <x v="0"/>
    <x v="1"/>
    <x v="5"/>
    <x v="7"/>
    <x v="0"/>
    <x v="14"/>
    <x v="7"/>
    <x v="8"/>
    <x v="1"/>
    <x v="1"/>
    <x v="0"/>
    <x v="3"/>
    <x v="0"/>
    <x v="0"/>
  </r>
  <r>
    <x v="30"/>
    <x v="12"/>
    <x v="0"/>
    <x v="1"/>
    <x v="5"/>
    <x v="7"/>
    <x v="0"/>
    <x v="14"/>
    <x v="7"/>
    <x v="2"/>
    <x v="1"/>
    <x v="1"/>
    <x v="0"/>
    <x v="1"/>
    <x v="0"/>
    <x v="0"/>
  </r>
  <r>
    <x v="31"/>
    <x v="15"/>
    <x v="0"/>
    <x v="1"/>
    <x v="5"/>
    <x v="7"/>
    <x v="0"/>
    <x v="23"/>
    <x v="7"/>
    <x v="6"/>
    <x v="1"/>
    <x v="1"/>
    <x v="0"/>
    <x v="3"/>
    <x v="0"/>
    <x v="0"/>
  </r>
  <r>
    <x v="31"/>
    <x v="9"/>
    <x v="2"/>
    <x v="9"/>
    <x v="3"/>
    <x v="0"/>
    <x v="0"/>
    <x v="23"/>
    <x v="14"/>
    <x v="4"/>
    <x v="1"/>
    <x v="1"/>
    <x v="0"/>
    <x v="4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  <r>
    <x v="32"/>
    <x v="18"/>
    <x v="2"/>
    <x v="9"/>
    <x v="6"/>
    <x v="16"/>
    <x v="0"/>
    <x v="23"/>
    <x v="15"/>
    <x v="0"/>
    <x v="0"/>
    <x v="0"/>
    <x v="0"/>
    <x v="5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3:B13" firstHeaderRow="1" firstDataRow="1" firstDataCol="1" rowPageCount="1" colPageCount="1"/>
  <pivotFields count="14">
    <pivotField axis="axisPage"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compact="0" showAll="0"/>
    <pivotField showAll="0"/>
    <pivotField dataField="1" showAll="0"/>
    <pivotField showAll="0"/>
    <pivotField showAll="0"/>
    <pivotField compact="0" showAll="0"/>
    <pivotField showAll="0"/>
    <pivotField showAll="0"/>
    <pivotField showAll="0"/>
  </pivotFields>
  <rowFields count="1">
    <field x="1"/>
  </rowFields>
  <rowItems count="10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 v="9"/>
    </i>
  </rowItems>
  <colItems count="1">
    <i t="grand">
      <x v="0"/>
    </i>
  </colItems>
  <pageFields count="1">
    <pageField fld="0" hier="-1"/>
  </pageFields>
  <dataFields count="1">
    <dataField name="Toplam G. Maaş" fld="7" subtotal="sum" numFmtId="167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5:G39" firstHeaderRow="1" firstDataRow="1" firstDataCol="6" rowPageCount="3" colPageCount="1"/>
  <pivotFields count="16">
    <pivotField axis="axisRow" compact="0" showAll="0" defaultSubtotal="0" outline="0">
      <items count="33"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Row" compact="0" showAll="0" defaultSubtotal="0" outline="0">
      <items count="19">
        <item x="0"/>
        <item x="2"/>
        <item x="10"/>
        <item x="11"/>
        <item x="12"/>
        <item x="14"/>
        <item x="17"/>
        <item x="18"/>
        <item x="1"/>
        <item x="3"/>
        <item x="4"/>
        <item x="5"/>
        <item x="6"/>
        <item x="7"/>
        <item x="8"/>
        <item x="9"/>
        <item x="13"/>
        <item x="15"/>
        <item x="16"/>
      </items>
    </pivotField>
    <pivotField axis="axisPage" compact="0" showAll="0" defaultSubtotal="0" outline="0">
      <items count="3">
        <item x="0"/>
        <item h="1" x="1"/>
        <item h="1" x="2"/>
      </items>
    </pivotField>
    <pivotField axis="axisRow" compact="0" showAll="0" defaultSubtotal="0" outline="0">
      <items count="10">
        <item x="0"/>
        <item x="1"/>
        <item x="2"/>
        <item x="3"/>
        <item x="4"/>
        <item x="5"/>
        <item x="8"/>
        <item x="9"/>
        <item x="6"/>
        <item x="7"/>
      </items>
    </pivotField>
    <pivotField axis="axisRow" compact="0" showAll="0" outline="0">
      <items count="9">
        <item x="6"/>
        <item x="7"/>
        <item x="0"/>
        <item x="1"/>
        <item x="2"/>
        <item x="3"/>
        <item x="4"/>
        <item x="5"/>
        <item t="default"/>
      </items>
    </pivotField>
    <pivotField dataField="1" compact="0" showAll="0" outline="0"/>
    <pivotField compact="0" showAll="0" outline="0"/>
    <pivotField axis="axisRow" compact="0" showAll="0" defaultSubtotal="0" outline="0">
      <items count="24">
        <item x="18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</items>
    </pivotField>
    <pivotField compact="0" showAll="0"/>
    <pivotField compact="0" showAll="0" outline="0"/>
    <pivotField compact="0" showAll="0"/>
    <pivotField axis="axisPage" compact="0" showAll="0" defaultSubtotal="0" outline="0">
      <items count="3">
        <item x="2"/>
        <item x="0"/>
        <item x="1"/>
      </items>
    </pivotField>
    <pivotField axis="axisRow" compact="0" showAll="0" defaultSubtotal="0" outline="0">
      <items count="2">
        <item x="1"/>
        <item x="0"/>
      </items>
    </pivotField>
    <pivotField axis="axisPage" compact="0" showAll="0" defaultSubtotal="0" outline="0">
      <items count="7">
        <item x="1"/>
        <item h="1" x="2"/>
        <item h="1" x="3"/>
        <item h="1" x="4"/>
        <item h="1" x="5"/>
        <item h="1" x="0"/>
        <item x="6"/>
      </items>
    </pivotField>
    <pivotField compact="0" showAll="0" outline="0"/>
    <pivotField compact="0" showAll="0" outline="0"/>
  </pivotFields>
  <rowFields count="6">
    <field x="0"/>
    <field x="12"/>
    <field x="1"/>
    <field x="7"/>
    <field x="3"/>
    <field x="4"/>
  </rowFields>
  <rowItems count="34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 v="33"/>
    </i>
  </rowItems>
  <colItems count="1">
    <i t="grand">
      <x v="0"/>
    </i>
  </colItems>
  <pageFields count="3">
    <pageField fld="11" hier="-1"/>
    <pageField fld="13" hier="-1"/>
    <pageField fld="2" hier="-1"/>
  </pageFields>
  <dataFields count="1">
    <dataField name="T. Tutar" fld="5" subtotal="sum" numFmtId="167"/>
  </dataFields>
  <formats count="2">
    <format dxfId="22">
      <pivotArea dataOnly="0" labelOnly="1" outline="0" fieldPosition="3"/>
    </format>
    <format dxfId="23">
      <pivotArea dataOnly="0" labelOnly="1" outline="0" fieldPosition="3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2:D19" firstHeaderRow="0" firstDataRow="1" firstDataCol="1"/>
  <pivotFields count="16">
    <pivotField showAll="0"/>
    <pivotField axis="axisRow" showAll="0">
      <items count="20">
        <item x="0"/>
        <item x="2"/>
        <item x="11"/>
        <item x="12"/>
        <item x="14"/>
        <item x="17"/>
        <item h="1" x="18"/>
        <item x="10"/>
        <item h="1" x="9"/>
        <item h="1" x="13"/>
        <item x="1"/>
        <item x="3"/>
        <item x="4"/>
        <item x="5"/>
        <item x="6"/>
        <item x="7"/>
        <item x="8"/>
        <item x="15"/>
        <item x="16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7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 v="16"/>
    </i>
  </rowItems>
  <colFields count="1">
    <field x="-2"/>
  </colFields>
  <colItems count="1">
    <i t="grand">
      <x v="0"/>
    </i>
  </colItems>
  <dataFields count="3">
    <dataField name="Toplam M. Tutar" fld="5" subtotal="sum" numFmtId="167"/>
    <dataField name="Toplam Ödeme" fld="6" subtotal="sum" numFmtId="177"/>
    <dataField name="Toplam Bakiye" fld="8" subtotal="sum" numFmtId="176"/>
  </dataFields>
  <pivotTableStyleInfo name="PivotStyleLight8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5:B8" firstHeaderRow="1" firstDataRow="1" firstDataCol="1" rowPageCount="2" colPageCount="1"/>
  <pivotFields count="16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axis="axisPage" showAll="0">
      <items count="8">
        <item h="1" x="1"/>
        <item h="1" x="2"/>
        <item x="3"/>
        <item h="1" x="4"/>
        <item h="1" x="5"/>
        <item x="0"/>
        <item x="6"/>
        <item t="default"/>
      </items>
    </pivotField>
    <pivotField showAll="0"/>
    <pivotField showAll="0"/>
  </pivotFields>
  <rowFields count="1">
    <field x="11"/>
  </rowFields>
  <rowItems count="3">
    <i>
      <x v="0"/>
    </i>
    <i>
      <x v="1"/>
    </i>
    <i t="grand">
      <x v="2"/>
    </i>
  </rowItems>
  <colItems count="1">
    <i t="grand">
      <x v="0"/>
    </i>
  </colItems>
  <pageFields count="2">
    <pageField fld="10" hier="-1"/>
    <pageField fld="13" hier="-1"/>
  </pageFields>
  <dataFields count="1">
    <dataField name="Toplam M. Tutar" fld="5" subtotal="sum" numFmtId="167"/>
  </dataFields>
  <pivotTableStyleInfo name="PivotStyleLight8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1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AI24" firstHeaderRow="1" firstDataRow="2" firstDataCol="1"/>
  <pivotFields count="16">
    <pivotField axis="axisCol" showAll="0">
      <items count="34"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showAll="0">
      <items count="20">
        <item x="0"/>
        <item x="2"/>
        <item x="11"/>
        <item x="12"/>
        <item x="14"/>
        <item x="17"/>
        <item x="18"/>
        <item x="10"/>
        <item x="9"/>
        <item x="13"/>
        <item x="1"/>
        <item x="3"/>
        <item x="4"/>
        <item x="5"/>
        <item x="6"/>
        <item x="7"/>
        <item x="8"/>
        <item x="15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 v="19"/>
    </i>
  </rowItems>
  <colFields count="1">
    <field x="0"/>
  </colFields>
  <colItems count="34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 v="33"/>
    </i>
  </colItems>
  <dataFields count="1">
    <dataField name="Toplam M. Tutar" fld="5" subtotal="sum" numFmtId="167"/>
  </dataFields>
  <pivotTableStyleInfo name="PivotStyleLight8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bordro" displayName="bordro" ref="B1:O237" headerRowCount="1" totalsRowCount="1" totalsRowShown="1">
  <autoFilter ref="B1:O237">
    <filterColumn colId="1">
      <filters>
        <filter val="8"/>
      </filters>
    </filterColumn>
    <filterColumn colId="6">
      <filters>
        <filter val="ABDULLAH KARAHANCI"/>
        <filter val="ARZU DANACI"/>
        <filter val="AYHAN DOĞRU"/>
        <filter val="BEKİR BULUT"/>
        <filter val="CİHAN DUYMAZ"/>
        <filter val="DURSUN ALİ NAZİK"/>
        <filter val="ENVER İBKİN"/>
        <filter val="MEHMET ALİ ALTINOK"/>
        <filter val="MUSTAFA KAHRAMAN"/>
        <filter val="NERMİN ŞEN"/>
        <filter val="OSMAN BİLGİN"/>
        <filter val="RAMAZAN TUNCER"/>
        <filter val="VEYSEL DUYMAZ"/>
        <filter val="VOLKAN KATRI"/>
        <filter val="YAŞAR COŞKUN"/>
      </filters>
    </filterColumn>
  </autoFilter>
  <tableColumns count="14">
    <tableColumn id="1" name="YIL"/>
    <tableColumn id="2" name="AY"/>
    <tableColumn id="3" name="SSK FRM"/>
    <tableColumn id="4" name="TC KİMLİK NO"/>
    <tableColumn id="5" name="MÜŞT. NO"/>
    <tableColumn id="6" name="Sütun1"/>
    <tableColumn id="7" name="Personel"/>
    <tableColumn id="8" name="G. Maaş"/>
    <tableColumn id="9" name="SGK-BNK" totalsRowFunction="sum"/>
    <tableColumn id="10" name="E." totalsRowFunction="sum"/>
    <tableColumn id="11" name="B+E" totalsRowFunction="sum"/>
    <tableColumn id="12" name="Eld. [+/-]"/>
    <tableColumn id="13" name="Açıklama"/>
    <tableColumn id="14" name="Yİ"/>
  </tableColumns>
</table>
</file>

<file path=xl/tables/table2.xml><?xml version="1.0" encoding="utf-8"?>
<table xmlns="http://schemas.openxmlformats.org/spreadsheetml/2006/main" id="2" name="bordro2" displayName="bordro2" ref="B1:S961" headerRowCount="1" totalsRowCount="0" totalsRowShown="0">
  <autoFilter ref="B1:S961">
    <filterColumn colId="0">
      <filters>
        <filter val="2023"/>
      </filters>
    </filterColumn>
    <filterColumn colId="1">
      <filters>
        <filter val="1"/>
      </filters>
    </filterColumn>
  </autoFilter>
  <tableColumns count="18">
    <tableColumn id="1" name="YIL"/>
    <tableColumn id="2" name="AY"/>
    <tableColumn id="3" name="SSK FRM"/>
    <tableColumn id="4" name="TC KİMLİK NO"/>
    <tableColumn id="5" name="MÜŞT. NO"/>
    <tableColumn id="6" name="EK"/>
    <tableColumn id="7" name="Personel"/>
    <tableColumn id="8" name="BANKA"/>
    <tableColumn id="9" name="G. Maaş"/>
    <tableColumn id="10" name="SGK-BNK"/>
    <tableColumn id="11" name="E."/>
    <tableColumn id="12" name="B+E"/>
    <tableColumn id="13" name="Eld. [+/-]"/>
    <tableColumn id="14" name="Açıklama"/>
    <tableColumn id="15" name="Bnk. Avans/Rapor"/>
    <tableColumn id="16" name="Eks.Gün"/>
    <tableColumn id="17" name="Yİ"/>
    <tableColumn id="18" name="Açıklama2"/>
  </tableColumns>
</table>
</file>

<file path=xl/tables/table3.xml><?xml version="1.0" encoding="utf-8"?>
<table xmlns="http://schemas.openxmlformats.org/spreadsheetml/2006/main" id="3" name="bordro3" displayName="bordro3" ref="B1:O173" headerRowCount="1" totalsRowCount="1" totalsRowShown="1">
  <autoFilter ref="B1:O173"/>
  <tableColumns count="14">
    <tableColumn id="1" name="YIL"/>
    <tableColumn id="2" name="AY"/>
    <tableColumn id="3" name="SSK FRM"/>
    <tableColumn id="4" name="TC KİMLİK NO"/>
    <tableColumn id="5" name="MÜŞT. NO"/>
    <tableColumn id="6" name="Sütun1"/>
    <tableColumn id="7" name="Personel"/>
    <tableColumn id="8" name="G. Maaş"/>
    <tableColumn id="9" name="SGK-BNK" totalsRowFunction="sum"/>
    <tableColumn id="10" name="E." totalsRowFunction="sum"/>
    <tableColumn id="11" name="B+E" totalsRowFunction="sum"/>
    <tableColumn id="12" name="Eld. [+/-]"/>
    <tableColumn id="13" name="Açıklama"/>
    <tableColumn id="14" name="Yİ"/>
  </tableColumns>
</table>
</file>

<file path=xl/tables/table4.xml><?xml version="1.0" encoding="utf-8"?>
<table xmlns="http://schemas.openxmlformats.org/spreadsheetml/2006/main" id="4" name="bordro810" displayName="bordro810" ref="A2:P320" headerRowCount="1" totalsRowCount="1" totalsRowShown="1">
  <autoFilter ref="A2:P320"/>
  <tableColumns count="16">
    <tableColumn id="1" name="Tarih"/>
    <tableColumn id="2" name="Personel"/>
    <tableColumn id="3" name="İşlem"/>
    <tableColumn id="4" name="Saat"/>
    <tableColumn id="5" name="S.Ücret"/>
    <tableColumn id="6" name="M. Tutar" totalsRowFunction="sum"/>
    <tableColumn id="7" name="Ödeme" totalsRowFunction="sum"/>
    <tableColumn id="8" name="Açıklama"/>
    <tableColumn id="9" name="Bakiye"/>
    <tableColumn id="10" name="Per. Bakiye"/>
    <tableColumn id="11" name="YIL"/>
    <tableColumn id="12" name="ay"/>
    <tableColumn id="13" name="Gün"/>
    <tableColumn id="14" name="grp"/>
    <tableColumn id="15" name="Eski_M.Tutar"/>
    <tableColumn id="16" name="Sütun1"/>
  </tableColumns>
</table>
</file>

<file path=xl/tables/table5.xml><?xml version="1.0" encoding="utf-8"?>
<table xmlns="http://schemas.openxmlformats.org/spreadsheetml/2006/main" id="5" name="bordro8105" displayName="bordro8105" ref="A2:G35" headerRowCount="1" totalsRowCount="0" totalsRowShown="0">
  <autoFilter ref="A2:G35"/>
  <tableColumns count="7">
    <tableColumn id="1" name="Tarih"/>
    <tableColumn id="2" name="Personel"/>
    <tableColumn id="3" name="İşlem"/>
    <tableColumn id="4" name="Avans"/>
    <tableColumn id="5" name="Kesinti"/>
    <tableColumn id="6" name="Açıklama"/>
    <tableColumn id="7" name="Per. Bakiye"/>
  </tableColumns>
</table>
</file>

<file path=xl/tables/table6.xml><?xml version="1.0" encoding="utf-8"?>
<table xmlns="http://schemas.openxmlformats.org/spreadsheetml/2006/main" id="6" name="bordro89" displayName="bordro89" ref="B3:H28" headerRowCount="1" totalsRowCount="1" totalsRowShown="1">
  <autoFilter ref="B3:H28"/>
  <tableColumns count="7">
    <tableColumn id="1" name="Personel"/>
    <tableColumn id="2" name="T.Saat" totalsRowFunction="sum"/>
    <tableColumn id="3" name="T. MESAİ" totalsRowFunction="sum"/>
    <tableColumn id="4" name="T. ÖDEME" totalsRowFunction="sum"/>
    <tableColumn id="5" name="BAKİYE" totalsRowFunction="sum"/>
    <tableColumn id="6" name="Sütun1"/>
    <tableColumn id="7" name="Sütun2"/>
  </tableColumns>
</table>
</file>

<file path=xl/tables/table7.xml><?xml version="1.0" encoding="utf-8"?>
<table xmlns="http://schemas.openxmlformats.org/spreadsheetml/2006/main" id="7" name="personelListesiGuncel" displayName="personelListesiGuncel" ref="A1:K38" headerRowCount="1" totalsRowCount="1" totalsRowShown="1">
  <autoFilter ref="A1:K38"/>
  <tableColumns count="11">
    <tableColumn id="1" name="PERSONEL"/>
    <tableColumn id="2" name="MAAŞ TUTARI" totalsRowFunction="sum"/>
    <tableColumn id="3" name="DURUM"/>
    <tableColumn id="4" name="GÖREV"/>
    <tableColumn id="5" name="FM Saat Ücr."/>
    <tableColumn id="6" name="GERÇEK MAAŞ" totalsRowFunction="sum"/>
    <tableColumn id="7" name="SGK M." totalsRowFunction="sum"/>
    <tableColumn id="8" name="yi" totalsRowFunction="sum"/>
    <tableColumn id="9" name="Durum2"/>
    <tableColumn id="10" name="SSK FRM"/>
    <tableColumn id="11" name="TC KİMLİK NO"/>
  </tableColumns>
</table>
</file>

<file path=xl/tables/table8.xml><?xml version="1.0" encoding="utf-8"?>
<table xmlns="http://schemas.openxmlformats.org/spreadsheetml/2006/main" id="8" name="personelListesiGuncel8" displayName="personelListesiGuncel8" ref="A1:P20" headerRowCount="1" totalsRowCount="1" totalsRowShown="1">
  <autoFilter ref="A1:P20"/>
  <tableColumns count="16">
    <tableColumn id="1" name="PERSONEL"/>
    <tableColumn id="2" name="MAAŞ TUTARI" totalsRowFunction="sum"/>
    <tableColumn id="3" name="DURUM"/>
    <tableColumn id="4" name="GÖREV"/>
    <tableColumn id="5" name="GERÇEK MAAŞ" totalsRowFunction="sum"/>
    <tableColumn id="6" name="SGK M." totalsRowFunction="sum"/>
    <tableColumn id="7" name="SGK FM." totalsRowFunction="sum"/>
    <tableColumn id="8" name="Eksik Gün-Kesinti" totalsRowFunction="sum"/>
    <tableColumn id="9" name="yi" totalsRowFunction="sum"/>
    <tableColumn id="10" name="Sütun1"/>
    <tableColumn id="11" name="Durum2"/>
    <tableColumn id="12" name="SSK FRM"/>
    <tableColumn id="13" name="TC KİMLİK NO"/>
    <tableColumn id="14" name="MÜŞT. NO"/>
    <tableColumn id="15" name="EK"/>
    <tableColumn id="16" name="İşe B. Tar."/>
  </tableColumns>
</table>
</file>

<file path=xl/tables/table9.xml><?xml version="1.0" encoding="utf-8"?>
<table xmlns="http://schemas.openxmlformats.org/spreadsheetml/2006/main" id="9" name="Tablo13" displayName="Tablo13" ref="A1:G13" headerRowCount="1" totalsRowCount="0" totalsRowShown="0">
  <autoFilter ref="A1:G13">
    <filterColumn colId="2">
      <filters>
        <filter val="CİHAN DUYMAZ"/>
        <filter val="ENVER İBKİN"/>
        <filter val="MEHMET ALİ ALTINOK"/>
        <filter val="MUSTAFA KAHRAMAN"/>
        <filter val="NERMİN ŞEN"/>
        <filter val="OSMAN BİLGİN"/>
        <filter val="VEYSEL DUYMAZ"/>
        <filter val="YAŞAR COŞKUN"/>
      </filters>
    </filterColumn>
  </autoFilter>
  <tableColumns count="7">
    <tableColumn id="1" name="SIRA NO"/>
    <tableColumn id="2" name="GÖREVİ"/>
    <tableColumn id="3" name="ADI-SOYADI"/>
    <tableColumn id="4" name="Oca.24"/>
    <tableColumn id="5" name="Tem.24"/>
    <tableColumn id="6" name="Ağu.24"/>
    <tableColumn id="7" name="Oca.25"/>
  </tableColumns>
</table>
</file>

<file path=xl/tables/table10.xml><?xml version="1.0" encoding="utf-8"?>
<table xmlns="http://schemas.openxmlformats.org/spreadsheetml/2006/main" id="10" name="Tablo14" displayName="Tablo14" ref="B1:O319" headerRowCount="1" totalsRowCount="0" totalsRowShown="0">
  <autoFilter ref="B1:O319"/>
  <tableColumns count="14">
    <tableColumn id="1" name="YIL"/>
    <tableColumn id="2" name="AY"/>
    <tableColumn id="3" name="SSK FRM"/>
    <tableColumn id="4" name="TC KİMLİK NO"/>
    <tableColumn id="5" name="MÜŞT. NO"/>
    <tableColumn id="6" name="Sütun1"/>
    <tableColumn id="7" name="Personel"/>
    <tableColumn id="8" name="G. Maaş"/>
    <tableColumn id="9" name="SGK-BNK"/>
    <tableColumn id="10" name="E."/>
    <tableColumn id="11" name="B+E"/>
    <tableColumn id="12" name="Eld. [+/-]"/>
    <tableColumn id="13" name="Açıklama"/>
    <tableColumn id="14" name="Yİ"/>
  </tableColumns>
</table>
</file>

<file path=xl/tables/table11.xml><?xml version="1.0" encoding="utf-8"?>
<table xmlns="http://schemas.openxmlformats.org/spreadsheetml/2006/main" id="11" name="Tablo3" displayName="Tablo3" ref="A1:F29" headerRowCount="1" totalsRowCount="1" totalsRowShown="1">
  <autoFilter ref="A1:F29"/>
  <tableColumns count="6">
    <tableColumn id="1" name="İSİM"/>
    <tableColumn id="2" name="TARİH"/>
    <tableColumn id="3" name="PLAN"/>
    <tableColumn id="4" name="İŞLEM"/>
    <tableColumn id="5" name="AÇIKLAMA"/>
    <tableColumn id="6" name="TUTAR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pivotTable" Target="../pivotTables/pivotTable5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F25" activeCellId="0" sqref="F25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17.57"/>
    <col collapsed="false" customWidth="true" hidden="false" outlineLevel="0" max="2" min="2" style="1" width="10.85"/>
    <col collapsed="false" customWidth="true" hidden="false" outlineLevel="0" max="3" min="3" style="2" width="10.57"/>
    <col collapsed="false" customWidth="true" hidden="false" outlineLevel="0" max="4" min="4" style="1" width="10.57"/>
    <col collapsed="false" customWidth="true" hidden="false" outlineLevel="0" max="5" min="5" style="1" width="20.71"/>
    <col collapsed="false" customWidth="true" hidden="false" outlineLevel="0" max="6" min="6" style="2" width="10.57"/>
  </cols>
  <sheetData>
    <row r="1" customFormat="false" ht="15" hidden="false" customHeight="false" outlineLevel="0" collapsed="false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customFormat="false" ht="15" hidden="false" customHeight="false" outlineLevel="0" collapsed="false">
      <c r="A2" s="4" t="s">
        <v>6</v>
      </c>
      <c r="B2" s="5" t="n">
        <v>44209</v>
      </c>
      <c r="C2" s="6"/>
      <c r="D2" s="4" t="s">
        <v>7</v>
      </c>
      <c r="E2" s="4"/>
      <c r="F2" s="6" t="n">
        <v>30800</v>
      </c>
    </row>
    <row r="3" customFormat="false" ht="15" hidden="false" customHeight="false" outlineLevel="0" collapsed="false">
      <c r="A3" s="4" t="s">
        <v>6</v>
      </c>
      <c r="B3" s="5" t="n">
        <v>44209</v>
      </c>
      <c r="C3" s="6"/>
      <c r="D3" s="4" t="s">
        <v>8</v>
      </c>
      <c r="E3" s="4"/>
      <c r="F3" s="6" t="n">
        <v>-5000</v>
      </c>
    </row>
    <row r="4" customFormat="false" ht="15" hidden="false" customHeight="false" outlineLevel="0" collapsed="false">
      <c r="A4" s="4" t="s">
        <v>6</v>
      </c>
      <c r="B4" s="5" t="n">
        <v>44245</v>
      </c>
      <c r="C4" s="6"/>
      <c r="D4" s="4" t="s">
        <v>8</v>
      </c>
      <c r="E4" s="4"/>
      <c r="F4" s="6" t="n">
        <v>-5000</v>
      </c>
    </row>
    <row r="5" customFormat="false" ht="15" hidden="false" customHeight="false" outlineLevel="0" collapsed="false">
      <c r="A5" s="4" t="s">
        <v>6</v>
      </c>
      <c r="B5" s="5" t="n">
        <v>44273</v>
      </c>
      <c r="C5" s="6"/>
      <c r="D5" s="4" t="s">
        <v>8</v>
      </c>
      <c r="E5" s="4"/>
      <c r="F5" s="6" t="n">
        <v>-10000</v>
      </c>
    </row>
    <row r="6" customFormat="false" ht="15" hidden="false" customHeight="false" outlineLevel="0" collapsed="false">
      <c r="A6" s="4" t="s">
        <v>6</v>
      </c>
      <c r="B6" s="5" t="n">
        <v>44343</v>
      </c>
      <c r="C6" s="7"/>
      <c r="D6" s="4" t="s">
        <v>8</v>
      </c>
      <c r="E6" s="4"/>
      <c r="F6" s="6" t="n">
        <v>-3500</v>
      </c>
    </row>
    <row r="7" customFormat="false" ht="15" hidden="false" customHeight="false" outlineLevel="0" collapsed="false">
      <c r="A7" s="4" t="s">
        <v>6</v>
      </c>
      <c r="B7" s="5" t="n">
        <v>44413</v>
      </c>
      <c r="C7" s="7"/>
      <c r="D7" s="4" t="s">
        <v>8</v>
      </c>
      <c r="E7" s="4"/>
      <c r="F7" s="6" t="n">
        <v>-4000</v>
      </c>
    </row>
    <row r="8" customFormat="false" ht="15" hidden="false" customHeight="false" outlineLevel="0" collapsed="false">
      <c r="A8" s="1" t="s">
        <v>6</v>
      </c>
      <c r="B8" s="8"/>
      <c r="C8" s="9"/>
      <c r="D8" s="1" t="s">
        <v>8</v>
      </c>
    </row>
    <row r="9" customFormat="false" ht="15" hidden="false" customHeight="false" outlineLevel="0" collapsed="false">
      <c r="A9" s="4" t="s">
        <v>9</v>
      </c>
      <c r="B9" s="5" t="n">
        <v>44255</v>
      </c>
      <c r="C9" s="6"/>
      <c r="D9" s="4" t="s">
        <v>7</v>
      </c>
      <c r="E9" s="4"/>
      <c r="F9" s="6" t="n">
        <v>4391</v>
      </c>
    </row>
    <row r="10" customFormat="false" ht="15" hidden="false" customHeight="false" outlineLevel="0" collapsed="false">
      <c r="A10" s="4" t="s">
        <v>9</v>
      </c>
      <c r="B10" s="5"/>
      <c r="C10" s="7"/>
      <c r="D10" s="4" t="s">
        <v>8</v>
      </c>
      <c r="E10" s="4"/>
      <c r="F10" s="6" t="n">
        <v>-4391</v>
      </c>
    </row>
    <row r="11" customFormat="false" ht="15" hidden="false" customHeight="false" outlineLevel="0" collapsed="false">
      <c r="A11" s="4" t="s">
        <v>10</v>
      </c>
      <c r="B11" s="5" t="n">
        <v>44242</v>
      </c>
      <c r="C11" s="7"/>
      <c r="D11" s="4" t="s">
        <v>7</v>
      </c>
      <c r="E11" s="4"/>
      <c r="F11" s="6" t="n">
        <v>10478.42</v>
      </c>
    </row>
    <row r="12" customFormat="false" ht="15" hidden="false" customHeight="false" outlineLevel="0" collapsed="false">
      <c r="A12" s="4" t="s">
        <v>10</v>
      </c>
      <c r="B12" s="5" t="n">
        <v>44326</v>
      </c>
      <c r="C12" s="7"/>
      <c r="D12" s="4" t="s">
        <v>8</v>
      </c>
      <c r="E12" s="4"/>
      <c r="F12" s="6" t="n">
        <v>-5000</v>
      </c>
    </row>
    <row r="13" customFormat="false" ht="15" hidden="false" customHeight="false" outlineLevel="0" collapsed="false">
      <c r="A13" s="4" t="s">
        <v>10</v>
      </c>
      <c r="B13" s="5"/>
      <c r="C13" s="7"/>
      <c r="D13" s="4" t="s">
        <v>8</v>
      </c>
      <c r="E13" s="4"/>
      <c r="F13" s="6" t="n">
        <v>-5478.42</v>
      </c>
    </row>
    <row r="14" customFormat="false" ht="15" hidden="false" customHeight="false" outlineLevel="0" collapsed="false">
      <c r="A14" s="4" t="s">
        <v>11</v>
      </c>
      <c r="B14" s="5"/>
      <c r="C14" s="7"/>
      <c r="D14" s="4" t="s">
        <v>7</v>
      </c>
      <c r="E14" s="4" t="s">
        <v>12</v>
      </c>
      <c r="F14" s="6" t="n">
        <v>6500</v>
      </c>
    </row>
    <row r="15" customFormat="false" ht="15" hidden="false" customHeight="false" outlineLevel="0" collapsed="false">
      <c r="A15" s="4" t="s">
        <v>11</v>
      </c>
      <c r="B15" s="5" t="n">
        <v>44250</v>
      </c>
      <c r="C15" s="7"/>
      <c r="D15" s="4" t="s">
        <v>8</v>
      </c>
      <c r="E15" s="4"/>
      <c r="F15" s="6" t="n">
        <v>-3250</v>
      </c>
    </row>
    <row r="16" customFormat="false" ht="15" hidden="false" customHeight="false" outlineLevel="0" collapsed="false">
      <c r="A16" s="4" t="s">
        <v>11</v>
      </c>
      <c r="B16" s="5" t="n">
        <v>44278</v>
      </c>
      <c r="C16" s="7"/>
      <c r="D16" s="4" t="s">
        <v>8</v>
      </c>
      <c r="E16" s="4"/>
      <c r="F16" s="6" t="n">
        <v>-3250</v>
      </c>
    </row>
    <row r="17" customFormat="false" ht="15" hidden="false" customHeight="false" outlineLevel="0" collapsed="false">
      <c r="A17" s="4" t="s">
        <v>13</v>
      </c>
      <c r="B17" s="5" t="n">
        <v>44357</v>
      </c>
      <c r="C17" s="7"/>
      <c r="D17" s="4" t="s">
        <v>7</v>
      </c>
      <c r="E17" s="4"/>
      <c r="F17" s="6" t="n">
        <v>4354.24</v>
      </c>
    </row>
    <row r="18" customFormat="false" ht="15" hidden="false" customHeight="false" outlineLevel="0" collapsed="false">
      <c r="A18" s="4" t="s">
        <v>13</v>
      </c>
      <c r="B18" s="5"/>
      <c r="C18" s="7"/>
      <c r="D18" s="4" t="s">
        <v>8</v>
      </c>
      <c r="E18" s="4"/>
      <c r="F18" s="6" t="n">
        <v>-2000.24</v>
      </c>
    </row>
    <row r="19" customFormat="false" ht="15" hidden="false" customHeight="false" outlineLevel="0" collapsed="false">
      <c r="A19" s="4" t="s">
        <v>13</v>
      </c>
      <c r="B19" s="5"/>
      <c r="C19" s="7"/>
      <c r="D19" s="4" t="s">
        <v>8</v>
      </c>
      <c r="E19" s="4"/>
      <c r="F19" s="6" t="n">
        <v>-2354</v>
      </c>
    </row>
    <row r="20" customFormat="false" ht="15" hidden="false" customHeight="false" outlineLevel="0" collapsed="false">
      <c r="A20" s="4" t="s">
        <v>14</v>
      </c>
      <c r="B20" s="5" t="n">
        <v>44335</v>
      </c>
      <c r="C20" s="7"/>
      <c r="D20" s="4" t="s">
        <v>7</v>
      </c>
      <c r="E20" s="4"/>
      <c r="F20" s="6" t="n">
        <v>3000</v>
      </c>
    </row>
    <row r="21" customFormat="false" ht="15" hidden="false" customHeight="false" outlineLevel="0" collapsed="false">
      <c r="A21" s="4" t="s">
        <v>14</v>
      </c>
      <c r="B21" s="5"/>
      <c r="C21" s="7"/>
      <c r="D21" s="4" t="s">
        <v>8</v>
      </c>
      <c r="E21" s="4"/>
      <c r="F21" s="6" t="n">
        <v>-1000</v>
      </c>
    </row>
    <row r="22" customFormat="false" ht="15" hidden="false" customHeight="false" outlineLevel="0" collapsed="false">
      <c r="A22" s="4" t="s">
        <v>14</v>
      </c>
      <c r="B22" s="5"/>
      <c r="C22" s="7"/>
      <c r="D22" s="4" t="s">
        <v>8</v>
      </c>
      <c r="E22" s="4"/>
      <c r="F22" s="6" t="n">
        <v>-2000</v>
      </c>
    </row>
    <row r="23" customFormat="false" ht="15" hidden="false" customHeight="false" outlineLevel="0" collapsed="false">
      <c r="A23" s="4" t="s">
        <v>15</v>
      </c>
      <c r="B23" s="5" t="n">
        <v>43979</v>
      </c>
      <c r="C23" s="7"/>
      <c r="D23" s="4" t="s">
        <v>7</v>
      </c>
      <c r="E23" s="4"/>
      <c r="F23" s="6" t="n">
        <v>13720.35</v>
      </c>
    </row>
    <row r="24" customFormat="false" ht="15" hidden="false" customHeight="false" outlineLevel="0" collapsed="false">
      <c r="A24" s="4" t="s">
        <v>15</v>
      </c>
      <c r="B24" s="5"/>
      <c r="C24" s="7"/>
      <c r="D24" s="4" t="s">
        <v>8</v>
      </c>
      <c r="E24" s="4"/>
      <c r="F24" s="6" t="n">
        <v>-10020.35</v>
      </c>
    </row>
    <row r="25" customFormat="false" ht="15" hidden="false" customHeight="false" outlineLevel="0" collapsed="false">
      <c r="A25" s="4" t="s">
        <v>15</v>
      </c>
      <c r="B25" s="5"/>
      <c r="C25" s="7"/>
      <c r="D25" s="4" t="s">
        <v>8</v>
      </c>
      <c r="E25" s="4"/>
      <c r="F25" s="6" t="n">
        <v>-7000</v>
      </c>
    </row>
    <row r="26" customFormat="false" ht="15" hidden="false" customHeight="false" outlineLevel="0" collapsed="false">
      <c r="A26" s="1" t="s">
        <v>16</v>
      </c>
      <c r="B26" s="8" t="n">
        <v>44805</v>
      </c>
      <c r="C26" s="9"/>
      <c r="D26" s="1" t="s">
        <v>7</v>
      </c>
      <c r="F26" s="2" t="n">
        <v>9570</v>
      </c>
    </row>
    <row r="27" customFormat="false" ht="15" hidden="false" customHeight="false" outlineLevel="0" collapsed="false">
      <c r="A27" s="1" t="s">
        <v>16</v>
      </c>
      <c r="B27" s="8" t="n">
        <v>44805</v>
      </c>
      <c r="C27" s="9"/>
      <c r="D27" s="1" t="s">
        <v>8</v>
      </c>
      <c r="F27" s="2" t="n">
        <v>-4570</v>
      </c>
    </row>
    <row r="28" customFormat="false" ht="15" hidden="false" customHeight="false" outlineLevel="0" collapsed="false">
      <c r="B28" s="8"/>
      <c r="C28" s="9"/>
    </row>
    <row r="29" customFormat="false" ht="15" hidden="false" customHeight="false" outlineLevel="0" collapsed="false">
      <c r="B29" s="8"/>
      <c r="C29" s="10"/>
      <c r="F29" s="10" t="n">
        <f aca="false">SUBTOTAL(109,Tablo3[TUTAR])</f>
        <v>5000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A1" activeCellId="0" sqref="A1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1" width="21.71"/>
    <col collapsed="false" customWidth="true" hidden="false" outlineLevel="0" max="2" min="2" style="11" width="13.29"/>
    <col collapsed="false" customWidth="true" hidden="false" outlineLevel="0" max="3" min="3" style="11" width="8.57"/>
    <col collapsed="false" customWidth="true" hidden="false" outlineLevel="0" max="4" min="4" style="11" width="11.29"/>
    <col collapsed="false" customWidth="true" hidden="false" outlineLevel="0" max="5" min="5" style="11" width="10.29"/>
    <col collapsed="false" customWidth="true" hidden="false" outlineLevel="0" max="6" min="6" style="11" width="10.42"/>
    <col collapsed="false" customWidth="true" hidden="false" outlineLevel="0" max="7" min="7" style="12" width="9.42"/>
    <col collapsed="false" customWidth="true" hidden="false" outlineLevel="0" max="8" min="8" style="12" width="18.14"/>
    <col collapsed="false" customWidth="true" hidden="true" outlineLevel="0" max="9" min="9" style="12" width="8.71"/>
    <col collapsed="false" customWidth="true" hidden="false" outlineLevel="0" max="10" min="10" style="12" width="8.71"/>
    <col collapsed="false" customWidth="false" hidden="false" outlineLevel="0" max="12" min="11" style="13" width="9.14"/>
    <col collapsed="false" customWidth="true" hidden="false" outlineLevel="0" max="13" min="13" style="13" width="13.15"/>
    <col collapsed="false" customWidth="true" hidden="false" outlineLevel="0" max="14" min="14" style="13" width="14"/>
    <col collapsed="false" customWidth="true" hidden="false" outlineLevel="0" max="15" min="15" style="13" width="5.14"/>
    <col collapsed="false" customWidth="true" hidden="false" outlineLevel="0" max="16" min="16" style="14" width="11.14"/>
    <col collapsed="false" customWidth="false" hidden="false" outlineLevel="0" max="16384" min="17" style="13" width="9.14"/>
  </cols>
  <sheetData>
    <row r="1" customFormat="false" ht="15" hidden="false" customHeight="false" outlineLevel="0" collapsed="false">
      <c r="A1" s="15" t="s">
        <v>17</v>
      </c>
      <c r="B1" s="16" t="s">
        <v>18</v>
      </c>
      <c r="C1" s="17" t="s">
        <v>19</v>
      </c>
      <c r="D1" s="18" t="s">
        <v>20</v>
      </c>
      <c r="E1" s="19" t="s">
        <v>21</v>
      </c>
      <c r="F1" s="19" t="s">
        <v>22</v>
      </c>
      <c r="G1" s="20" t="s">
        <v>23</v>
      </c>
      <c r="H1" s="21" t="s">
        <v>24</v>
      </c>
      <c r="I1" s="21" t="s">
        <v>25</v>
      </c>
      <c r="J1" s="21" t="s">
        <v>26</v>
      </c>
      <c r="K1" s="22" t="s">
        <v>27</v>
      </c>
      <c r="L1" s="18" t="s">
        <v>28</v>
      </c>
      <c r="M1" s="23" t="s">
        <v>29</v>
      </c>
      <c r="N1" s="24" t="s">
        <v>30</v>
      </c>
      <c r="O1" s="25" t="s">
        <v>31</v>
      </c>
      <c r="P1" s="26" t="s">
        <v>32</v>
      </c>
      <c r="Q1" s="15"/>
      <c r="R1" s="15"/>
      <c r="S1" s="15"/>
    </row>
    <row r="2" customFormat="false" ht="15" hidden="false" customHeight="false" outlineLevel="0" collapsed="false">
      <c r="A2" s="14" t="s">
        <v>14</v>
      </c>
      <c r="B2" s="27" t="n">
        <v>547</v>
      </c>
      <c r="C2" s="28" t="s">
        <v>33</v>
      </c>
      <c r="D2" s="29" t="s">
        <v>34</v>
      </c>
      <c r="E2" s="28" t="n">
        <v>3600</v>
      </c>
      <c r="F2" s="30" t="n">
        <v>547</v>
      </c>
      <c r="G2" s="28" t="n">
        <v>0</v>
      </c>
      <c r="H2" s="31" t="n">
        <v>25</v>
      </c>
      <c r="I2" s="31" t="n">
        <f aca="false">SUMIF(bordro[Personel],personelListesiGuncel[[#This Row],[PERSONEL]],bordro[Yİ])</f>
        <v>0</v>
      </c>
      <c r="J2" s="31"/>
      <c r="K2" s="13" t="s">
        <v>35</v>
      </c>
      <c r="L2" s="32" t="s">
        <v>36</v>
      </c>
      <c r="M2" s="33" t="s">
        <v>37</v>
      </c>
      <c r="N2" s="33" t="n">
        <v>95532068</v>
      </c>
      <c r="O2" s="34" t="n">
        <v>1</v>
      </c>
      <c r="P2" s="35"/>
    </row>
    <row r="3" customFormat="false" ht="15" hidden="false" customHeight="false" outlineLevel="0" collapsed="false">
      <c r="A3" s="14" t="s">
        <v>38</v>
      </c>
      <c r="B3" s="27" t="n">
        <v>3600</v>
      </c>
      <c r="C3" s="28" t="s">
        <v>39</v>
      </c>
      <c r="D3" s="29" t="s">
        <v>40</v>
      </c>
      <c r="E3" s="28" t="n">
        <v>3600</v>
      </c>
      <c r="F3" s="30" t="n">
        <v>3100</v>
      </c>
      <c r="G3" s="28" t="n">
        <v>500</v>
      </c>
      <c r="H3" s="31"/>
      <c r="I3" s="31" t="n">
        <f aca="false">SUMIF(bordro[Personel],personelListesiGuncel[[#This Row],[PERSONEL]],bordro[Yİ])</f>
        <v>0</v>
      </c>
      <c r="J3" s="31"/>
      <c r="K3" s="13" t="s">
        <v>35</v>
      </c>
      <c r="L3" s="32" t="s">
        <v>36</v>
      </c>
      <c r="M3" s="33" t="s">
        <v>41</v>
      </c>
      <c r="N3" s="33" t="n">
        <v>95532072</v>
      </c>
      <c r="O3" s="34" t="n">
        <v>1</v>
      </c>
      <c r="P3" s="35"/>
    </row>
    <row r="4" customFormat="false" ht="15" hidden="false" customHeight="false" outlineLevel="0" collapsed="false">
      <c r="A4" s="11" t="s">
        <v>42</v>
      </c>
      <c r="B4" s="27" t="n">
        <v>3353.97</v>
      </c>
      <c r="C4" s="28" t="s">
        <v>39</v>
      </c>
      <c r="D4" s="29" t="s">
        <v>43</v>
      </c>
      <c r="E4" s="11" t="n">
        <v>3353.97</v>
      </c>
      <c r="F4" s="11" t="n">
        <v>3053.97</v>
      </c>
      <c r="G4" s="28" t="n">
        <v>300</v>
      </c>
      <c r="H4" s="31"/>
      <c r="I4" s="31" t="n">
        <f aca="false">SUMIF(bordro[Personel],personelListesiGuncel[[#This Row],[PERSONEL]],bordro[Yİ])</f>
        <v>0</v>
      </c>
      <c r="J4" s="31"/>
      <c r="K4" s="13" t="s">
        <v>35</v>
      </c>
      <c r="L4" s="36" t="s">
        <v>44</v>
      </c>
      <c r="M4" s="13" t="n">
        <v>40340193420</v>
      </c>
      <c r="N4" s="13" t="n">
        <v>97253706</v>
      </c>
      <c r="O4" s="13" t="n">
        <v>1</v>
      </c>
      <c r="R4" s="13" t="n">
        <v>4000</v>
      </c>
    </row>
    <row r="5" customFormat="false" ht="15" hidden="false" customHeight="false" outlineLevel="0" collapsed="false">
      <c r="A5" s="36" t="s">
        <v>45</v>
      </c>
      <c r="B5" s="37" t="n">
        <f aca="false">personelListesiGuncel[[#This Row],[SGK M.]]+personelListesiGuncel[[#This Row],[yi]]</f>
        <v>1670</v>
      </c>
      <c r="C5" s="38" t="s">
        <v>33</v>
      </c>
      <c r="D5" s="39" t="s">
        <v>34</v>
      </c>
      <c r="E5" s="38" t="n">
        <v>6000</v>
      </c>
      <c r="F5" s="36" t="n">
        <v>4253</v>
      </c>
      <c r="G5" s="28" t="n">
        <v>0</v>
      </c>
      <c r="H5" s="31" t="s">
        <v>46</v>
      </c>
      <c r="I5" s="31" t="n">
        <f aca="false">SUMIF(bordro[Personel],personelListesiGuncel[[#This Row],[PERSONEL]],bordro[Yİ])</f>
        <v>0</v>
      </c>
      <c r="J5" s="31"/>
      <c r="K5" s="13" t="s">
        <v>47</v>
      </c>
      <c r="L5" s="36" t="s">
        <v>36</v>
      </c>
      <c r="M5" s="13" t="n">
        <v>11707921468</v>
      </c>
      <c r="N5" s="13" t="n">
        <v>94987081</v>
      </c>
      <c r="O5" s="13" t="n">
        <v>1</v>
      </c>
    </row>
    <row r="6" customFormat="false" ht="15" hidden="false" customHeight="false" outlineLevel="0" collapsed="false">
      <c r="A6" s="14" t="s">
        <v>48</v>
      </c>
      <c r="B6" s="27" t="n">
        <f aca="false">personelListesiGuncel[[#This Row],[SGK M.]]+personelListesiGuncel[[#This Row],[yi]]</f>
        <v>40000</v>
      </c>
      <c r="C6" s="28" t="s">
        <v>33</v>
      </c>
      <c r="D6" s="29" t="s">
        <v>34</v>
      </c>
      <c r="E6" s="28" t="n">
        <v>6000</v>
      </c>
      <c r="F6" s="30" t="n">
        <v>0</v>
      </c>
      <c r="G6" s="28" t="n">
        <v>0</v>
      </c>
      <c r="H6" s="31" t="n">
        <v>30</v>
      </c>
      <c r="I6" s="31" t="n">
        <f aca="false">SUMIF(bordro[Personel],personelListesiGuncel[[#This Row],[PERSONEL]],bordro[Yİ])</f>
        <v>0</v>
      </c>
      <c r="J6" s="31"/>
      <c r="K6" s="13" t="s">
        <v>47</v>
      </c>
      <c r="L6" s="32" t="s">
        <v>36</v>
      </c>
      <c r="M6" s="33" t="s">
        <v>49</v>
      </c>
      <c r="N6" s="33" t="n">
        <v>95580195</v>
      </c>
      <c r="O6" s="34" t="n">
        <v>1</v>
      </c>
      <c r="P6" s="35"/>
    </row>
    <row r="7" customFormat="false" ht="15" hidden="false" customHeight="false" outlineLevel="0" collapsed="false">
      <c r="A7" s="11" t="s">
        <v>50</v>
      </c>
      <c r="B7" s="27" t="n">
        <f aca="false">personelListesiGuncel[[#This Row],[SGK M.]]+personelListesiGuncel[[#This Row],[yi]]</f>
        <v>22104</v>
      </c>
      <c r="C7" s="28" t="s">
        <v>39</v>
      </c>
      <c r="D7" s="29" t="s">
        <v>51</v>
      </c>
      <c r="E7" s="11" t="n">
        <v>6000</v>
      </c>
      <c r="F7" s="40" t="n">
        <v>4253.39</v>
      </c>
      <c r="G7" s="28" t="n">
        <v>477</v>
      </c>
      <c r="H7" s="31"/>
      <c r="I7" s="31" t="n">
        <f aca="false">SUMIF(bordro[Personel],personelListesiGuncel[[#This Row],[PERSONEL]],bordro[Yİ])</f>
        <v>0</v>
      </c>
      <c r="J7" s="31"/>
      <c r="K7" s="13" t="s">
        <v>47</v>
      </c>
      <c r="L7" s="36" t="s">
        <v>44</v>
      </c>
      <c r="M7" s="13" t="n">
        <v>39043021192</v>
      </c>
    </row>
    <row r="8" customFormat="false" ht="15" hidden="false" customHeight="false" outlineLevel="0" collapsed="false">
      <c r="A8" s="14" t="s">
        <v>52</v>
      </c>
      <c r="B8" s="41" t="n">
        <f aca="false">personelListesiGuncel[[#This Row],[SGK M.]]+personelListesiGuncel[[#This Row],[yi]]</f>
        <v>1603</v>
      </c>
      <c r="C8" s="28" t="s">
        <v>39</v>
      </c>
      <c r="D8" s="29" t="s">
        <v>43</v>
      </c>
      <c r="E8" s="40" t="n">
        <v>4730.4</v>
      </c>
      <c r="F8" s="42" t="n">
        <v>4253.4</v>
      </c>
      <c r="G8" s="28" t="n">
        <v>477</v>
      </c>
      <c r="H8" s="31" t="s">
        <v>53</v>
      </c>
      <c r="I8" s="31" t="n">
        <f aca="false">SUMIF(bordro[Personel],personelListesiGuncel[[#This Row],[PERSONEL]],bordro[Yİ])</f>
        <v>0</v>
      </c>
      <c r="J8" s="31"/>
      <c r="K8" s="13" t="s">
        <v>47</v>
      </c>
      <c r="L8" s="36" t="s">
        <v>44</v>
      </c>
      <c r="M8" s="33" t="s">
        <v>54</v>
      </c>
      <c r="N8" s="33" t="n">
        <v>96717247</v>
      </c>
      <c r="O8" s="34" t="n">
        <v>1</v>
      </c>
      <c r="P8" s="35"/>
    </row>
    <row r="9" customFormat="false" ht="15" hidden="false" customHeight="false" outlineLevel="0" collapsed="false">
      <c r="A9" s="13" t="s">
        <v>55</v>
      </c>
      <c r="B9" s="41" t="n">
        <f aca="false">personelListesiGuncel[[#This Row],[SGK M.]]+personelListesiGuncel[[#This Row],[yi]]</f>
        <v>2335</v>
      </c>
      <c r="C9" s="28" t="s">
        <v>39</v>
      </c>
      <c r="D9" s="29" t="s">
        <v>56</v>
      </c>
      <c r="E9" s="29"/>
      <c r="F9" s="40" t="n">
        <v>4250</v>
      </c>
      <c r="G9" s="42" t="n">
        <v>0</v>
      </c>
      <c r="H9" s="28" t="n">
        <v>0</v>
      </c>
      <c r="I9" s="31"/>
      <c r="J9" s="31"/>
      <c r="K9" s="31" t="n">
        <f aca="false">SUMIF(bordro[Personel],personelListesiGuncel[[#This Row],[PERSONEL]],bordro[Yİ])</f>
        <v>0</v>
      </c>
      <c r="L9" s="13" t="s">
        <v>47</v>
      </c>
      <c r="M9" s="36" t="s">
        <v>44</v>
      </c>
      <c r="N9" s="33" t="s">
        <v>57</v>
      </c>
      <c r="O9" s="33" t="n">
        <v>95539771</v>
      </c>
      <c r="P9" s="34" t="n">
        <v>1</v>
      </c>
      <c r="Q9" s="35"/>
    </row>
    <row r="10" customFormat="false" ht="15" hidden="false" customHeight="false" outlineLevel="0" collapsed="false">
      <c r="A10" s="11" t="s">
        <v>58</v>
      </c>
      <c r="B10" s="27" t="n">
        <f aca="false">personelListesiGuncel[[#This Row],[SGK M.]]+personelListesiGuncel[[#This Row],[yi]]</f>
        <v>2000</v>
      </c>
      <c r="C10" s="11" t="s">
        <v>39</v>
      </c>
      <c r="D10" s="11" t="s">
        <v>59</v>
      </c>
      <c r="F10" s="11" t="n">
        <v>5500</v>
      </c>
      <c r="G10" s="28" t="n">
        <v>5500</v>
      </c>
      <c r="H10" s="31" t="n">
        <v>0</v>
      </c>
      <c r="I10" s="31"/>
      <c r="J10" s="31"/>
      <c r="K10" s="13" t="n">
        <f aca="false">SUMIF(bordro[Personel],personelListesiGuncel[[#This Row],[PERSONEL]],bordro[Yİ])</f>
        <v>0</v>
      </c>
      <c r="L10" s="36" t="s">
        <v>47</v>
      </c>
      <c r="M10" s="13" t="s">
        <v>44</v>
      </c>
      <c r="N10" s="13" t="s">
        <v>60</v>
      </c>
      <c r="O10" s="13" t="s">
        <v>61</v>
      </c>
      <c r="P10" s="14" t="n">
        <v>1</v>
      </c>
    </row>
    <row r="11" customFormat="false" ht="15" hidden="false" customHeight="false" outlineLevel="0" collapsed="false">
      <c r="A11" s="11" t="s">
        <v>62</v>
      </c>
      <c r="B11" s="27" t="n">
        <f aca="false">personelListesiGuncel[[#This Row],[SGK M.]]+personelListesiGuncel[[#This Row],[yi]]</f>
        <v>35000</v>
      </c>
      <c r="C11" s="11" t="s">
        <v>39</v>
      </c>
      <c r="D11" s="11" t="s">
        <v>59</v>
      </c>
      <c r="F11" s="11" t="n">
        <v>5500</v>
      </c>
      <c r="G11" s="28" t="n">
        <v>5500</v>
      </c>
      <c r="H11" s="31" t="n">
        <v>0</v>
      </c>
      <c r="I11" s="31"/>
      <c r="J11" s="31"/>
      <c r="K11" s="13" t="n">
        <f aca="false">SUMIF(bordro[Personel],personelListesiGuncel[[#This Row],[PERSONEL]],bordro[Yİ])</f>
        <v>0</v>
      </c>
      <c r="L11" s="36" t="s">
        <v>47</v>
      </c>
      <c r="M11" s="13" t="s">
        <v>44</v>
      </c>
      <c r="N11" s="13" t="s">
        <v>63</v>
      </c>
      <c r="O11" s="13" t="s">
        <v>64</v>
      </c>
      <c r="P11" s="14" t="s">
        <v>65</v>
      </c>
    </row>
    <row r="12" customFormat="false" ht="15" hidden="false" customHeight="false" outlineLevel="0" collapsed="false">
      <c r="A12" s="11" t="s">
        <v>66</v>
      </c>
      <c r="B12" s="27" t="n">
        <f aca="false">personelListesiGuncel[[#This Row],[SGK M.]]+personelListesiGuncel[[#This Row],[yi]]</f>
        <v>33000</v>
      </c>
      <c r="C12" s="11" t="s">
        <v>39</v>
      </c>
      <c r="D12" s="11" t="s">
        <v>59</v>
      </c>
      <c r="F12" s="11" t="n">
        <v>5500</v>
      </c>
      <c r="G12" s="28" t="n">
        <v>5500</v>
      </c>
      <c r="H12" s="31" t="n">
        <v>0</v>
      </c>
      <c r="I12" s="31"/>
      <c r="J12" s="31"/>
      <c r="K12" s="13" t="n">
        <f aca="false">SUMIF(bordro[Personel],personelListesiGuncel[[#This Row],[PERSONEL]],bordro[Yİ])</f>
        <v>0</v>
      </c>
      <c r="L12" s="36" t="s">
        <v>47</v>
      </c>
      <c r="M12" s="13" t="s">
        <v>44</v>
      </c>
      <c r="N12" s="13" t="s">
        <v>67</v>
      </c>
    </row>
    <row r="13" customFormat="false" ht="15" hidden="false" customHeight="false" outlineLevel="0" collapsed="false">
      <c r="A13" s="14" t="s">
        <v>68</v>
      </c>
      <c r="B13" s="27" t="n">
        <f aca="false">personelListesiGuncel[[#This Row],[SGK M.]]+personelListesiGuncel[[#This Row],[yi]]</f>
        <v>0</v>
      </c>
      <c r="C13" s="28" t="s">
        <v>39</v>
      </c>
      <c r="D13" s="29" t="s">
        <v>69</v>
      </c>
      <c r="E13" s="28" t="n">
        <v>7200</v>
      </c>
      <c r="F13" s="28" t="n">
        <v>5500</v>
      </c>
      <c r="G13" s="28" t="n">
        <v>550</v>
      </c>
      <c r="H13" s="31"/>
      <c r="I13" s="31" t="n">
        <f aca="false">SUMIF(bordro[Personel],personelListesiGuncel[[#This Row],[PERSONEL]],bordro[Yİ])</f>
        <v>0</v>
      </c>
      <c r="J13" s="31"/>
      <c r="K13" s="13" t="s">
        <v>47</v>
      </c>
      <c r="L13" s="36" t="s">
        <v>44</v>
      </c>
      <c r="M13" s="33" t="s">
        <v>70</v>
      </c>
      <c r="N13" s="33" t="n">
        <v>96712272</v>
      </c>
      <c r="O13" s="34" t="n">
        <v>1</v>
      </c>
      <c r="Q13" s="35"/>
    </row>
    <row r="14" customFormat="false" ht="15" hidden="false" customHeight="false" outlineLevel="0" collapsed="false">
      <c r="A14" s="11" t="s">
        <v>71</v>
      </c>
      <c r="B14" s="27" t="n">
        <v>997.61</v>
      </c>
      <c r="C14" s="11" t="s">
        <v>33</v>
      </c>
      <c r="D14" s="11" t="s">
        <v>34</v>
      </c>
      <c r="E14" s="11" t="n">
        <v>50</v>
      </c>
      <c r="F14" s="11" t="n">
        <v>8000</v>
      </c>
      <c r="G14" s="28" t="n">
        <v>997.61</v>
      </c>
      <c r="H14" s="31" t="n">
        <v>0</v>
      </c>
      <c r="I14" s="31" t="n">
        <v>25</v>
      </c>
      <c r="J14" s="31" t="n">
        <v>16</v>
      </c>
      <c r="K14" s="13" t="s">
        <v>47</v>
      </c>
      <c r="L14" s="36" t="s">
        <v>44</v>
      </c>
      <c r="M14" s="13" t="n">
        <v>13345619462</v>
      </c>
      <c r="N14" s="13" t="n">
        <v>97522183</v>
      </c>
      <c r="O14" s="13" t="n">
        <v>1</v>
      </c>
      <c r="Q14" s="13" t="s">
        <v>71</v>
      </c>
      <c r="R14" s="13" t="n">
        <v>997.61</v>
      </c>
    </row>
    <row r="15" customFormat="false" ht="15" hidden="false" customHeight="false" outlineLevel="0" collapsed="false">
      <c r="A15" s="11" t="s">
        <v>72</v>
      </c>
      <c r="B15" s="27" t="n">
        <v>997.61</v>
      </c>
      <c r="C15" s="11" t="s">
        <v>33</v>
      </c>
      <c r="D15" s="11" t="s">
        <v>34</v>
      </c>
      <c r="E15" s="11" t="n">
        <v>50</v>
      </c>
      <c r="F15" s="11" t="n">
        <v>7500</v>
      </c>
      <c r="G15" s="28" t="n">
        <v>997.61</v>
      </c>
      <c r="H15" s="31" t="n">
        <v>0</v>
      </c>
      <c r="I15" s="31" t="n">
        <v>25</v>
      </c>
      <c r="J15" s="31" t="n">
        <v>0</v>
      </c>
      <c r="K15" s="13" t="s">
        <v>47</v>
      </c>
      <c r="L15" s="36" t="s">
        <v>36</v>
      </c>
      <c r="M15" s="13" t="n">
        <v>27172394690</v>
      </c>
      <c r="N15" s="13" t="n">
        <v>95702622</v>
      </c>
      <c r="O15" s="13" t="n">
        <v>1</v>
      </c>
      <c r="Q15" s="13" t="s">
        <v>73</v>
      </c>
      <c r="R15" s="13" t="n">
        <v>5500.35</v>
      </c>
    </row>
    <row r="16" customFormat="false" ht="15" hidden="false" customHeight="false" outlineLevel="0" collapsed="false">
      <c r="A16" s="43" t="s">
        <v>14</v>
      </c>
      <c r="B16" s="44" t="n">
        <f aca="false">personelListesiGuncel[[#This Row],[SGK M.]]+personelListesiGuncel[[#This Row],[yi]]</f>
        <v>15000</v>
      </c>
      <c r="C16" s="45" t="s">
        <v>33</v>
      </c>
      <c r="D16" s="46" t="s">
        <v>34</v>
      </c>
      <c r="E16" s="47" t="n">
        <v>80</v>
      </c>
      <c r="F16" s="45" t="n">
        <v>12500</v>
      </c>
      <c r="G16" s="40" t="n">
        <v>9144.81</v>
      </c>
      <c r="H16" s="40" t="n">
        <v>0</v>
      </c>
      <c r="I16" s="48"/>
      <c r="J16" s="48" t="n">
        <f aca="false">SUMIF(bordro[Personel],personelListesiGuncel[[#This Row],[PERSONEL]],bordro[Yİ])</f>
        <v>0</v>
      </c>
      <c r="K16" s="49" t="s">
        <v>35</v>
      </c>
      <c r="L16" s="36" t="s">
        <v>44</v>
      </c>
      <c r="M16" s="49" t="s">
        <v>37</v>
      </c>
      <c r="N16" s="49" t="n">
        <v>95532068</v>
      </c>
      <c r="O16" s="13" t="n">
        <v>1</v>
      </c>
      <c r="Q16" s="13" t="s">
        <v>74</v>
      </c>
      <c r="R16" s="13" t="n">
        <v>0</v>
      </c>
      <c r="S16" s="13" t="n">
        <v>0</v>
      </c>
    </row>
    <row r="17" customFormat="false" ht="15" hidden="false" customHeight="false" outlineLevel="0" collapsed="false">
      <c r="A17" s="49" t="s">
        <v>75</v>
      </c>
      <c r="B17" s="50" t="n">
        <f aca="false">personelListesiGuncel[[#This Row],[SGK M.]]+personelListesiGuncel[[#This Row],[yi]]</f>
        <v>1603</v>
      </c>
      <c r="C17" s="45" t="s">
        <v>39</v>
      </c>
      <c r="D17" s="46" t="s">
        <v>34</v>
      </c>
      <c r="E17" s="47" t="n">
        <v>80</v>
      </c>
      <c r="F17" s="45" t="n">
        <v>14500</v>
      </c>
      <c r="G17" s="51" t="n">
        <v>9460.77</v>
      </c>
      <c r="H17" s="40" t="n">
        <v>0</v>
      </c>
      <c r="I17" s="48"/>
      <c r="J17" s="48" t="n">
        <f aca="false">SUMIF(bordro[Personel],personelListesiGuncel[[#This Row],[PERSONEL]],bordro[Yİ])</f>
        <v>0</v>
      </c>
      <c r="K17" s="49" t="s">
        <v>35</v>
      </c>
      <c r="L17" s="36" t="s">
        <v>44</v>
      </c>
      <c r="M17" s="52" t="s">
        <v>76</v>
      </c>
      <c r="N17" s="52" t="n">
        <v>97665848</v>
      </c>
      <c r="O17" s="34" t="s">
        <v>65</v>
      </c>
      <c r="P17" s="35"/>
      <c r="Q17" s="13" t="s">
        <v>75</v>
      </c>
      <c r="R17" s="13" t="n">
        <v>4070.25</v>
      </c>
      <c r="S17" s="27" t="n">
        <v>14500</v>
      </c>
    </row>
    <row r="18" customFormat="false" ht="15" hidden="false" customHeight="false" outlineLevel="0" collapsed="false">
      <c r="B18" s="27"/>
      <c r="G18" s="28"/>
      <c r="H18" s="31"/>
      <c r="I18" s="31" t="n">
        <f aca="false">SUMIF(bordro[Personel],personelListesiGuncel[[#This Row],[PERSONEL]],bordro[Yİ])</f>
        <v>0</v>
      </c>
      <c r="J18" s="31"/>
      <c r="L18" s="36"/>
    </row>
    <row r="19" customFormat="false" ht="15" hidden="false" customHeight="false" outlineLevel="0" collapsed="false">
      <c r="B19" s="27"/>
      <c r="G19" s="28"/>
      <c r="H19" s="31"/>
      <c r="I19" s="31" t="n">
        <f aca="false">SUMIF(bordro[Personel],personelListesiGuncel[[#This Row],[PERSONEL]],bordro[Yİ])</f>
        <v>0</v>
      </c>
      <c r="J19" s="31"/>
      <c r="L19" s="36"/>
    </row>
    <row r="20" customFormat="false" ht="15" hidden="false" customHeight="false" outlineLevel="0" collapsed="false">
      <c r="A20" s="53" t="s">
        <v>77</v>
      </c>
      <c r="B20" s="54" t="n">
        <f aca="false">SUBTOTAL(109,personelListesiGuncel8[MAAŞ TUTARI])</f>
        <v>163811.19</v>
      </c>
      <c r="C20" s="53"/>
      <c r="D20" s="53"/>
      <c r="E20" s="55" t="n">
        <f aca="false">SUBTOTAL(109,personelListesiGuncel8[GERÇEK MAAŞ])</f>
        <v>40744.37</v>
      </c>
      <c r="F20" s="55" t="n">
        <f aca="false">SUBTOTAL(109,personelListesiGuncel8[SGK M.])</f>
        <v>88210.76</v>
      </c>
      <c r="G20" s="55" t="n">
        <f aca="false">SUBTOTAL(109,personelListesiGuncel8[SGK FM.])</f>
        <v>39404.8</v>
      </c>
      <c r="H20" s="56" t="n">
        <f aca="false">SUBTOTAL(109,personelListesiGuncel8[Eksik Gün-Kesinti])</f>
        <v>55</v>
      </c>
      <c r="I20" s="56" t="n">
        <f aca="false">SUBTOTAL(109,personelListesiGuncel8[yi])</f>
        <v>50</v>
      </c>
      <c r="J20" s="56"/>
      <c r="K20" s="53"/>
      <c r="L20" s="53"/>
      <c r="M20" s="53"/>
      <c r="N20" s="53"/>
      <c r="O20" s="53"/>
      <c r="P20" s="57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629861111111111" right="0.240277777777778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pageBreakPreview" topLeftCell="C1" colorId="64" zoomScale="100" zoomScaleNormal="100" zoomScalePageLayoutView="100" workbookViewId="0">
      <selection pane="topLeft" activeCell="L1" activeCellId="0" sqref="L1"/>
    </sheetView>
  </sheetViews>
  <sheetFormatPr defaultColWidth="11.53515625" defaultRowHeight="16.5" customHeight="true" zeroHeight="false" outlineLevelRow="0" outlineLevelCol="0"/>
  <cols>
    <col collapsed="false" customWidth="true" hidden="false" outlineLevel="0" max="1" min="1" style="58" width="18.94"/>
    <col collapsed="false" customWidth="true" hidden="false" outlineLevel="0" max="2" min="2" style="58" width="14.15"/>
    <col collapsed="false" customWidth="true" hidden="false" outlineLevel="0" max="3" min="3" style="58" width="9.48"/>
    <col collapsed="false" customWidth="true" hidden="false" outlineLevel="0" max="4" min="4" style="58" width="11.04"/>
    <col collapsed="false" customWidth="true" hidden="false" outlineLevel="0" max="5" min="5" style="58" width="13.03"/>
    <col collapsed="false" customWidth="true" hidden="false" outlineLevel="0" max="6" min="6" style="59" width="14.93"/>
    <col collapsed="false" customWidth="true" hidden="false" outlineLevel="0" max="7" min="7" style="60" width="10.04"/>
    <col collapsed="false" customWidth="true" hidden="false" outlineLevel="0" max="8" min="8" style="61" width="4.8"/>
    <col collapsed="false" customWidth="true" hidden="false" outlineLevel="0" max="9" min="9" style="62" width="9.36"/>
    <col collapsed="false" customWidth="true" hidden="false" outlineLevel="0" max="10" min="10" style="62" width="10.59"/>
    <col collapsed="false" customWidth="true" hidden="false" outlineLevel="0" max="11" min="11" style="63" width="14.15"/>
    <col collapsed="false" customWidth="false" hidden="false" outlineLevel="0" max="17" min="12" style="62" width="11.53"/>
    <col collapsed="false" customWidth="false" hidden="false" outlineLevel="0" max="16384" min="29" style="62" width="11.53"/>
  </cols>
  <sheetData>
    <row r="1" customFormat="false" ht="16.5" hidden="false" customHeight="false" outlineLevel="0" collapsed="false">
      <c r="A1" s="62" t="s">
        <v>17</v>
      </c>
      <c r="B1" s="64" t="s">
        <v>18</v>
      </c>
      <c r="C1" s="65" t="s">
        <v>19</v>
      </c>
      <c r="D1" s="58" t="s">
        <v>20</v>
      </c>
      <c r="E1" s="66" t="s">
        <v>78</v>
      </c>
      <c r="F1" s="67" t="s">
        <v>21</v>
      </c>
      <c r="G1" s="68" t="s">
        <v>22</v>
      </c>
      <c r="H1" s="61" t="s">
        <v>25</v>
      </c>
      <c r="I1" s="69" t="s">
        <v>27</v>
      </c>
      <c r="J1" s="58" t="s">
        <v>28</v>
      </c>
      <c r="K1" s="70" t="s">
        <v>29</v>
      </c>
      <c r="L1" s="71"/>
      <c r="M1" s="71"/>
      <c r="N1" s="71"/>
    </row>
    <row r="2" customFormat="false" ht="16.5" hidden="false" customHeight="false" outlineLevel="0" collapsed="false">
      <c r="A2" s="62" t="s">
        <v>79</v>
      </c>
      <c r="B2" s="72" t="n">
        <f aca="false">personelListesiGuncel[[#This Row],[SGK M.]]+personelListesiGuncel[[#This Row],[yi]]</f>
        <v>40000</v>
      </c>
      <c r="C2" s="58" t="s">
        <v>39</v>
      </c>
      <c r="D2" s="73" t="s">
        <v>56</v>
      </c>
      <c r="E2" s="73"/>
      <c r="F2" s="59" t="n">
        <v>57500</v>
      </c>
      <c r="G2" s="74" t="n">
        <v>40000</v>
      </c>
      <c r="H2" s="75" t="n">
        <f aca="false">SUMIF(bordro[Personel],personelListesiGuncel[[#This Row],[PERSONEL]],bordro[Yİ])</f>
        <v>0</v>
      </c>
      <c r="I2" s="62" t="s">
        <v>47</v>
      </c>
      <c r="J2" s="76" t="s">
        <v>44</v>
      </c>
      <c r="K2" s="63" t="s">
        <v>80</v>
      </c>
      <c r="L2" s="71"/>
      <c r="M2" s="71"/>
      <c r="N2" s="77"/>
    </row>
    <row r="3" s="80" customFormat="true" ht="16.5" hidden="false" customHeight="false" outlineLevel="0" collapsed="false">
      <c r="A3" s="62" t="s">
        <v>81</v>
      </c>
      <c r="B3" s="78" t="n">
        <f aca="false">personelListesiGuncel[[#This Row],[SGK M.]]+personelListesiGuncel[[#This Row],[yi]]</f>
        <v>2670</v>
      </c>
      <c r="C3" s="65" t="s">
        <v>33</v>
      </c>
      <c r="D3" s="73" t="s">
        <v>82</v>
      </c>
      <c r="E3" s="73" t="n">
        <v>230</v>
      </c>
      <c r="F3" s="79" t="n">
        <v>75000</v>
      </c>
      <c r="G3" s="78" t="n">
        <v>2670</v>
      </c>
      <c r="H3" s="75" t="n">
        <f aca="false">SUMIF(bordro[Personel],personelListesiGuncel[[#This Row],[PERSONEL]],bordro[Yİ])</f>
        <v>0</v>
      </c>
      <c r="I3" s="62" t="s">
        <v>47</v>
      </c>
      <c r="J3" s="76" t="s">
        <v>44</v>
      </c>
      <c r="K3" s="63" t="s">
        <v>83</v>
      </c>
      <c r="L3" s="71"/>
      <c r="M3" s="71"/>
      <c r="N3" s="77"/>
      <c r="O3" s="62"/>
      <c r="P3" s="62"/>
      <c r="Q3" s="62"/>
      <c r="R3" s="0"/>
      <c r="S3" s="0"/>
      <c r="T3" s="0"/>
      <c r="U3" s="0"/>
      <c r="V3" s="0"/>
      <c r="W3" s="0"/>
      <c r="X3" s="0"/>
      <c r="Y3" s="0"/>
      <c r="Z3" s="0"/>
      <c r="AA3" s="0"/>
      <c r="AB3" s="0"/>
    </row>
    <row r="4" s="83" customFormat="true" ht="16.5" hidden="false" customHeight="false" outlineLevel="0" collapsed="false">
      <c r="A4" s="62" t="s">
        <v>73</v>
      </c>
      <c r="B4" s="72" t="n">
        <f aca="false">personelListesiGuncel[[#This Row],[SGK M.]]+personelListesiGuncel[[#This Row],[yi]]</f>
        <v>22104</v>
      </c>
      <c r="C4" s="65" t="s">
        <v>39</v>
      </c>
      <c r="D4" s="73" t="s">
        <v>56</v>
      </c>
      <c r="E4" s="73"/>
      <c r="F4" s="81" t="n">
        <v>22104</v>
      </c>
      <c r="G4" s="82" t="n">
        <v>22104</v>
      </c>
      <c r="H4" s="75" t="n">
        <f aca="false">SUMIF(bordro[Personel],personelListesiGuncel[[#This Row],[PERSONEL]],bordro[Yİ])</f>
        <v>0</v>
      </c>
      <c r="I4" s="62" t="s">
        <v>47</v>
      </c>
      <c r="J4" s="76" t="s">
        <v>44</v>
      </c>
      <c r="K4" s="63" t="s">
        <v>84</v>
      </c>
      <c r="L4" s="71"/>
      <c r="M4" s="71"/>
      <c r="N4" s="77"/>
      <c r="O4" s="62"/>
      <c r="P4" s="62"/>
      <c r="Q4" s="62"/>
      <c r="R4" s="0"/>
      <c r="S4" s="0"/>
      <c r="T4" s="0"/>
      <c r="U4" s="0"/>
      <c r="V4" s="0"/>
      <c r="W4" s="0"/>
      <c r="X4" s="0"/>
      <c r="Y4" s="0"/>
      <c r="Z4" s="0"/>
      <c r="AA4" s="0"/>
      <c r="AB4" s="0"/>
    </row>
    <row r="5" s="83" customFormat="true" ht="16.5" hidden="false" customHeight="false" outlineLevel="0" collapsed="false">
      <c r="A5" s="80" t="s">
        <v>85</v>
      </c>
      <c r="B5" s="84" t="n">
        <f aca="false">personelListesiGuncel[[#This Row],[SGK M.]]+personelListesiGuncel[[#This Row],[yi]]</f>
        <v>1670</v>
      </c>
      <c r="C5" s="85" t="s">
        <v>39</v>
      </c>
      <c r="D5" s="86" t="s">
        <v>82</v>
      </c>
      <c r="E5" s="86" t="n">
        <v>200</v>
      </c>
      <c r="F5" s="81" t="n">
        <v>48000</v>
      </c>
      <c r="G5" s="82" t="n">
        <v>1670</v>
      </c>
      <c r="H5" s="87" t="n">
        <f aca="false">SUMIF(bordro[Personel],personelListesiGuncel[[#This Row],[PERSONEL]],bordro[Yİ])</f>
        <v>0</v>
      </c>
      <c r="I5" s="80" t="s">
        <v>47</v>
      </c>
      <c r="J5" s="88" t="s">
        <v>44</v>
      </c>
      <c r="K5" s="89" t="s">
        <v>86</v>
      </c>
      <c r="L5" s="90"/>
      <c r="M5" s="90"/>
      <c r="N5" s="91"/>
      <c r="O5" s="80"/>
      <c r="P5" s="80"/>
      <c r="Q5" s="80"/>
      <c r="R5" s="0"/>
      <c r="S5" s="0"/>
      <c r="T5" s="0"/>
      <c r="U5" s="0"/>
      <c r="V5" s="0"/>
      <c r="W5" s="0"/>
      <c r="X5" s="0"/>
      <c r="Y5" s="0"/>
      <c r="Z5" s="0"/>
      <c r="AA5" s="0"/>
      <c r="AB5" s="0"/>
    </row>
    <row r="6" s="80" customFormat="true" ht="16.5" hidden="false" customHeight="false" outlineLevel="0" collapsed="false">
      <c r="A6" s="83" t="s">
        <v>87</v>
      </c>
      <c r="B6" s="92" t="n">
        <f aca="false">personelListesiGuncel[[#This Row],[SGK M.]]+personelListesiGuncel[[#This Row],[yi]]</f>
        <v>40000</v>
      </c>
      <c r="C6" s="93" t="s">
        <v>39</v>
      </c>
      <c r="D6" s="94" t="s">
        <v>82</v>
      </c>
      <c r="E6" s="94" t="n">
        <v>250</v>
      </c>
      <c r="F6" s="81" t="n">
        <v>52000</v>
      </c>
      <c r="G6" s="82" t="n">
        <v>40000</v>
      </c>
      <c r="H6" s="95" t="n">
        <f aca="false">SUMIF(bordro[Personel],personelListesiGuncel[[#This Row],[PERSONEL]],bordro[Yİ])</f>
        <v>0</v>
      </c>
      <c r="I6" s="83" t="s">
        <v>47</v>
      </c>
      <c r="J6" s="96" t="s">
        <v>44</v>
      </c>
      <c r="K6" s="97" t="s">
        <v>88</v>
      </c>
      <c r="L6" s="98"/>
      <c r="M6" s="98"/>
      <c r="N6" s="99"/>
      <c r="O6" s="83"/>
      <c r="P6" s="83"/>
      <c r="Q6" s="83"/>
      <c r="R6" s="0"/>
      <c r="S6" s="0"/>
      <c r="T6" s="0"/>
      <c r="U6" s="0"/>
      <c r="V6" s="0"/>
      <c r="W6" s="0"/>
      <c r="X6" s="0"/>
      <c r="Y6" s="0"/>
      <c r="Z6" s="0"/>
      <c r="AA6" s="0"/>
      <c r="AB6" s="0"/>
    </row>
    <row r="7" s="100" customFormat="true" ht="16.5" hidden="false" customHeight="false" outlineLevel="0" collapsed="false">
      <c r="A7" s="62" t="s">
        <v>89</v>
      </c>
      <c r="B7" s="92" t="n">
        <f aca="false">personelListesiGuncel[[#This Row],[SGK M.]]+personelListesiGuncel[[#This Row],[yi]]</f>
        <v>22104</v>
      </c>
      <c r="C7" s="93" t="s">
        <v>39</v>
      </c>
      <c r="D7" s="94" t="s">
        <v>82</v>
      </c>
      <c r="E7" s="94"/>
      <c r="F7" s="81" t="n">
        <v>34500</v>
      </c>
      <c r="G7" s="82" t="n">
        <v>22104</v>
      </c>
      <c r="H7" s="95" t="n">
        <f aca="false">SUMIF(bordro[Personel],personelListesiGuncel[[#This Row],[PERSONEL]],bordro[Yİ])</f>
        <v>0</v>
      </c>
      <c r="I7" s="83" t="s">
        <v>47</v>
      </c>
      <c r="J7" s="96" t="s">
        <v>44</v>
      </c>
      <c r="K7" s="63" t="s">
        <v>90</v>
      </c>
      <c r="L7" s="98"/>
      <c r="M7" s="98"/>
      <c r="N7" s="99"/>
      <c r="O7" s="83"/>
      <c r="P7" s="83"/>
      <c r="Q7" s="83"/>
      <c r="R7" s="0"/>
      <c r="S7" s="0"/>
      <c r="T7" s="0"/>
      <c r="U7" s="0"/>
      <c r="V7" s="0"/>
      <c r="W7" s="0"/>
      <c r="X7" s="0"/>
      <c r="Y7" s="0"/>
      <c r="Z7" s="0"/>
      <c r="AA7" s="0"/>
      <c r="AB7" s="0"/>
    </row>
    <row r="8" customFormat="false" ht="16.5" hidden="false" customHeight="false" outlineLevel="0" collapsed="false">
      <c r="A8" s="62" t="s">
        <v>91</v>
      </c>
      <c r="B8" s="92" t="n">
        <f aca="false">personelListesiGuncel[[#This Row],[SGK M.]]+personelListesiGuncel[[#This Row],[yi]]</f>
        <v>1603</v>
      </c>
      <c r="C8" s="93" t="s">
        <v>39</v>
      </c>
      <c r="D8" s="94" t="s">
        <v>82</v>
      </c>
      <c r="E8" s="94"/>
      <c r="F8" s="81" t="n">
        <v>34500</v>
      </c>
      <c r="G8" s="82" t="n">
        <v>1603</v>
      </c>
      <c r="H8" s="95" t="n">
        <f aca="false">SUMIF(bordro[Personel],personelListesiGuncel[[#This Row],[PERSONEL]],bordro[Yİ])</f>
        <v>0</v>
      </c>
      <c r="I8" s="83" t="s">
        <v>47</v>
      </c>
      <c r="J8" s="96" t="s">
        <v>44</v>
      </c>
      <c r="K8" s="63" t="s">
        <v>92</v>
      </c>
      <c r="L8" s="90"/>
      <c r="M8" s="90"/>
      <c r="N8" s="91"/>
      <c r="O8" s="80"/>
      <c r="P8" s="80"/>
      <c r="Q8" s="80"/>
    </row>
    <row r="9" s="83" customFormat="true" ht="15" hidden="false" customHeight="true" outlineLevel="0" collapsed="false">
      <c r="A9" s="80" t="s">
        <v>93</v>
      </c>
      <c r="B9" s="101" t="n">
        <f aca="false">personelListesiGuncel[[#This Row],[SGK M.]]+personelListesiGuncel[[#This Row],[yi]]</f>
        <v>2335</v>
      </c>
      <c r="C9" s="102" t="s">
        <v>33</v>
      </c>
      <c r="D9" s="103" t="s">
        <v>69</v>
      </c>
      <c r="E9" s="86" t="n">
        <v>250</v>
      </c>
      <c r="F9" s="59" t="n">
        <v>46000</v>
      </c>
      <c r="G9" s="74" t="n">
        <v>2335</v>
      </c>
      <c r="H9" s="104" t="n">
        <f aca="false">SUMIF(bordro[Personel],personelListesiGuncel[[#This Row],[PERSONEL]],bordro[Yİ])</f>
        <v>0</v>
      </c>
      <c r="I9" s="80" t="s">
        <v>47</v>
      </c>
      <c r="J9" s="88" t="s">
        <v>44</v>
      </c>
      <c r="K9" s="89" t="s">
        <v>94</v>
      </c>
      <c r="L9" s="98"/>
      <c r="M9" s="98"/>
      <c r="N9" s="99"/>
      <c r="O9" s="100"/>
      <c r="P9" s="100"/>
      <c r="Q9" s="100"/>
      <c r="R9" s="0"/>
      <c r="S9" s="0"/>
      <c r="T9" s="0"/>
      <c r="U9" s="0"/>
      <c r="V9" s="0"/>
      <c r="W9" s="0"/>
      <c r="X9" s="0"/>
      <c r="Y9" s="0"/>
      <c r="Z9" s="0"/>
      <c r="AA9" s="0"/>
      <c r="AB9" s="0"/>
    </row>
    <row r="10" s="111" customFormat="true" ht="14.25" hidden="false" customHeight="true" outlineLevel="0" collapsed="false">
      <c r="A10" s="83" t="s">
        <v>95</v>
      </c>
      <c r="B10" s="105" t="n">
        <f aca="false">personelListesiGuncel[[#This Row],[SGK M.]]+personelListesiGuncel[[#This Row],[yi]]</f>
        <v>2000</v>
      </c>
      <c r="C10" s="106" t="s">
        <v>39</v>
      </c>
      <c r="D10" s="107" t="s">
        <v>34</v>
      </c>
      <c r="E10" s="94" t="n">
        <v>200</v>
      </c>
      <c r="F10" s="81" t="n">
        <v>43000</v>
      </c>
      <c r="G10" s="81" t="n">
        <v>2000</v>
      </c>
      <c r="H10" s="108" t="n">
        <f aca="false">SUMIF(bordro[Personel],personelListesiGuncel[[#This Row],[PERSONEL]],bordro[Yİ])</f>
        <v>0</v>
      </c>
      <c r="I10" s="109" t="s">
        <v>47</v>
      </c>
      <c r="J10" s="96" t="s">
        <v>44</v>
      </c>
      <c r="K10" s="110" t="s">
        <v>96</v>
      </c>
      <c r="L10" s="71"/>
      <c r="M10" s="71"/>
      <c r="N10" s="77"/>
      <c r="O10" s="62"/>
      <c r="P10" s="62"/>
      <c r="Q10" s="62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</row>
    <row r="11" s="80" customFormat="true" ht="16.5" hidden="false" customHeight="false" outlineLevel="0" collapsed="false">
      <c r="A11" s="62" t="s">
        <v>97</v>
      </c>
      <c r="B11" s="78" t="n">
        <f aca="false">personelListesiGuncel[[#This Row],[SGK M.]]+personelListesiGuncel[[#This Row],[yi]]</f>
        <v>35000</v>
      </c>
      <c r="C11" s="65" t="s">
        <v>39</v>
      </c>
      <c r="D11" s="73" t="s">
        <v>98</v>
      </c>
      <c r="E11" s="73"/>
      <c r="F11" s="59" t="n">
        <v>57500</v>
      </c>
      <c r="G11" s="74" t="n">
        <v>35000</v>
      </c>
      <c r="H11" s="75" t="n">
        <f aca="false">SUMIF(bordro[Personel],personelListesiGuncel[[#This Row],[PERSONEL]],bordro[Yİ])</f>
        <v>0</v>
      </c>
      <c r="I11" s="62" t="s">
        <v>47</v>
      </c>
      <c r="J11" s="76" t="s">
        <v>44</v>
      </c>
      <c r="K11" s="63" t="s">
        <v>99</v>
      </c>
      <c r="L11" s="98"/>
      <c r="M11" s="98"/>
      <c r="N11" s="99"/>
      <c r="O11" s="83"/>
      <c r="P11" s="83"/>
      <c r="Q11" s="83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</row>
    <row r="12" customFormat="false" ht="16.5" hidden="false" customHeight="false" outlineLevel="0" collapsed="false">
      <c r="A12" s="83" t="s">
        <v>100</v>
      </c>
      <c r="B12" s="105" t="n">
        <f aca="false">personelListesiGuncel[[#This Row],[SGK M.]]+personelListesiGuncel[[#This Row],[yi]]</f>
        <v>33000</v>
      </c>
      <c r="C12" s="106" t="s">
        <v>39</v>
      </c>
      <c r="D12" s="107" t="s">
        <v>51</v>
      </c>
      <c r="E12" s="94" t="n">
        <v>200</v>
      </c>
      <c r="F12" s="59" t="n">
        <v>40000</v>
      </c>
      <c r="G12" s="74" t="n">
        <v>33000</v>
      </c>
      <c r="H12" s="108" t="n">
        <f aca="false">SUMIF(bordro[Personel],personelListesiGuncel[[#This Row],[PERSONEL]],bordro[Yİ])</f>
        <v>0</v>
      </c>
      <c r="I12" s="109" t="s">
        <v>47</v>
      </c>
      <c r="J12" s="96" t="s">
        <v>44</v>
      </c>
      <c r="K12" s="110" t="s">
        <v>101</v>
      </c>
      <c r="L12" s="112"/>
      <c r="M12" s="112"/>
      <c r="N12" s="113"/>
      <c r="O12" s="111"/>
      <c r="P12" s="111"/>
      <c r="Q12" s="111"/>
    </row>
    <row r="13" s="80" customFormat="true" ht="16.5" hidden="false" customHeight="false" outlineLevel="0" collapsed="false">
      <c r="A13" s="83" t="s">
        <v>48</v>
      </c>
      <c r="B13" s="114" t="n">
        <f aca="false">personelListesiGuncel[[#This Row],[SGK M.]]+personelListesiGuncel[[#This Row],[yi]]</f>
        <v>0</v>
      </c>
      <c r="C13" s="93" t="s">
        <v>33</v>
      </c>
      <c r="D13" s="107" t="s">
        <v>34</v>
      </c>
      <c r="E13" s="94" t="n">
        <v>200</v>
      </c>
      <c r="F13" s="59" t="n">
        <v>40000</v>
      </c>
      <c r="G13" s="59" t="n">
        <v>0</v>
      </c>
      <c r="H13" s="95" t="n">
        <f aca="false">SUMIF(bordro[Personel],personelListesiGuncel[[#This Row],[PERSONEL]],bordro[Yİ])</f>
        <v>0</v>
      </c>
      <c r="I13" s="83" t="s">
        <v>35</v>
      </c>
      <c r="J13" s="96" t="s">
        <v>44</v>
      </c>
      <c r="K13" s="97"/>
      <c r="L13" s="90"/>
      <c r="M13" s="90"/>
      <c r="N13" s="91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</row>
    <row r="14" s="115" customFormat="true" ht="16.5" hidden="false" customHeight="false" outlineLevel="0" collapsed="false">
      <c r="A14" s="80" t="s">
        <v>102</v>
      </c>
      <c r="B14" s="84"/>
      <c r="C14" s="85" t="s">
        <v>33</v>
      </c>
      <c r="D14" s="86" t="s">
        <v>34</v>
      </c>
      <c r="E14" s="86"/>
      <c r="F14" s="59" t="n">
        <v>40000</v>
      </c>
      <c r="G14" s="59" t="n">
        <v>0</v>
      </c>
      <c r="H14" s="87" t="n">
        <f aca="false">SUMIF(bordro[Personel],personelListesiGuncel[[#This Row],[PERSONEL]],bordro[Yİ])</f>
        <v>0</v>
      </c>
      <c r="I14" s="80"/>
      <c r="J14" s="88"/>
      <c r="K14" s="89"/>
      <c r="L14" s="71"/>
      <c r="M14" s="71"/>
      <c r="N14" s="77"/>
      <c r="O14" s="62"/>
      <c r="P14" s="62"/>
      <c r="Q14" s="62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</row>
    <row r="15" s="83" customFormat="true" ht="16.5" hidden="false" customHeight="false" outlineLevel="0" collapsed="false">
      <c r="A15" s="62" t="s">
        <v>103</v>
      </c>
      <c r="B15" s="72" t="n">
        <v>2333.4</v>
      </c>
      <c r="C15" s="65" t="s">
        <v>33</v>
      </c>
      <c r="D15" s="73" t="s">
        <v>69</v>
      </c>
      <c r="E15" s="73"/>
      <c r="F15" s="59" t="n">
        <v>50000</v>
      </c>
      <c r="G15" s="74" t="n">
        <v>2335</v>
      </c>
      <c r="H15" s="75" t="n">
        <f aca="false">SUMIF(bordro[Personel],personelListesiGuncel[[#This Row],[PERSONEL]],bordro[Yİ])</f>
        <v>0</v>
      </c>
      <c r="I15" s="62"/>
      <c r="J15" s="76"/>
      <c r="K15" s="63"/>
      <c r="L15" s="90"/>
      <c r="M15" s="90"/>
      <c r="N15" s="91"/>
      <c r="O15" s="80"/>
      <c r="P15" s="80"/>
      <c r="Q15" s="8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</row>
    <row r="16" s="116" customFormat="true" ht="16.5" hidden="false" customHeight="false" outlineLevel="0" collapsed="false">
      <c r="A16" s="116" t="s">
        <v>104</v>
      </c>
      <c r="B16" s="117" t="n">
        <f aca="false">personelListesiGuncel[[#This Row],[SGK M.]]+personelListesiGuncel[[#This Row],[yi]]</f>
        <v>15000</v>
      </c>
      <c r="C16" s="118" t="s">
        <v>39</v>
      </c>
      <c r="D16" s="119" t="s">
        <v>105</v>
      </c>
      <c r="E16" s="119" t="n">
        <v>230</v>
      </c>
      <c r="F16" s="59" t="n">
        <v>15000</v>
      </c>
      <c r="G16" s="74" t="n">
        <v>15000</v>
      </c>
      <c r="H16" s="87" t="n">
        <f aca="false">SUMIF(bordro[Personel],personelListesiGuncel[[#This Row],[PERSONEL]],bordro[Yİ])</f>
        <v>0</v>
      </c>
      <c r="I16" s="116" t="s">
        <v>47</v>
      </c>
      <c r="J16" s="120" t="s">
        <v>44</v>
      </c>
      <c r="K16" s="121" t="s">
        <v>106</v>
      </c>
      <c r="L16" s="122"/>
      <c r="M16" s="122"/>
      <c r="N16" s="123"/>
      <c r="O16" s="115"/>
      <c r="P16" s="115"/>
      <c r="Q16" s="115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</row>
    <row r="17" s="83" customFormat="true" ht="16.5" hidden="false" customHeight="false" outlineLevel="0" collapsed="false">
      <c r="A17" s="124" t="s">
        <v>107</v>
      </c>
      <c r="B17" s="101" t="n">
        <f aca="false">personelListesiGuncel[[#This Row],[SGK M.]]+personelListesiGuncel[[#This Row],[yi]]</f>
        <v>1603</v>
      </c>
      <c r="C17" s="125" t="s">
        <v>33</v>
      </c>
      <c r="D17" s="126" t="s">
        <v>69</v>
      </c>
      <c r="E17" s="86"/>
      <c r="F17" s="59" t="n">
        <v>50000</v>
      </c>
      <c r="G17" s="74" t="n">
        <v>1603</v>
      </c>
      <c r="H17" s="87"/>
      <c r="I17" s="124"/>
      <c r="J17" s="76"/>
      <c r="K17" s="127" t="s">
        <v>108</v>
      </c>
      <c r="L17" s="98"/>
      <c r="M17" s="98"/>
      <c r="N17" s="99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</row>
    <row r="18" s="135" customFormat="true" ht="16.5" hidden="false" customHeight="false" outlineLevel="0" collapsed="false">
      <c r="A18" s="115" t="s">
        <v>109</v>
      </c>
      <c r="B18" s="128" t="n">
        <f aca="false">personelListesiGuncel[[#This Row],[SGK M.]]+personelListesiGuncel[[#This Row],[yi]]</f>
        <v>11333</v>
      </c>
      <c r="C18" s="129" t="s">
        <v>39</v>
      </c>
      <c r="D18" s="130" t="s">
        <v>69</v>
      </c>
      <c r="E18" s="130" t="n">
        <v>250</v>
      </c>
      <c r="F18" s="59" t="n">
        <v>50000</v>
      </c>
      <c r="G18" s="59" t="n">
        <v>11333</v>
      </c>
      <c r="H18" s="95" t="n">
        <f aca="false">SUMIF(bordro[Personel],personelListesiGuncel[[#This Row],[PERSONEL]],bordro[Yİ])</f>
        <v>0</v>
      </c>
      <c r="I18" s="115" t="s">
        <v>47</v>
      </c>
      <c r="J18" s="131" t="s">
        <v>44</v>
      </c>
      <c r="K18" s="132" t="s">
        <v>110</v>
      </c>
      <c r="L18" s="133"/>
      <c r="M18" s="133"/>
      <c r="N18" s="134"/>
      <c r="O18" s="116"/>
      <c r="P18" s="116"/>
      <c r="Q18" s="116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</row>
    <row r="19" customFormat="false" ht="16.5" hidden="false" customHeight="false" outlineLevel="0" collapsed="false">
      <c r="A19" s="136" t="s">
        <v>111</v>
      </c>
      <c r="B19" s="101" t="n">
        <f aca="false">personelListesiGuncel[[#This Row],[SGK M.]]+personelListesiGuncel[[#This Row],[yi]]</f>
        <v>25000</v>
      </c>
      <c r="C19" s="85" t="s">
        <v>39</v>
      </c>
      <c r="D19" s="86" t="s">
        <v>112</v>
      </c>
      <c r="E19" s="86" t="n">
        <v>150</v>
      </c>
      <c r="F19" s="59" t="n">
        <v>30000</v>
      </c>
      <c r="G19" s="82" t="n">
        <v>25000</v>
      </c>
      <c r="H19" s="87" t="n">
        <f aca="false">SUMIF(bordro[Personel],personelListesiGuncel[[#This Row],[PERSONEL]],bordro[Yİ])</f>
        <v>0</v>
      </c>
      <c r="I19" s="80" t="s">
        <v>47</v>
      </c>
      <c r="J19" s="88"/>
      <c r="K19" s="89" t="s">
        <v>113</v>
      </c>
      <c r="L19" s="98"/>
      <c r="M19" s="98"/>
      <c r="N19" s="99"/>
      <c r="O19" s="83"/>
      <c r="P19" s="83"/>
      <c r="Q19" s="83"/>
    </row>
    <row r="20" customFormat="false" ht="16.5" hidden="false" customHeight="false" outlineLevel="0" collapsed="false">
      <c r="A20" s="137" t="s">
        <v>114</v>
      </c>
      <c r="B20" s="128" t="n">
        <f aca="false">personelListesiGuncel[[#This Row],[SGK M.]]+personelListesiGuncel[[#This Row],[yi]]</f>
        <v>0</v>
      </c>
      <c r="C20" s="129" t="s">
        <v>39</v>
      </c>
      <c r="D20" s="130" t="s">
        <v>82</v>
      </c>
      <c r="E20" s="130"/>
      <c r="G20" s="59"/>
      <c r="H20" s="95" t="n">
        <f aca="false">SUMIF(bordro[Personel],personelListesiGuncel[[#This Row],[PERSONEL]],bordro[Yİ])</f>
        <v>0</v>
      </c>
      <c r="I20" s="115"/>
      <c r="J20" s="131"/>
      <c r="K20" s="132"/>
      <c r="L20" s="138"/>
      <c r="M20" s="138"/>
      <c r="N20" s="139"/>
      <c r="O20" s="135"/>
      <c r="P20" s="135"/>
      <c r="Q20" s="135"/>
    </row>
    <row r="21" s="135" customFormat="true" ht="16.5" hidden="false" customHeight="false" outlineLevel="0" collapsed="false">
      <c r="A21" s="140" t="s">
        <v>115</v>
      </c>
      <c r="B21" s="141" t="n">
        <f aca="false">personelListesiGuncel[[#This Row],[SGK M.]]+personelListesiGuncel[[#This Row],[yi]]</f>
        <v>0</v>
      </c>
      <c r="C21" s="65" t="s">
        <v>39</v>
      </c>
      <c r="D21" s="73" t="s">
        <v>43</v>
      </c>
      <c r="E21" s="73"/>
      <c r="F21" s="59" t="n">
        <v>30000</v>
      </c>
      <c r="G21" s="59" t="n">
        <v>0</v>
      </c>
      <c r="H21" s="75" t="n">
        <f aca="false">SUMIF(bordro[Personel],personelListesiGuncel[[#This Row],[PERSONEL]],bordro[Yİ])</f>
        <v>0</v>
      </c>
      <c r="I21" s="62"/>
      <c r="J21" s="76"/>
      <c r="K21" s="63"/>
      <c r="L21" s="71"/>
      <c r="M21" s="71"/>
      <c r="N21" s="77"/>
      <c r="O21" s="62"/>
      <c r="P21" s="62"/>
      <c r="Q21" s="62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</row>
    <row r="22" customFormat="false" ht="16.5" hidden="false" customHeight="false" outlineLevel="0" collapsed="false">
      <c r="A22" s="140" t="s">
        <v>116</v>
      </c>
      <c r="B22" s="141" t="n">
        <f aca="false">personelListesiGuncel[[#This Row],[SGK M.]]+personelListesiGuncel[[#This Row],[yi]]</f>
        <v>1603</v>
      </c>
      <c r="C22" s="65" t="s">
        <v>39</v>
      </c>
      <c r="D22" s="86" t="s">
        <v>34</v>
      </c>
      <c r="E22" s="73"/>
      <c r="F22" s="59" t="n">
        <v>43000</v>
      </c>
      <c r="G22" s="74" t="n">
        <v>1603</v>
      </c>
      <c r="H22" s="75" t="n">
        <f aca="false">SUMIF(bordro[Personel],personelListesiGuncel[[#This Row],[PERSONEL]],bordro[Yİ])</f>
        <v>0</v>
      </c>
      <c r="J22" s="76"/>
      <c r="L22" s="71"/>
      <c r="M22" s="71"/>
      <c r="N22" s="77"/>
    </row>
    <row r="23" customFormat="false" ht="16.5" hidden="false" customHeight="false" outlineLevel="0" collapsed="false">
      <c r="A23" s="142" t="s">
        <v>117</v>
      </c>
      <c r="B23" s="143" t="n">
        <f aca="false">personelListesiGuncel[[#This Row],[SGK M.]]+personelListesiGuncel[[#This Row],[yi]]</f>
        <v>50000</v>
      </c>
      <c r="C23" s="144" t="s">
        <v>39</v>
      </c>
      <c r="D23" s="145" t="s">
        <v>69</v>
      </c>
      <c r="E23" s="145"/>
      <c r="F23" s="59" t="n">
        <v>50000</v>
      </c>
      <c r="G23" s="59" t="n">
        <v>50000</v>
      </c>
      <c r="H23" s="75" t="n">
        <f aca="false">SUMIF(bordro[Personel],personelListesiGuncel[[#This Row],[PERSONEL]],bordro[Yİ])</f>
        <v>0</v>
      </c>
      <c r="I23" s="135"/>
      <c r="J23" s="146"/>
      <c r="K23" s="147" t="s">
        <v>118</v>
      </c>
      <c r="L23" s="138"/>
      <c r="M23" s="138"/>
      <c r="N23" s="139"/>
      <c r="O23" s="135"/>
      <c r="P23" s="135"/>
      <c r="Q23" s="135"/>
    </row>
    <row r="24" customFormat="false" ht="16.5" hidden="false" customHeight="false" outlineLevel="0" collapsed="false">
      <c r="A24" s="148" t="s">
        <v>119</v>
      </c>
      <c r="B24" s="141" t="n">
        <f aca="false">personelListesiGuncel[[#This Row],[SGK M.]]+personelListesiGuncel[[#This Row],[yi]]</f>
        <v>28000</v>
      </c>
      <c r="C24" s="65" t="s">
        <v>39</v>
      </c>
      <c r="D24" s="73" t="s">
        <v>69</v>
      </c>
      <c r="E24" s="73"/>
      <c r="F24" s="59" t="n">
        <v>50000</v>
      </c>
      <c r="G24" s="74" t="n">
        <v>28000</v>
      </c>
      <c r="H24" s="75"/>
      <c r="I24" s="124"/>
      <c r="J24" s="76"/>
      <c r="K24" s="127" t="s">
        <v>120</v>
      </c>
      <c r="L24" s="71"/>
      <c r="M24" s="71"/>
      <c r="N24" s="77"/>
    </row>
    <row r="25" customFormat="false" ht="16.5" hidden="false" customHeight="false" outlineLevel="0" collapsed="false">
      <c r="A25" s="148" t="s">
        <v>121</v>
      </c>
      <c r="B25" s="149" t="n">
        <v>50000</v>
      </c>
      <c r="C25" s="125" t="s">
        <v>39</v>
      </c>
      <c r="D25" s="126" t="s">
        <v>69</v>
      </c>
      <c r="E25" s="73" t="n">
        <v>250</v>
      </c>
      <c r="F25" s="150" t="n">
        <v>50000</v>
      </c>
      <c r="G25" s="150"/>
      <c r="H25" s="75"/>
      <c r="I25" s="124"/>
      <c r="J25" s="76"/>
      <c r="K25" s="127"/>
      <c r="L25" s="71"/>
      <c r="M25" s="71"/>
      <c r="N25" s="77"/>
    </row>
    <row r="26" customFormat="false" ht="16.5" hidden="false" customHeight="false" outlineLevel="0" collapsed="false">
      <c r="A26" s="148" t="s">
        <v>122</v>
      </c>
      <c r="B26" s="141" t="n">
        <f aca="false">personelListesiGuncel[[#This Row],[SGK M.]]+personelListesiGuncel[[#This Row],[yi]]</f>
        <v>2335</v>
      </c>
      <c r="C26" s="125" t="s">
        <v>39</v>
      </c>
      <c r="D26" s="73" t="s">
        <v>69</v>
      </c>
      <c r="E26" s="73"/>
      <c r="F26" s="59" t="n">
        <v>50000</v>
      </c>
      <c r="G26" s="74" t="n">
        <v>2335</v>
      </c>
      <c r="H26" s="75"/>
      <c r="I26" s="124"/>
      <c r="J26" s="76"/>
      <c r="K26" s="127"/>
      <c r="L26" s="71"/>
      <c r="M26" s="71"/>
      <c r="N26" s="77"/>
    </row>
    <row r="27" customFormat="false" ht="16.5" hidden="false" customHeight="false" outlineLevel="0" collapsed="false">
      <c r="A27" s="148" t="s">
        <v>123</v>
      </c>
      <c r="B27" s="141" t="n">
        <f aca="false">personelListesiGuncel[[#This Row],[SGK M.]]+personelListesiGuncel[[#This Row],[yi]]</f>
        <v>34500</v>
      </c>
      <c r="C27" s="125" t="s">
        <v>39</v>
      </c>
      <c r="D27" s="73" t="s">
        <v>69</v>
      </c>
      <c r="E27" s="73"/>
      <c r="F27" s="150" t="n">
        <v>34500</v>
      </c>
      <c r="G27" s="150" t="n">
        <v>34500</v>
      </c>
      <c r="H27" s="75"/>
      <c r="I27" s="124"/>
      <c r="J27" s="76"/>
      <c r="K27" s="127"/>
      <c r="L27" s="71"/>
      <c r="M27" s="71"/>
      <c r="N27" s="77"/>
    </row>
    <row r="28" s="135" customFormat="true" ht="16.5" hidden="false" customHeight="false" outlineLevel="0" collapsed="false">
      <c r="A28" s="148" t="s">
        <v>124</v>
      </c>
      <c r="B28" s="149" t="n">
        <v>0</v>
      </c>
      <c r="C28" s="125" t="s">
        <v>39</v>
      </c>
      <c r="D28" s="73" t="s">
        <v>56</v>
      </c>
      <c r="E28" s="73"/>
      <c r="F28" s="59" t="n">
        <v>45000</v>
      </c>
      <c r="G28" s="59" t="n">
        <v>0</v>
      </c>
      <c r="H28" s="75"/>
      <c r="I28" s="124"/>
      <c r="J28" s="76"/>
      <c r="K28" s="127" t="s">
        <v>125</v>
      </c>
      <c r="L28" s="71"/>
      <c r="M28" s="71"/>
      <c r="N28" s="77"/>
      <c r="O28" s="62"/>
      <c r="P28" s="62"/>
      <c r="Q28" s="62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</row>
    <row r="29" customFormat="false" ht="16.5" hidden="false" customHeight="false" outlineLevel="0" collapsed="false">
      <c r="A29" s="140" t="s">
        <v>126</v>
      </c>
      <c r="B29" s="72" t="n">
        <v>30000</v>
      </c>
      <c r="C29" s="65"/>
      <c r="D29" s="151" t="s">
        <v>59</v>
      </c>
      <c r="E29" s="73"/>
      <c r="F29" s="59" t="n">
        <v>30000</v>
      </c>
      <c r="G29" s="59" t="n">
        <v>0</v>
      </c>
      <c r="H29" s="75" t="n">
        <f aca="false">SUMIF(bordro[Personel],personelListesiGuncel[[#This Row],[PERSONEL]],bordro[Yİ])</f>
        <v>0</v>
      </c>
      <c r="I29" s="62" t="s">
        <v>47</v>
      </c>
      <c r="J29" s="76"/>
      <c r="L29" s="71"/>
      <c r="M29" s="71"/>
      <c r="N29" s="77"/>
    </row>
    <row r="30" customFormat="false" ht="16.5" hidden="false" customHeight="false" outlineLevel="0" collapsed="false">
      <c r="A30" s="142" t="s">
        <v>127</v>
      </c>
      <c r="B30" s="143"/>
      <c r="C30" s="144"/>
      <c r="D30" s="151" t="s">
        <v>59</v>
      </c>
      <c r="E30" s="145"/>
      <c r="F30" s="59" t="n">
        <v>30000</v>
      </c>
      <c r="G30" s="59" t="n">
        <v>0</v>
      </c>
      <c r="H30" s="75"/>
      <c r="I30" s="135"/>
      <c r="J30" s="146"/>
      <c r="K30" s="147"/>
      <c r="L30" s="138"/>
      <c r="M30" s="138"/>
      <c r="N30" s="139"/>
      <c r="O30" s="135"/>
      <c r="P30" s="135"/>
      <c r="Q30" s="135"/>
    </row>
    <row r="31" s="153" customFormat="true" ht="16.5" hidden="false" customHeight="false" outlineLevel="0" collapsed="false">
      <c r="A31" s="148" t="s">
        <v>128</v>
      </c>
      <c r="B31" s="149"/>
      <c r="C31" s="125"/>
      <c r="D31" s="152" t="s">
        <v>59</v>
      </c>
      <c r="E31" s="73"/>
      <c r="F31" s="59" t="n">
        <v>13000</v>
      </c>
      <c r="G31" s="59"/>
      <c r="H31" s="75"/>
      <c r="I31" s="124"/>
      <c r="J31" s="76"/>
      <c r="K31" s="127"/>
      <c r="L31" s="71"/>
      <c r="M31" s="71"/>
      <c r="N31" s="77"/>
      <c r="O31" s="62"/>
      <c r="P31" s="62"/>
      <c r="Q31" s="62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</row>
    <row r="32" s="153" customFormat="true" ht="16.5" hidden="false" customHeight="false" outlineLevel="0" collapsed="false">
      <c r="A32" s="62" t="s">
        <v>129</v>
      </c>
      <c r="B32" s="141" t="n">
        <f aca="false">personelListesiGuncel[[#This Row],[SGK M.]]+personelListesiGuncel[[#This Row],[yi]]</f>
        <v>22104</v>
      </c>
      <c r="C32" s="154" t="s">
        <v>39</v>
      </c>
      <c r="D32" s="152" t="s">
        <v>59</v>
      </c>
      <c r="E32" s="73"/>
      <c r="F32" s="59" t="n">
        <v>40000</v>
      </c>
      <c r="G32" s="74" t="n">
        <v>22104</v>
      </c>
      <c r="H32" s="75" t="n">
        <f aca="false">SUMIF(bordro[Personel],personelListesiGuncel[[#This Row],[PERSONEL]],bordro[Yİ])</f>
        <v>0</v>
      </c>
      <c r="I32" s="61" t="s">
        <v>47</v>
      </c>
      <c r="J32" s="76" t="s">
        <v>44</v>
      </c>
      <c r="K32" s="155" t="s">
        <v>130</v>
      </c>
      <c r="L32" s="71"/>
      <c r="M32" s="71"/>
      <c r="N32" s="77"/>
      <c r="O32" s="62"/>
      <c r="P32" s="62"/>
      <c r="Q32" s="62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</row>
    <row r="33" s="153" customFormat="true" ht="16.5" hidden="false" customHeight="false" outlineLevel="0" collapsed="false">
      <c r="A33" s="62" t="s">
        <v>55</v>
      </c>
      <c r="B33" s="141" t="n">
        <f aca="false">personelListesiGuncel[[#This Row],[SGK M.]]+personelListesiGuncel[[#This Row],[yi]]</f>
        <v>30000</v>
      </c>
      <c r="C33" s="154" t="s">
        <v>39</v>
      </c>
      <c r="D33" s="152" t="s">
        <v>59</v>
      </c>
      <c r="E33" s="73"/>
      <c r="F33" s="59" t="n">
        <v>50000</v>
      </c>
      <c r="G33" s="74" t="n">
        <v>30000</v>
      </c>
      <c r="H33" s="75" t="n">
        <v>0</v>
      </c>
      <c r="I33" s="62" t="s">
        <v>35</v>
      </c>
      <c r="J33" s="76" t="s">
        <v>44</v>
      </c>
      <c r="K33" s="63" t="s">
        <v>57</v>
      </c>
      <c r="L33" s="71"/>
      <c r="M33" s="71"/>
      <c r="N33" s="77"/>
      <c r="O33" s="156"/>
      <c r="P33" s="156"/>
      <c r="Q33" s="156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</row>
    <row r="34" s="153" customFormat="true" ht="16.5" hidden="false" customHeight="false" outlineLevel="0" collapsed="false">
      <c r="A34" s="153" t="s">
        <v>131</v>
      </c>
      <c r="B34" s="141" t="n">
        <f aca="false">personelListesiGuncel[[#This Row],[SGK M.]]+personelListesiGuncel[[#This Row],[yi]]</f>
        <v>22104</v>
      </c>
      <c r="C34" s="154" t="s">
        <v>39</v>
      </c>
      <c r="D34" s="152" t="s">
        <v>59</v>
      </c>
      <c r="E34" s="73"/>
      <c r="F34" s="59" t="n">
        <v>30000</v>
      </c>
      <c r="G34" s="74" t="n">
        <v>22104</v>
      </c>
      <c r="H34" s="157" t="n">
        <f aca="false">SUMIF(bordro[Personel],personelListesiGuncel[[#This Row],[PERSONEL]],bordro[Yİ])</f>
        <v>0</v>
      </c>
      <c r="I34" s="153" t="s">
        <v>47</v>
      </c>
      <c r="J34" s="76" t="s">
        <v>44</v>
      </c>
      <c r="K34" s="158" t="s">
        <v>132</v>
      </c>
      <c r="L34" s="71"/>
      <c r="M34" s="71"/>
      <c r="N34" s="77"/>
      <c r="O34" s="156"/>
      <c r="P34" s="156"/>
      <c r="Q34" s="156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</row>
    <row r="35" s="153" customFormat="true" ht="16.5" hidden="false" customHeight="false" outlineLevel="0" collapsed="false">
      <c r="A35" s="62" t="s">
        <v>133</v>
      </c>
      <c r="B35" s="141" t="n">
        <f aca="false">personelListesiGuncel[[#This Row],[SGK M.]]+personelListesiGuncel[[#This Row],[yi]]</f>
        <v>30000</v>
      </c>
      <c r="C35" s="154" t="s">
        <v>39</v>
      </c>
      <c r="D35" s="152" t="s">
        <v>59</v>
      </c>
      <c r="E35" s="73"/>
      <c r="F35" s="59" t="n">
        <v>50000</v>
      </c>
      <c r="G35" s="74" t="n">
        <v>30000</v>
      </c>
      <c r="H35" s="75" t="n">
        <v>0</v>
      </c>
      <c r="I35" s="62" t="s">
        <v>35</v>
      </c>
      <c r="J35" s="76" t="s">
        <v>44</v>
      </c>
      <c r="K35" s="159" t="s">
        <v>60</v>
      </c>
      <c r="L35" s="156"/>
      <c r="M35" s="156"/>
      <c r="N35" s="156"/>
      <c r="O35" s="156"/>
      <c r="P35" s="156"/>
      <c r="Q35" s="156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</row>
    <row r="36" customFormat="false" ht="16.5" hidden="false" customHeight="false" outlineLevel="0" collapsed="false">
      <c r="A36" s="62" t="s">
        <v>62</v>
      </c>
      <c r="B36" s="141" t="n">
        <f aca="false">personelListesiGuncel[[#This Row],[SGK M.]]+personelListesiGuncel[[#This Row],[yi]]</f>
        <v>0</v>
      </c>
      <c r="C36" s="154" t="s">
        <v>39</v>
      </c>
      <c r="D36" s="152" t="s">
        <v>59</v>
      </c>
      <c r="E36" s="73"/>
      <c r="F36" s="59" t="n">
        <v>30000</v>
      </c>
      <c r="G36" s="59"/>
      <c r="H36" s="75" t="n">
        <f aca="false">SUMIF(bordro[Personel],personelListesiGuncel[[#This Row],[PERSONEL]],bordro[Yİ])</f>
        <v>0</v>
      </c>
      <c r="I36" s="62" t="s">
        <v>47</v>
      </c>
      <c r="J36" s="76" t="s">
        <v>44</v>
      </c>
      <c r="K36" s="159" t="n">
        <v>30148302742</v>
      </c>
      <c r="L36" s="156"/>
      <c r="M36" s="156"/>
      <c r="N36" s="156"/>
      <c r="O36" s="156"/>
      <c r="P36" s="156"/>
      <c r="Q36" s="156"/>
    </row>
    <row r="37" customFormat="false" ht="16.5" hidden="false" customHeight="false" outlineLevel="0" collapsed="false">
      <c r="A37" s="62" t="s">
        <v>134</v>
      </c>
      <c r="B37" s="141" t="n">
        <f aca="false">personelListesiGuncel[[#This Row],[SGK M.]]+personelListesiGuncel[[#This Row],[yi]]</f>
        <v>0</v>
      </c>
      <c r="C37" s="154" t="s">
        <v>39</v>
      </c>
      <c r="D37" s="152" t="s">
        <v>59</v>
      </c>
      <c r="E37" s="73"/>
      <c r="F37" s="59" t="n">
        <v>30000</v>
      </c>
      <c r="G37" s="59" t="n">
        <v>0</v>
      </c>
      <c r="H37" s="75" t="n">
        <f aca="false">SUMIF(bordro[Personel],personelListesiGuncel[[#This Row],[PERSONEL]],bordro[Yİ])</f>
        <v>0</v>
      </c>
      <c r="J37" s="76"/>
      <c r="K37" s="160"/>
      <c r="L37" s="156"/>
      <c r="M37" s="156"/>
      <c r="N37" s="156"/>
      <c r="O37" s="156"/>
      <c r="P37" s="156"/>
      <c r="Q37" s="156"/>
    </row>
    <row r="38" customFormat="false" ht="16.5" hidden="false" customHeight="false" outlineLevel="0" collapsed="false">
      <c r="A38" s="62" t="s">
        <v>135</v>
      </c>
      <c r="B38" s="72" t="n">
        <v>0</v>
      </c>
      <c r="C38" s="65"/>
      <c r="D38" s="73" t="s">
        <v>59</v>
      </c>
      <c r="E38" s="73"/>
      <c r="F38" s="81" t="n">
        <v>20000</v>
      </c>
      <c r="G38" s="161" t="n">
        <v>0</v>
      </c>
      <c r="H38" s="75" t="n">
        <v>0</v>
      </c>
      <c r="J38" s="76"/>
      <c r="K38" s="160"/>
    </row>
    <row r="1048576" customFormat="false" ht="16.5" hidden="false" customHeight="false" outlineLevel="0" collapsed="false"/>
  </sheetData>
  <printOptions headings="false" gridLines="false" gridLinesSet="true" horizontalCentered="false" verticalCentered="false"/>
  <pageMargins left="0.629861111111111" right="0.240277777777778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true"/>
  </sheetPr>
  <dimension ref="B1:O237"/>
  <sheetViews>
    <sheetView showFormulas="false" showGridLines="true" showRowColHeaders="true" showZeros="true" rightToLeft="false" tabSelected="false" showOutlineSymbols="true" defaultGridColor="true" view="pageBreakPreview" topLeftCell="A1" colorId="64" zoomScale="85" zoomScaleNormal="90" zoomScalePageLayoutView="85" workbookViewId="0">
      <selection pane="topLeft" activeCell="T256" activeCellId="0" sqref="T256"/>
    </sheetView>
  </sheetViews>
  <sheetFormatPr defaultColWidth="9.1484375" defaultRowHeight="16.5" customHeight="true" zeroHeight="false" outlineLevelRow="0" outlineLevelCol="0"/>
  <cols>
    <col collapsed="false" customWidth="true" hidden="false" outlineLevel="0" max="1" min="1" style="71" width="2.71"/>
    <col collapsed="false" customWidth="true" hidden="false" outlineLevel="0" max="2" min="2" style="162" width="6.43"/>
    <col collapsed="false" customWidth="true" hidden="false" outlineLevel="0" max="3" min="3" style="163" width="5.86"/>
    <col collapsed="false" customWidth="true" hidden="false" outlineLevel="0" max="4" min="4" style="163" width="12"/>
    <col collapsed="false" customWidth="true" hidden="false" outlineLevel="0" max="5" min="5" style="163" width="14.14"/>
    <col collapsed="false" customWidth="true" hidden="false" outlineLevel="0" max="6" min="6" style="164" width="11"/>
    <col collapsed="false" customWidth="true" hidden="false" outlineLevel="0" max="7" min="7" style="165" width="9.86"/>
    <col collapsed="false" customWidth="true" hidden="false" outlineLevel="0" max="8" min="8" style="166" width="21"/>
    <col collapsed="false" customWidth="true" hidden="false" outlineLevel="0" max="9" min="9" style="166" width="10.14"/>
    <col collapsed="false" customWidth="true" hidden="false" outlineLevel="0" max="10" min="10" style="166" width="11.85"/>
    <col collapsed="false" customWidth="true" hidden="false" outlineLevel="0" max="11" min="11" style="167" width="11.71"/>
    <col collapsed="false" customWidth="true" hidden="false" outlineLevel="0" max="12" min="12" style="168" width="11.71"/>
    <col collapsed="false" customWidth="true" hidden="false" outlineLevel="0" max="13" min="13" style="167" width="10.57"/>
    <col collapsed="false" customWidth="true" hidden="false" outlineLevel="0" max="14" min="14" style="169" width="22.86"/>
    <col collapsed="false" customWidth="true" hidden="false" outlineLevel="0" max="15" min="15" style="170" width="5.42"/>
    <col collapsed="false" customWidth="true" hidden="false" outlineLevel="0" max="16" min="16" style="71" width="2.57"/>
    <col collapsed="false" customWidth="false" hidden="false" outlineLevel="0" max="19" min="17" style="71" width="9.14"/>
    <col collapsed="false" customWidth="true" hidden="false" outlineLevel="0" max="20" min="20" style="71" width="21.71"/>
    <col collapsed="false" customWidth="true" hidden="false" outlineLevel="0" max="21" min="21" style="71" width="8.86"/>
    <col collapsed="false" customWidth="false" hidden="false" outlineLevel="0" max="16384" min="22" style="71" width="9.14"/>
  </cols>
  <sheetData>
    <row r="1" customFormat="false" ht="16.5" hidden="false" customHeight="false" outlineLevel="0" collapsed="false">
      <c r="B1" s="171" t="s">
        <v>136</v>
      </c>
      <c r="C1" s="172" t="s">
        <v>137</v>
      </c>
      <c r="D1" s="173" t="s">
        <v>28</v>
      </c>
      <c r="E1" s="174" t="s">
        <v>29</v>
      </c>
      <c r="F1" s="174" t="s">
        <v>30</v>
      </c>
      <c r="G1" s="175" t="s">
        <v>26</v>
      </c>
      <c r="H1" s="176" t="s">
        <v>138</v>
      </c>
      <c r="I1" s="177" t="s">
        <v>139</v>
      </c>
      <c r="J1" s="167" t="s">
        <v>140</v>
      </c>
      <c r="K1" s="177" t="s">
        <v>141</v>
      </c>
      <c r="L1" s="168" t="s">
        <v>142</v>
      </c>
      <c r="M1" s="167" t="s">
        <v>143</v>
      </c>
      <c r="N1" s="178" t="s">
        <v>144</v>
      </c>
      <c r="O1" s="179" t="s">
        <v>145</v>
      </c>
    </row>
    <row r="2" customFormat="false" ht="16.5" hidden="true" customHeight="false" outlineLevel="0" collapsed="false">
      <c r="B2" s="162" t="n">
        <v>2025</v>
      </c>
      <c r="C2" s="163" t="n">
        <v>1</v>
      </c>
      <c r="D2" s="180" t="s">
        <v>56</v>
      </c>
      <c r="E2" s="175" t="s">
        <v>80</v>
      </c>
      <c r="F2" s="175" t="n">
        <v>96358353</v>
      </c>
      <c r="G2" s="175" t="s">
        <v>146</v>
      </c>
      <c r="H2" s="166" t="s">
        <v>79</v>
      </c>
      <c r="I2" s="181" t="n">
        <v>57500</v>
      </c>
      <c r="J2" s="181" t="n">
        <v>40000</v>
      </c>
      <c r="K2" s="168" t="n">
        <v>5000</v>
      </c>
      <c r="L2" s="181" t="n">
        <v>45000</v>
      </c>
      <c r="M2" s="181"/>
      <c r="N2" s="182"/>
      <c r="O2" s="166"/>
    </row>
    <row r="3" customFormat="false" ht="16.5" hidden="true" customHeight="false" outlineLevel="0" collapsed="false">
      <c r="B3" s="162" t="n">
        <v>2025</v>
      </c>
      <c r="C3" s="163" t="n">
        <v>1</v>
      </c>
      <c r="D3" s="180" t="s">
        <v>82</v>
      </c>
      <c r="E3" s="175" t="s">
        <v>83</v>
      </c>
      <c r="F3" s="175" t="n">
        <v>95529415</v>
      </c>
      <c r="G3" s="175" t="s">
        <v>146</v>
      </c>
      <c r="H3" s="166" t="s">
        <v>81</v>
      </c>
      <c r="I3" s="181" t="n">
        <v>75000</v>
      </c>
      <c r="J3" s="181" t="n">
        <v>2670</v>
      </c>
      <c r="K3" s="168" t="n">
        <v>62330</v>
      </c>
      <c r="L3" s="181" t="n">
        <v>65000</v>
      </c>
      <c r="M3" s="181"/>
      <c r="N3" s="182"/>
      <c r="O3" s="166"/>
    </row>
    <row r="4" customFormat="false" ht="16.5" hidden="true" customHeight="false" outlineLevel="0" collapsed="false">
      <c r="B4" s="162" t="n">
        <v>2025</v>
      </c>
      <c r="C4" s="163" t="n">
        <v>1</v>
      </c>
      <c r="D4" s="180" t="s">
        <v>56</v>
      </c>
      <c r="E4" s="175" t="s">
        <v>84</v>
      </c>
      <c r="F4" s="175" t="n">
        <v>95787183</v>
      </c>
      <c r="G4" s="175" t="s">
        <v>146</v>
      </c>
      <c r="H4" s="166" t="s">
        <v>73</v>
      </c>
      <c r="I4" s="181" t="n">
        <v>22104</v>
      </c>
      <c r="J4" s="181" t="n">
        <v>22104</v>
      </c>
      <c r="K4" s="168" t="n">
        <v>0</v>
      </c>
      <c r="L4" s="181" t="n">
        <v>22104</v>
      </c>
      <c r="M4" s="181"/>
      <c r="N4" s="182"/>
      <c r="O4" s="166"/>
    </row>
    <row r="5" customFormat="false" ht="15" hidden="true" customHeight="true" outlineLevel="0" collapsed="false">
      <c r="B5" s="162" t="n">
        <v>2025</v>
      </c>
      <c r="C5" s="163" t="n">
        <v>1</v>
      </c>
      <c r="D5" s="180" t="s">
        <v>82</v>
      </c>
      <c r="E5" s="175" t="s">
        <v>86</v>
      </c>
      <c r="F5" s="175" t="n">
        <v>95532064</v>
      </c>
      <c r="G5" s="175" t="s">
        <v>147</v>
      </c>
      <c r="H5" s="166" t="s">
        <v>85</v>
      </c>
      <c r="I5" s="181" t="n">
        <v>48000</v>
      </c>
      <c r="J5" s="181" t="n">
        <v>1670</v>
      </c>
      <c r="K5" s="168" t="n">
        <v>38330</v>
      </c>
      <c r="L5" s="181" t="n">
        <v>40000</v>
      </c>
      <c r="M5" s="181"/>
      <c r="N5" s="182"/>
      <c r="O5" s="166"/>
    </row>
    <row r="6" customFormat="false" ht="15" hidden="true" customHeight="true" outlineLevel="0" collapsed="false">
      <c r="B6" s="162" t="n">
        <v>2025</v>
      </c>
      <c r="C6" s="163" t="n">
        <v>1</v>
      </c>
      <c r="D6" s="180" t="s">
        <v>82</v>
      </c>
      <c r="E6" s="175" t="s">
        <v>88</v>
      </c>
      <c r="F6" s="175" t="n">
        <v>95532066</v>
      </c>
      <c r="G6" s="175" t="s">
        <v>147</v>
      </c>
      <c r="H6" s="166" t="s">
        <v>87</v>
      </c>
      <c r="I6" s="181" t="n">
        <v>52000</v>
      </c>
      <c r="J6" s="181" t="n">
        <v>40000</v>
      </c>
      <c r="K6" s="168" t="n">
        <v>5000</v>
      </c>
      <c r="L6" s="181" t="n">
        <v>45000</v>
      </c>
      <c r="M6" s="181"/>
      <c r="N6" s="182"/>
      <c r="O6" s="166"/>
    </row>
    <row r="7" customFormat="false" ht="15" hidden="true" customHeight="true" outlineLevel="0" collapsed="false">
      <c r="B7" s="162" t="n">
        <v>2025</v>
      </c>
      <c r="C7" s="163" t="n">
        <v>1</v>
      </c>
      <c r="D7" s="180" t="s">
        <v>82</v>
      </c>
      <c r="E7" s="175" t="s">
        <v>90</v>
      </c>
      <c r="F7" s="175" t="n">
        <v>0</v>
      </c>
      <c r="G7" s="175" t="s">
        <v>147</v>
      </c>
      <c r="H7" s="166" t="s">
        <v>89</v>
      </c>
      <c r="I7" s="181" t="n">
        <v>34500</v>
      </c>
      <c r="J7" s="181" t="n">
        <v>22104</v>
      </c>
      <c r="K7" s="168" t="n">
        <v>12998</v>
      </c>
      <c r="L7" s="181" t="n">
        <v>35102</v>
      </c>
      <c r="M7" s="181"/>
      <c r="N7" s="182"/>
      <c r="O7" s="166"/>
    </row>
    <row r="8" customFormat="false" ht="15" hidden="true" customHeight="true" outlineLevel="0" collapsed="false">
      <c r="B8" s="162" t="n">
        <v>2025</v>
      </c>
      <c r="C8" s="163" t="n">
        <v>1</v>
      </c>
      <c r="D8" s="180" t="s">
        <v>82</v>
      </c>
      <c r="E8" s="175" t="s">
        <v>92</v>
      </c>
      <c r="F8" s="175" t="n">
        <v>0</v>
      </c>
      <c r="G8" s="175" t="s">
        <v>147</v>
      </c>
      <c r="H8" s="166" t="s">
        <v>91</v>
      </c>
      <c r="I8" s="181" t="n">
        <v>34500</v>
      </c>
      <c r="J8" s="181" t="n">
        <v>1603</v>
      </c>
      <c r="K8" s="168" t="n">
        <v>12998</v>
      </c>
      <c r="L8" s="181" t="n">
        <v>14601</v>
      </c>
      <c r="M8" s="181"/>
      <c r="N8" s="182"/>
      <c r="O8" s="166"/>
    </row>
    <row r="9" customFormat="false" ht="16.5" hidden="true" customHeight="false" outlineLevel="0" collapsed="false">
      <c r="B9" s="162" t="n">
        <v>2025</v>
      </c>
      <c r="C9" s="163" t="n">
        <v>1</v>
      </c>
      <c r="D9" s="180" t="s">
        <v>69</v>
      </c>
      <c r="E9" s="175" t="s">
        <v>94</v>
      </c>
      <c r="F9" s="175" t="n">
        <v>95532077</v>
      </c>
      <c r="G9" s="175" t="s">
        <v>146</v>
      </c>
      <c r="H9" s="166" t="s">
        <v>93</v>
      </c>
      <c r="I9" s="181" t="n">
        <v>46000</v>
      </c>
      <c r="J9" s="181" t="n">
        <v>2335</v>
      </c>
      <c r="K9" s="168" t="n">
        <v>37665</v>
      </c>
      <c r="L9" s="181" t="n">
        <v>40000</v>
      </c>
      <c r="M9" s="181"/>
      <c r="N9" s="182"/>
      <c r="O9" s="166"/>
    </row>
    <row r="10" customFormat="false" ht="15" hidden="true" customHeight="true" outlineLevel="0" collapsed="false">
      <c r="B10" s="162" t="n">
        <v>2025</v>
      </c>
      <c r="C10" s="163" t="n">
        <v>1</v>
      </c>
      <c r="D10" s="180" t="s">
        <v>34</v>
      </c>
      <c r="E10" s="175" t="s">
        <v>96</v>
      </c>
      <c r="F10" s="175" t="n">
        <v>95693810</v>
      </c>
      <c r="G10" s="175" t="s">
        <v>147</v>
      </c>
      <c r="H10" s="166" t="s">
        <v>95</v>
      </c>
      <c r="I10" s="181" t="n">
        <v>43000</v>
      </c>
      <c r="J10" s="181" t="n">
        <v>2000</v>
      </c>
      <c r="K10" s="168" t="n">
        <v>35499.9</v>
      </c>
      <c r="L10" s="181" t="n">
        <v>37499.9</v>
      </c>
      <c r="M10" s="181"/>
      <c r="N10" s="182"/>
      <c r="O10" s="166"/>
    </row>
    <row r="11" customFormat="false" ht="16.5" hidden="true" customHeight="false" outlineLevel="0" collapsed="false">
      <c r="B11" s="162" t="n">
        <v>2025</v>
      </c>
      <c r="C11" s="163" t="n">
        <v>1</v>
      </c>
      <c r="D11" s="180" t="s">
        <v>98</v>
      </c>
      <c r="E11" s="175" t="s">
        <v>99</v>
      </c>
      <c r="F11" s="175" t="s">
        <v>148</v>
      </c>
      <c r="G11" s="175" t="s">
        <v>146</v>
      </c>
      <c r="H11" s="166" t="s">
        <v>97</v>
      </c>
      <c r="I11" s="181" t="n">
        <v>57500</v>
      </c>
      <c r="J11" s="181" t="n">
        <v>35000</v>
      </c>
      <c r="K11" s="168" t="n">
        <v>13000</v>
      </c>
      <c r="L11" s="181" t="n">
        <v>48000</v>
      </c>
      <c r="M11" s="181"/>
      <c r="N11" s="182"/>
      <c r="O11" s="166"/>
    </row>
    <row r="12" customFormat="false" ht="15" hidden="true" customHeight="true" outlineLevel="0" collapsed="false">
      <c r="B12" s="162" t="n">
        <v>2025</v>
      </c>
      <c r="C12" s="163" t="n">
        <v>1</v>
      </c>
      <c r="D12" s="180" t="s">
        <v>51</v>
      </c>
      <c r="E12" s="175" t="s">
        <v>101</v>
      </c>
      <c r="F12" s="175" t="n">
        <v>97189681</v>
      </c>
      <c r="G12" s="175" t="s">
        <v>147</v>
      </c>
      <c r="H12" s="166" t="s">
        <v>100</v>
      </c>
      <c r="I12" s="181" t="n">
        <v>40000</v>
      </c>
      <c r="J12" s="181" t="n">
        <v>38000</v>
      </c>
      <c r="K12" s="168" t="n">
        <v>0</v>
      </c>
      <c r="L12" s="181" t="n">
        <v>38000</v>
      </c>
      <c r="M12" s="181"/>
      <c r="N12" s="182"/>
      <c r="O12" s="166"/>
    </row>
    <row r="13" customFormat="false" ht="15" hidden="true" customHeight="true" outlineLevel="0" collapsed="false">
      <c r="B13" s="162" t="n">
        <v>2025</v>
      </c>
      <c r="C13" s="163" t="n">
        <v>1</v>
      </c>
      <c r="D13" s="180" t="s">
        <v>34</v>
      </c>
      <c r="E13" s="175" t="n">
        <v>0</v>
      </c>
      <c r="F13" s="175" t="n">
        <v>0</v>
      </c>
      <c r="G13" s="175" t="s">
        <v>147</v>
      </c>
      <c r="H13" s="166" t="s">
        <v>102</v>
      </c>
      <c r="I13" s="181" t="n">
        <v>40000</v>
      </c>
      <c r="J13" s="181" t="n">
        <v>0</v>
      </c>
      <c r="K13" s="168" t="n">
        <v>33000</v>
      </c>
      <c r="L13" s="181" t="n">
        <v>33000</v>
      </c>
      <c r="M13" s="181"/>
      <c r="N13" s="182"/>
      <c r="O13" s="166"/>
    </row>
    <row r="14" customFormat="false" ht="15" hidden="true" customHeight="true" outlineLevel="0" collapsed="false">
      <c r="B14" s="162" t="n">
        <v>2025</v>
      </c>
      <c r="C14" s="163" t="n">
        <v>1</v>
      </c>
      <c r="D14" s="180" t="s">
        <v>105</v>
      </c>
      <c r="E14" s="175" t="s">
        <v>106</v>
      </c>
      <c r="F14" s="175" t="n">
        <v>0</v>
      </c>
      <c r="G14" s="175" t="s">
        <v>147</v>
      </c>
      <c r="H14" s="183" t="s">
        <v>104</v>
      </c>
      <c r="I14" s="181" t="n">
        <v>48000</v>
      </c>
      <c r="J14" s="181" t="n">
        <v>48000</v>
      </c>
      <c r="K14" s="168" t="n">
        <v>0</v>
      </c>
      <c r="L14" s="181" t="n">
        <v>48000</v>
      </c>
      <c r="M14" s="181"/>
      <c r="N14" s="182"/>
      <c r="O14" s="166"/>
    </row>
    <row r="15" customFormat="false" ht="15" hidden="true" customHeight="true" outlineLevel="0" collapsed="false">
      <c r="B15" s="162" t="n">
        <v>2025</v>
      </c>
      <c r="C15" s="163" t="n">
        <v>1</v>
      </c>
      <c r="D15" s="180" t="s">
        <v>69</v>
      </c>
      <c r="E15" s="175" t="n">
        <v>0</v>
      </c>
      <c r="F15" s="175" t="n">
        <v>0</v>
      </c>
      <c r="G15" s="175" t="s">
        <v>147</v>
      </c>
      <c r="H15" s="184" t="s">
        <v>103</v>
      </c>
      <c r="I15" s="181" t="n">
        <v>50000</v>
      </c>
      <c r="J15" s="181" t="n">
        <v>2335</v>
      </c>
      <c r="K15" s="168" t="n">
        <v>40165</v>
      </c>
      <c r="L15" s="181" t="n">
        <v>42500</v>
      </c>
      <c r="M15" s="181"/>
      <c r="N15" s="182"/>
      <c r="O15" s="166"/>
    </row>
    <row r="16" customFormat="false" ht="15" hidden="true" customHeight="true" outlineLevel="0" collapsed="false">
      <c r="B16" s="162" t="n">
        <v>2025</v>
      </c>
      <c r="C16" s="163" t="n">
        <v>1</v>
      </c>
      <c r="D16" s="180" t="s">
        <v>69</v>
      </c>
      <c r="E16" s="175" t="s">
        <v>110</v>
      </c>
      <c r="F16" s="175" t="s">
        <v>149</v>
      </c>
      <c r="G16" s="175" t="s">
        <v>147</v>
      </c>
      <c r="H16" s="183" t="s">
        <v>109</v>
      </c>
      <c r="I16" s="181" t="n">
        <v>50000</v>
      </c>
      <c r="J16" s="181" t="n">
        <v>11333</v>
      </c>
      <c r="K16" s="168" t="n">
        <v>0</v>
      </c>
      <c r="L16" s="181" t="n">
        <v>11333</v>
      </c>
      <c r="M16" s="181"/>
      <c r="N16" s="182"/>
      <c r="O16" s="166"/>
    </row>
    <row r="17" customFormat="false" ht="15" hidden="true" customHeight="true" outlineLevel="0" collapsed="false">
      <c r="B17" s="162" t="n">
        <v>2025</v>
      </c>
      <c r="C17" s="163" t="n">
        <v>1</v>
      </c>
      <c r="D17" s="180" t="s">
        <v>112</v>
      </c>
      <c r="E17" s="175" t="s">
        <v>113</v>
      </c>
      <c r="F17" s="175" t="n">
        <v>0</v>
      </c>
      <c r="G17" s="175" t="s">
        <v>147</v>
      </c>
      <c r="H17" s="183" t="s">
        <v>111</v>
      </c>
      <c r="I17" s="181" t="n">
        <v>30000</v>
      </c>
      <c r="J17" s="181" t="n">
        <v>25000</v>
      </c>
      <c r="K17" s="168" t="n">
        <v>0</v>
      </c>
      <c r="L17" s="181" t="n">
        <v>25000</v>
      </c>
      <c r="M17" s="181"/>
      <c r="N17" s="182"/>
      <c r="O17" s="166"/>
    </row>
    <row r="18" customFormat="false" ht="15" hidden="true" customHeight="true" outlineLevel="0" collapsed="false">
      <c r="B18" s="162" t="n">
        <v>2025</v>
      </c>
      <c r="C18" s="163" t="n">
        <v>1</v>
      </c>
      <c r="D18" s="180" t="s">
        <v>82</v>
      </c>
      <c r="E18" s="175" t="n">
        <v>0</v>
      </c>
      <c r="F18" s="175" t="n">
        <v>0</v>
      </c>
      <c r="G18" s="175" t="s">
        <v>147</v>
      </c>
      <c r="H18" s="183" t="s">
        <v>114</v>
      </c>
      <c r="I18" s="181" t="n">
        <v>0</v>
      </c>
      <c r="J18" s="181" t="n">
        <v>0</v>
      </c>
      <c r="K18" s="168" t="n">
        <v>6000</v>
      </c>
      <c r="L18" s="181" t="n">
        <v>6000</v>
      </c>
      <c r="M18" s="181"/>
      <c r="N18" s="182"/>
      <c r="O18" s="166"/>
    </row>
    <row r="19" customFormat="false" ht="15" hidden="true" customHeight="true" outlineLevel="0" collapsed="false">
      <c r="B19" s="162" t="n">
        <v>2025</v>
      </c>
      <c r="C19" s="163" t="n">
        <v>1</v>
      </c>
      <c r="D19" s="180" t="s">
        <v>43</v>
      </c>
      <c r="E19" s="175" t="n">
        <v>0</v>
      </c>
      <c r="F19" s="175" t="n">
        <v>0</v>
      </c>
      <c r="G19" s="175" t="s">
        <v>147</v>
      </c>
      <c r="H19" s="183" t="s">
        <v>115</v>
      </c>
      <c r="I19" s="181" t="n">
        <v>30000</v>
      </c>
      <c r="J19" s="181" t="n">
        <v>0</v>
      </c>
      <c r="K19" s="168" t="n">
        <v>25000</v>
      </c>
      <c r="L19" s="181" t="n">
        <v>25000</v>
      </c>
      <c r="M19" s="181"/>
      <c r="N19" s="182"/>
      <c r="O19" s="166"/>
    </row>
    <row r="20" customFormat="false" ht="15" hidden="true" customHeight="true" outlineLevel="0" collapsed="false">
      <c r="B20" s="162" t="n">
        <v>2025</v>
      </c>
      <c r="C20" s="163" t="n">
        <v>1</v>
      </c>
      <c r="D20" s="180" t="s">
        <v>34</v>
      </c>
      <c r="E20" s="175" t="n">
        <v>0</v>
      </c>
      <c r="F20" s="175" t="n">
        <v>0</v>
      </c>
      <c r="G20" s="175" t="s">
        <v>147</v>
      </c>
      <c r="H20" s="184" t="s">
        <v>48</v>
      </c>
      <c r="I20" s="181" t="n">
        <v>11920</v>
      </c>
      <c r="J20" s="181" t="n">
        <v>0</v>
      </c>
      <c r="K20" s="168" t="n">
        <v>30999.9</v>
      </c>
      <c r="L20" s="181" t="n">
        <v>30999.9</v>
      </c>
      <c r="M20" s="181"/>
      <c r="N20" s="182"/>
      <c r="O20" s="166"/>
    </row>
    <row r="21" customFormat="false" ht="15" hidden="true" customHeight="true" outlineLevel="0" collapsed="false">
      <c r="B21" s="162" t="n">
        <v>2025</v>
      </c>
      <c r="C21" s="163" t="n">
        <v>1</v>
      </c>
      <c r="D21" s="180" t="s">
        <v>34</v>
      </c>
      <c r="E21" s="175" t="n">
        <v>0</v>
      </c>
      <c r="F21" s="175" t="n">
        <v>0</v>
      </c>
      <c r="G21" s="175" t="s">
        <v>147</v>
      </c>
      <c r="H21" s="184" t="s">
        <v>116</v>
      </c>
      <c r="I21" s="181" t="n">
        <v>43000</v>
      </c>
      <c r="J21" s="181" t="n">
        <v>1603</v>
      </c>
      <c r="K21" s="168" t="n">
        <v>33000</v>
      </c>
      <c r="L21" s="181" t="n">
        <v>34603</v>
      </c>
      <c r="M21" s="181"/>
      <c r="N21" s="182"/>
      <c r="O21" s="166"/>
    </row>
    <row r="22" customFormat="false" ht="15" hidden="true" customHeight="true" outlineLevel="0" collapsed="false">
      <c r="B22" s="162" t="n">
        <v>2025</v>
      </c>
      <c r="C22" s="163" t="n">
        <v>1</v>
      </c>
      <c r="D22" s="180" t="n">
        <v>0</v>
      </c>
      <c r="E22" s="175" t="n">
        <v>0</v>
      </c>
      <c r="F22" s="175" t="n">
        <v>0</v>
      </c>
      <c r="G22" s="175" t="s">
        <v>146</v>
      </c>
      <c r="H22" s="184" t="s">
        <v>150</v>
      </c>
      <c r="I22" s="181" t="n">
        <v>15000</v>
      </c>
      <c r="J22" s="181" t="n">
        <v>0</v>
      </c>
      <c r="K22" s="168" t="n">
        <v>15000</v>
      </c>
      <c r="L22" s="181" t="n">
        <v>15000</v>
      </c>
      <c r="M22" s="181"/>
      <c r="N22" s="182"/>
      <c r="O22" s="166"/>
    </row>
    <row r="23" customFormat="false" ht="15" hidden="true" customHeight="true" outlineLevel="0" collapsed="false">
      <c r="B23" s="162" t="n">
        <v>2025</v>
      </c>
      <c r="C23" s="163" t="n">
        <v>1</v>
      </c>
      <c r="D23" s="180" t="s">
        <v>69</v>
      </c>
      <c r="E23" s="175" t="s">
        <v>118</v>
      </c>
      <c r="F23" s="175" t="n">
        <v>0</v>
      </c>
      <c r="G23" s="175" t="s">
        <v>147</v>
      </c>
      <c r="H23" s="184" t="s">
        <v>117</v>
      </c>
      <c r="I23" s="181" t="n">
        <v>50000</v>
      </c>
      <c r="J23" s="181" t="n">
        <v>30000</v>
      </c>
      <c r="K23" s="168" t="n">
        <v>2833.33</v>
      </c>
      <c r="L23" s="181" t="n">
        <v>32833.33</v>
      </c>
      <c r="M23" s="181"/>
      <c r="N23" s="182"/>
      <c r="O23" s="166"/>
    </row>
    <row r="24" customFormat="false" ht="15" hidden="true" customHeight="true" outlineLevel="0" collapsed="false">
      <c r="B24" s="162" t="n">
        <v>2025</v>
      </c>
      <c r="C24" s="163" t="n">
        <v>1</v>
      </c>
      <c r="D24" s="180" t="s">
        <v>59</v>
      </c>
      <c r="E24" s="175" t="s">
        <v>132</v>
      </c>
      <c r="F24" s="175" t="s">
        <v>151</v>
      </c>
      <c r="G24" s="175" t="s">
        <v>146</v>
      </c>
      <c r="H24" s="184" t="s">
        <v>131</v>
      </c>
      <c r="I24" s="181" t="n">
        <v>30000</v>
      </c>
      <c r="J24" s="181" t="n">
        <v>22104</v>
      </c>
      <c r="K24" s="168" t="n">
        <v>12998</v>
      </c>
      <c r="L24" s="181" t="n">
        <v>35102</v>
      </c>
      <c r="M24" s="181"/>
      <c r="N24" s="182"/>
      <c r="O24" s="166"/>
    </row>
    <row r="25" customFormat="false" ht="15" hidden="true" customHeight="true" outlineLevel="0" collapsed="false">
      <c r="B25" s="162" t="n">
        <v>2025</v>
      </c>
      <c r="C25" s="163" t="n">
        <v>1</v>
      </c>
      <c r="D25" s="180" t="s">
        <v>59</v>
      </c>
      <c r="E25" s="175" t="s">
        <v>130</v>
      </c>
      <c r="F25" s="175" t="s">
        <v>152</v>
      </c>
      <c r="G25" s="175" t="s">
        <v>146</v>
      </c>
      <c r="H25" s="183" t="s">
        <v>129</v>
      </c>
      <c r="I25" s="181" t="n">
        <v>40000</v>
      </c>
      <c r="J25" s="181" t="n">
        <v>22104</v>
      </c>
      <c r="K25" s="168" t="n">
        <v>-2</v>
      </c>
      <c r="L25" s="181" t="n">
        <v>22102</v>
      </c>
      <c r="M25" s="181"/>
      <c r="N25" s="182"/>
      <c r="O25" s="166"/>
    </row>
    <row r="26" customFormat="false" ht="15" hidden="true" customHeight="true" outlineLevel="0" collapsed="false">
      <c r="B26" s="162" t="n">
        <v>2025</v>
      </c>
      <c r="C26" s="163" t="n">
        <v>1</v>
      </c>
      <c r="D26" s="180" t="s">
        <v>59</v>
      </c>
      <c r="E26" s="175" t="n">
        <v>0</v>
      </c>
      <c r="F26" s="175" t="n">
        <v>0</v>
      </c>
      <c r="G26" s="175" t="s">
        <v>146</v>
      </c>
      <c r="H26" s="183" t="s">
        <v>134</v>
      </c>
      <c r="I26" s="181" t="n">
        <v>30000</v>
      </c>
      <c r="J26" s="181" t="n">
        <v>0</v>
      </c>
      <c r="K26" s="168" t="n">
        <v>30000</v>
      </c>
      <c r="L26" s="181" t="n">
        <v>30000</v>
      </c>
      <c r="M26" s="181"/>
      <c r="O26" s="166"/>
    </row>
    <row r="27" customFormat="false" ht="15" hidden="true" customHeight="true" outlineLevel="0" collapsed="false">
      <c r="B27" s="162" t="n">
        <v>2025</v>
      </c>
      <c r="C27" s="163" t="n">
        <v>1</v>
      </c>
      <c r="D27" s="180" t="s">
        <v>59</v>
      </c>
      <c r="E27" s="175" t="s">
        <v>60</v>
      </c>
      <c r="F27" s="175" t="s">
        <v>61</v>
      </c>
      <c r="G27" s="175" t="s">
        <v>146</v>
      </c>
      <c r="H27" s="183" t="s">
        <v>133</v>
      </c>
      <c r="I27" s="181" t="n">
        <v>50000</v>
      </c>
      <c r="J27" s="181" t="n">
        <v>30000</v>
      </c>
      <c r="K27" s="168" t="n">
        <v>50000</v>
      </c>
      <c r="L27" s="181" t="n">
        <v>80000</v>
      </c>
      <c r="M27" s="181"/>
      <c r="O27" s="166"/>
    </row>
    <row r="28" customFormat="false" ht="15" hidden="true" customHeight="true" outlineLevel="0" collapsed="false">
      <c r="B28" s="162" t="n">
        <v>2025</v>
      </c>
      <c r="C28" s="163" t="n">
        <v>1</v>
      </c>
      <c r="D28" s="180" t="s">
        <v>59</v>
      </c>
      <c r="E28" s="175" t="s">
        <v>57</v>
      </c>
      <c r="F28" s="175" t="s">
        <v>153</v>
      </c>
      <c r="G28" s="175" t="s">
        <v>146</v>
      </c>
      <c r="H28" s="183" t="s">
        <v>55</v>
      </c>
      <c r="I28" s="181" t="n">
        <v>50000</v>
      </c>
      <c r="J28" s="181" t="n">
        <v>30000</v>
      </c>
      <c r="K28" s="168" t="n">
        <v>50000</v>
      </c>
      <c r="L28" s="181" t="n">
        <v>80000</v>
      </c>
      <c r="M28" s="181"/>
      <c r="O28" s="166"/>
    </row>
    <row r="29" customFormat="false" ht="16.5" hidden="true" customHeight="false" outlineLevel="0" collapsed="false">
      <c r="B29" s="162" t="n">
        <v>2025</v>
      </c>
      <c r="C29" s="163" t="n">
        <v>2</v>
      </c>
      <c r="D29" s="180" t="s">
        <v>56</v>
      </c>
      <c r="E29" s="175" t="s">
        <v>80</v>
      </c>
      <c r="F29" s="175" t="n">
        <v>96358353</v>
      </c>
      <c r="G29" s="175" t="s">
        <v>154</v>
      </c>
      <c r="H29" s="166" t="s">
        <v>79</v>
      </c>
      <c r="I29" s="181" t="n">
        <v>57500</v>
      </c>
      <c r="J29" s="181" t="n">
        <v>40000</v>
      </c>
      <c r="K29" s="168" t="n">
        <v>17500</v>
      </c>
      <c r="L29" s="185" t="n">
        <v>57500</v>
      </c>
      <c r="M29" s="181"/>
      <c r="N29" s="182"/>
      <c r="O29" s="166"/>
    </row>
    <row r="30" customFormat="false" ht="16.5" hidden="true" customHeight="false" outlineLevel="0" collapsed="false">
      <c r="B30" s="162" t="n">
        <v>2025</v>
      </c>
      <c r="C30" s="163" t="n">
        <v>2</v>
      </c>
      <c r="D30" s="180" t="s">
        <v>82</v>
      </c>
      <c r="E30" s="175" t="s">
        <v>83</v>
      </c>
      <c r="F30" s="175" t="n">
        <v>95529415</v>
      </c>
      <c r="G30" s="175" t="s">
        <v>155</v>
      </c>
      <c r="H30" s="166" t="s">
        <v>81</v>
      </c>
      <c r="I30" s="181" t="n">
        <v>75000</v>
      </c>
      <c r="J30" s="181" t="n">
        <v>2670</v>
      </c>
      <c r="K30" s="168" t="n">
        <v>72330</v>
      </c>
      <c r="L30" s="185" t="n">
        <v>75000</v>
      </c>
      <c r="M30" s="181"/>
      <c r="N30" s="182"/>
      <c r="O30" s="166"/>
    </row>
    <row r="31" customFormat="false" ht="16.5" hidden="true" customHeight="false" outlineLevel="0" collapsed="false">
      <c r="B31" s="162" t="n">
        <v>2025</v>
      </c>
      <c r="C31" s="163" t="n">
        <v>2</v>
      </c>
      <c r="D31" s="180" t="s">
        <v>56</v>
      </c>
      <c r="E31" s="175" t="s">
        <v>84</v>
      </c>
      <c r="F31" s="175" t="n">
        <v>95787183</v>
      </c>
      <c r="G31" s="175" t="s">
        <v>155</v>
      </c>
      <c r="H31" s="166" t="s">
        <v>73</v>
      </c>
      <c r="I31" s="181" t="n">
        <v>22104</v>
      </c>
      <c r="J31" s="181" t="n">
        <v>22104</v>
      </c>
      <c r="K31" s="168" t="n">
        <v>0</v>
      </c>
      <c r="L31" s="185" t="n">
        <v>22104</v>
      </c>
      <c r="M31" s="181"/>
      <c r="N31" s="182"/>
      <c r="O31" s="166"/>
    </row>
    <row r="32" customFormat="false" ht="15" hidden="true" customHeight="true" outlineLevel="0" collapsed="false">
      <c r="B32" s="162" t="n">
        <v>2025</v>
      </c>
      <c r="C32" s="163" t="n">
        <v>2</v>
      </c>
      <c r="D32" s="180" t="s">
        <v>82</v>
      </c>
      <c r="E32" s="175" t="s">
        <v>86</v>
      </c>
      <c r="F32" s="175" t="n">
        <v>95532064</v>
      </c>
      <c r="G32" s="175" t="s">
        <v>155</v>
      </c>
      <c r="H32" s="166" t="s">
        <v>85</v>
      </c>
      <c r="I32" s="181" t="n">
        <v>48000</v>
      </c>
      <c r="J32" s="181" t="n">
        <v>1670</v>
      </c>
      <c r="K32" s="168" t="n">
        <v>46330</v>
      </c>
      <c r="L32" s="185" t="n">
        <v>48000</v>
      </c>
      <c r="M32" s="181"/>
      <c r="N32" s="182"/>
      <c r="O32" s="166"/>
    </row>
    <row r="33" customFormat="false" ht="15" hidden="true" customHeight="true" outlineLevel="0" collapsed="false">
      <c r="B33" s="162" t="n">
        <v>2025</v>
      </c>
      <c r="C33" s="163" t="n">
        <v>2</v>
      </c>
      <c r="D33" s="180" t="s">
        <v>82</v>
      </c>
      <c r="E33" s="175" t="s">
        <v>88</v>
      </c>
      <c r="F33" s="175" t="n">
        <v>95532066</v>
      </c>
      <c r="G33" s="175" t="s">
        <v>155</v>
      </c>
      <c r="H33" s="166" t="s">
        <v>87</v>
      </c>
      <c r="I33" s="181" t="n">
        <v>52000</v>
      </c>
      <c r="J33" s="181" t="n">
        <v>40000</v>
      </c>
      <c r="K33" s="168" t="n">
        <v>12000</v>
      </c>
      <c r="L33" s="185" t="n">
        <v>52000</v>
      </c>
      <c r="M33" s="181"/>
      <c r="N33" s="182"/>
      <c r="O33" s="166"/>
    </row>
    <row r="34" customFormat="false" ht="15" hidden="true" customHeight="true" outlineLevel="0" collapsed="false">
      <c r="B34" s="162" t="n">
        <v>2025</v>
      </c>
      <c r="C34" s="163" t="n">
        <v>2</v>
      </c>
      <c r="D34" s="180" t="s">
        <v>82</v>
      </c>
      <c r="E34" s="175" t="s">
        <v>90</v>
      </c>
      <c r="F34" s="175" t="n">
        <v>0</v>
      </c>
      <c r="G34" s="175" t="s">
        <v>155</v>
      </c>
      <c r="H34" s="166" t="s">
        <v>89</v>
      </c>
      <c r="I34" s="181" t="n">
        <v>34500</v>
      </c>
      <c r="J34" s="181" t="n">
        <v>22104</v>
      </c>
      <c r="K34" s="168" t="n">
        <v>12396</v>
      </c>
      <c r="L34" s="185" t="n">
        <v>34500</v>
      </c>
      <c r="M34" s="181"/>
      <c r="N34" s="182"/>
      <c r="O34" s="166"/>
    </row>
    <row r="35" customFormat="false" ht="15" hidden="true" customHeight="true" outlineLevel="0" collapsed="false">
      <c r="B35" s="162" t="n">
        <v>2025</v>
      </c>
      <c r="C35" s="163" t="n">
        <v>2</v>
      </c>
      <c r="D35" s="180" t="s">
        <v>82</v>
      </c>
      <c r="E35" s="175" t="s">
        <v>92</v>
      </c>
      <c r="F35" s="175" t="n">
        <v>0</v>
      </c>
      <c r="G35" s="175" t="s">
        <v>155</v>
      </c>
      <c r="H35" s="166" t="s">
        <v>91</v>
      </c>
      <c r="I35" s="181" t="n">
        <v>34500</v>
      </c>
      <c r="J35" s="181" t="n">
        <v>1603</v>
      </c>
      <c r="K35" s="168" t="n">
        <v>32897</v>
      </c>
      <c r="L35" s="185" t="n">
        <v>34500</v>
      </c>
      <c r="M35" s="181"/>
      <c r="N35" s="182"/>
      <c r="O35" s="166"/>
    </row>
    <row r="36" customFormat="false" ht="16.5" hidden="true" customHeight="false" outlineLevel="0" collapsed="false">
      <c r="B36" s="162" t="n">
        <v>2025</v>
      </c>
      <c r="C36" s="163" t="n">
        <v>2</v>
      </c>
      <c r="D36" s="180" t="s">
        <v>69</v>
      </c>
      <c r="E36" s="175" t="s">
        <v>94</v>
      </c>
      <c r="F36" s="175" t="n">
        <v>95532077</v>
      </c>
      <c r="G36" s="175" t="s">
        <v>155</v>
      </c>
      <c r="H36" s="166" t="s">
        <v>93</v>
      </c>
      <c r="I36" s="181" t="n">
        <v>46000</v>
      </c>
      <c r="J36" s="181" t="n">
        <v>2335</v>
      </c>
      <c r="K36" s="168" t="n">
        <v>43665</v>
      </c>
      <c r="L36" s="185" t="n">
        <v>46000</v>
      </c>
      <c r="M36" s="181"/>
      <c r="N36" s="182"/>
      <c r="O36" s="166"/>
    </row>
    <row r="37" customFormat="false" ht="15" hidden="true" customHeight="true" outlineLevel="0" collapsed="false">
      <c r="B37" s="162" t="n">
        <v>2025</v>
      </c>
      <c r="C37" s="163" t="n">
        <v>2</v>
      </c>
      <c r="D37" s="180" t="s">
        <v>34</v>
      </c>
      <c r="E37" s="175" t="s">
        <v>96</v>
      </c>
      <c r="F37" s="175" t="n">
        <v>95693810</v>
      </c>
      <c r="G37" s="175" t="s">
        <v>155</v>
      </c>
      <c r="H37" s="166" t="s">
        <v>95</v>
      </c>
      <c r="I37" s="181" t="n">
        <v>43000</v>
      </c>
      <c r="J37" s="181" t="n">
        <v>2000</v>
      </c>
      <c r="K37" s="168" t="n">
        <v>41000</v>
      </c>
      <c r="L37" s="185" t="n">
        <v>43000</v>
      </c>
      <c r="M37" s="181"/>
      <c r="N37" s="182"/>
      <c r="O37" s="166"/>
    </row>
    <row r="38" customFormat="false" ht="16.5" hidden="true" customHeight="false" outlineLevel="0" collapsed="false">
      <c r="B38" s="162" t="n">
        <v>2025</v>
      </c>
      <c r="C38" s="163" t="n">
        <v>2</v>
      </c>
      <c r="D38" s="180" t="s">
        <v>98</v>
      </c>
      <c r="E38" s="175" t="s">
        <v>99</v>
      </c>
      <c r="F38" s="175" t="s">
        <v>148</v>
      </c>
      <c r="G38" s="175" t="s">
        <v>155</v>
      </c>
      <c r="H38" s="166" t="s">
        <v>97</v>
      </c>
      <c r="I38" s="181" t="n">
        <v>57500</v>
      </c>
      <c r="J38" s="181" t="n">
        <v>35000</v>
      </c>
      <c r="K38" s="168" t="n">
        <v>22500</v>
      </c>
      <c r="L38" s="185" t="n">
        <v>57500</v>
      </c>
      <c r="M38" s="181"/>
      <c r="N38" s="182"/>
      <c r="O38" s="166"/>
    </row>
    <row r="39" customFormat="false" ht="15" hidden="true" customHeight="true" outlineLevel="0" collapsed="false">
      <c r="B39" s="162" t="n">
        <v>2025</v>
      </c>
      <c r="C39" s="163" t="n">
        <v>2</v>
      </c>
      <c r="D39" s="180" t="s">
        <v>51</v>
      </c>
      <c r="E39" s="175" t="s">
        <v>101</v>
      </c>
      <c r="F39" s="175" t="n">
        <v>97189681</v>
      </c>
      <c r="G39" s="175" t="s">
        <v>155</v>
      </c>
      <c r="H39" s="166" t="s">
        <v>100</v>
      </c>
      <c r="I39" s="181" t="n">
        <v>40000</v>
      </c>
      <c r="J39" s="181" t="n">
        <v>38000</v>
      </c>
      <c r="K39" s="168" t="n">
        <v>2000</v>
      </c>
      <c r="L39" s="185" t="n">
        <v>40000</v>
      </c>
      <c r="M39" s="181"/>
      <c r="N39" s="182"/>
      <c r="O39" s="166"/>
    </row>
    <row r="40" customFormat="false" ht="15" hidden="true" customHeight="true" outlineLevel="0" collapsed="false">
      <c r="B40" s="162" t="n">
        <v>2025</v>
      </c>
      <c r="C40" s="163" t="n">
        <v>2</v>
      </c>
      <c r="D40" s="180" t="s">
        <v>34</v>
      </c>
      <c r="E40" s="175" t="n">
        <v>0</v>
      </c>
      <c r="F40" s="175" t="n">
        <v>0</v>
      </c>
      <c r="G40" s="175" t="s">
        <v>154</v>
      </c>
      <c r="H40" s="166" t="s">
        <v>102</v>
      </c>
      <c r="I40" s="181" t="n">
        <v>40000</v>
      </c>
      <c r="J40" s="181" t="n">
        <v>0</v>
      </c>
      <c r="K40" s="168" t="n">
        <v>40000</v>
      </c>
      <c r="L40" s="185" t="n">
        <v>40000</v>
      </c>
      <c r="M40" s="181"/>
      <c r="N40" s="182"/>
      <c r="O40" s="166"/>
    </row>
    <row r="41" customFormat="false" ht="15" hidden="true" customHeight="true" outlineLevel="0" collapsed="false">
      <c r="B41" s="162" t="n">
        <v>2025</v>
      </c>
      <c r="C41" s="163" t="n">
        <v>2</v>
      </c>
      <c r="D41" s="180" t="s">
        <v>105</v>
      </c>
      <c r="E41" s="175" t="s">
        <v>106</v>
      </c>
      <c r="F41" s="175" t="n">
        <v>0</v>
      </c>
      <c r="G41" s="175" t="s">
        <v>155</v>
      </c>
      <c r="H41" s="183" t="s">
        <v>104</v>
      </c>
      <c r="I41" s="181" t="n">
        <v>48000</v>
      </c>
      <c r="J41" s="181" t="n">
        <v>48000</v>
      </c>
      <c r="K41" s="168" t="n">
        <v>0</v>
      </c>
      <c r="L41" s="185" t="n">
        <v>48000</v>
      </c>
      <c r="M41" s="181"/>
      <c r="N41" s="182"/>
      <c r="O41" s="166"/>
    </row>
    <row r="42" customFormat="false" ht="15" hidden="true" customHeight="true" outlineLevel="0" collapsed="false">
      <c r="B42" s="162" t="n">
        <v>2025</v>
      </c>
      <c r="C42" s="163" t="n">
        <v>2</v>
      </c>
      <c r="D42" s="180" t="s">
        <v>69</v>
      </c>
      <c r="E42" s="175" t="n">
        <v>0</v>
      </c>
      <c r="F42" s="175" t="n">
        <v>0</v>
      </c>
      <c r="G42" s="175" t="s">
        <v>155</v>
      </c>
      <c r="H42" s="184" t="s">
        <v>103</v>
      </c>
      <c r="I42" s="181" t="n">
        <v>50000</v>
      </c>
      <c r="J42" s="181" t="n">
        <v>2335</v>
      </c>
      <c r="K42" s="168" t="n">
        <v>47665</v>
      </c>
      <c r="L42" s="185" t="n">
        <v>50000</v>
      </c>
      <c r="M42" s="181"/>
      <c r="N42" s="182"/>
      <c r="O42" s="166"/>
    </row>
    <row r="43" customFormat="false" ht="15" hidden="true" customHeight="true" outlineLevel="0" collapsed="false">
      <c r="B43" s="162" t="n">
        <v>2025</v>
      </c>
      <c r="C43" s="163" t="n">
        <v>2</v>
      </c>
      <c r="D43" s="180" t="s">
        <v>69</v>
      </c>
      <c r="E43" s="175" t="s">
        <v>110</v>
      </c>
      <c r="F43" s="175" t="s">
        <v>149</v>
      </c>
      <c r="G43" s="175" t="s">
        <v>155</v>
      </c>
      <c r="H43" s="183" t="s">
        <v>109</v>
      </c>
      <c r="I43" s="181" t="n">
        <v>50000</v>
      </c>
      <c r="J43" s="181" t="n">
        <v>11333</v>
      </c>
      <c r="K43" s="168" t="n">
        <v>38667</v>
      </c>
      <c r="L43" s="185" t="n">
        <v>50000</v>
      </c>
      <c r="M43" s="181"/>
      <c r="N43" s="182"/>
      <c r="O43" s="166"/>
    </row>
    <row r="44" customFormat="false" ht="15" hidden="true" customHeight="true" outlineLevel="0" collapsed="false">
      <c r="B44" s="162" t="n">
        <v>2025</v>
      </c>
      <c r="C44" s="163" t="n">
        <v>2</v>
      </c>
      <c r="D44" s="180" t="s">
        <v>112</v>
      </c>
      <c r="E44" s="175" t="s">
        <v>113</v>
      </c>
      <c r="F44" s="175" t="n">
        <v>0</v>
      </c>
      <c r="G44" s="175" t="s">
        <v>155</v>
      </c>
      <c r="H44" s="183" t="s">
        <v>111</v>
      </c>
      <c r="I44" s="181" t="n">
        <v>30000</v>
      </c>
      <c r="J44" s="181" t="n">
        <v>25000</v>
      </c>
      <c r="K44" s="168" t="n">
        <v>5000</v>
      </c>
      <c r="L44" s="181" t="n">
        <v>30000</v>
      </c>
      <c r="M44" s="181"/>
      <c r="N44" s="182"/>
      <c r="O44" s="166"/>
    </row>
    <row r="45" customFormat="false" ht="15" hidden="true" customHeight="true" outlineLevel="0" collapsed="false">
      <c r="B45" s="162" t="n">
        <v>2025</v>
      </c>
      <c r="C45" s="163" t="n">
        <v>2</v>
      </c>
      <c r="D45" s="180" t="s">
        <v>43</v>
      </c>
      <c r="E45" s="175" t="n">
        <v>0</v>
      </c>
      <c r="F45" s="175" t="n">
        <v>0</v>
      </c>
      <c r="G45" s="175" t="s">
        <v>154</v>
      </c>
      <c r="H45" s="183" t="s">
        <v>115</v>
      </c>
      <c r="I45" s="181" t="n">
        <v>30000</v>
      </c>
      <c r="J45" s="181" t="n">
        <v>0</v>
      </c>
      <c r="K45" s="168" t="n">
        <v>30000</v>
      </c>
      <c r="L45" s="185" t="n">
        <v>30000</v>
      </c>
      <c r="M45" s="181"/>
      <c r="N45" s="182"/>
      <c r="O45" s="166"/>
    </row>
    <row r="46" customFormat="false" ht="15" hidden="true" customHeight="true" outlineLevel="0" collapsed="false">
      <c r="B46" s="162" t="n">
        <v>2025</v>
      </c>
      <c r="C46" s="163" t="n">
        <v>2</v>
      </c>
      <c r="D46" s="180" t="s">
        <v>34</v>
      </c>
      <c r="E46" s="175" t="n">
        <v>0</v>
      </c>
      <c r="F46" s="175" t="n">
        <v>0</v>
      </c>
      <c r="G46" s="175" t="s">
        <v>155</v>
      </c>
      <c r="H46" s="184" t="s">
        <v>48</v>
      </c>
      <c r="I46" s="181" t="n">
        <v>11920</v>
      </c>
      <c r="J46" s="181" t="n">
        <v>0</v>
      </c>
      <c r="K46" s="168" t="n">
        <v>21920</v>
      </c>
      <c r="L46" s="185" t="n">
        <v>21920</v>
      </c>
      <c r="M46" s="181" t="n">
        <v>10000</v>
      </c>
      <c r="N46" s="182" t="s">
        <v>156</v>
      </c>
      <c r="O46" s="166"/>
    </row>
    <row r="47" customFormat="false" ht="15" hidden="true" customHeight="true" outlineLevel="0" collapsed="false">
      <c r="B47" s="162" t="n">
        <v>2025</v>
      </c>
      <c r="C47" s="163" t="n">
        <v>2</v>
      </c>
      <c r="D47" s="180" t="s">
        <v>34</v>
      </c>
      <c r="E47" s="175" t="n">
        <v>0</v>
      </c>
      <c r="F47" s="175" t="n">
        <v>0</v>
      </c>
      <c r="G47" s="175" t="s">
        <v>155</v>
      </c>
      <c r="H47" s="184" t="s">
        <v>116</v>
      </c>
      <c r="I47" s="181" t="n">
        <v>43000</v>
      </c>
      <c r="J47" s="181" t="n">
        <v>1603</v>
      </c>
      <c r="K47" s="168" t="n">
        <v>43397</v>
      </c>
      <c r="L47" s="185" t="n">
        <v>45000</v>
      </c>
      <c r="M47" s="181" t="n">
        <v>2000</v>
      </c>
      <c r="N47" s="182" t="s">
        <v>157</v>
      </c>
      <c r="O47" s="166"/>
    </row>
    <row r="48" customFormat="false" ht="15" hidden="true" customHeight="true" outlineLevel="0" collapsed="false">
      <c r="B48" s="162" t="n">
        <v>2025</v>
      </c>
      <c r="C48" s="163" t="n">
        <v>2</v>
      </c>
      <c r="D48" s="180" t="n">
        <v>0</v>
      </c>
      <c r="E48" s="175" t="n">
        <v>0</v>
      </c>
      <c r="F48" s="175" t="n">
        <v>0</v>
      </c>
      <c r="G48" s="175" t="s">
        <v>154</v>
      </c>
      <c r="H48" s="184" t="s">
        <v>150</v>
      </c>
      <c r="I48" s="181" t="n">
        <v>15000</v>
      </c>
      <c r="J48" s="181" t="n">
        <v>0</v>
      </c>
      <c r="K48" s="168" t="n">
        <v>15000</v>
      </c>
      <c r="L48" s="181" t="n">
        <v>15000</v>
      </c>
      <c r="M48" s="181"/>
      <c r="N48" s="182"/>
      <c r="O48" s="166"/>
    </row>
    <row r="49" customFormat="false" ht="15" hidden="true" customHeight="true" outlineLevel="0" collapsed="false">
      <c r="B49" s="162" t="n">
        <v>2025</v>
      </c>
      <c r="C49" s="163" t="n">
        <v>2</v>
      </c>
      <c r="D49" s="180" t="s">
        <v>69</v>
      </c>
      <c r="E49" s="175" t="s">
        <v>118</v>
      </c>
      <c r="F49" s="175" t="n">
        <v>0</v>
      </c>
      <c r="G49" s="175" t="s">
        <v>155</v>
      </c>
      <c r="H49" s="184" t="s">
        <v>117</v>
      </c>
      <c r="I49" s="181" t="n">
        <v>50000</v>
      </c>
      <c r="J49" s="181" t="n">
        <v>50000</v>
      </c>
      <c r="K49" s="168" t="n">
        <v>0</v>
      </c>
      <c r="L49" s="185" t="n">
        <v>50000</v>
      </c>
      <c r="M49" s="181"/>
      <c r="N49" s="182"/>
      <c r="O49" s="166"/>
    </row>
    <row r="50" customFormat="false" ht="15" hidden="true" customHeight="true" outlineLevel="0" collapsed="false">
      <c r="B50" s="162" t="n">
        <v>2025</v>
      </c>
      <c r="C50" s="163" t="n">
        <v>2</v>
      </c>
      <c r="D50" s="180" t="s">
        <v>59</v>
      </c>
      <c r="E50" s="175" t="s">
        <v>132</v>
      </c>
      <c r="F50" s="175" t="s">
        <v>151</v>
      </c>
      <c r="G50" s="175" t="s">
        <v>155</v>
      </c>
      <c r="H50" s="184" t="s">
        <v>131</v>
      </c>
      <c r="I50" s="181" t="n">
        <v>30000</v>
      </c>
      <c r="J50" s="181" t="n">
        <v>22104</v>
      </c>
      <c r="K50" s="168" t="n">
        <v>7896</v>
      </c>
      <c r="L50" s="185" t="n">
        <v>30000</v>
      </c>
      <c r="M50" s="181"/>
      <c r="N50" s="182"/>
      <c r="O50" s="166"/>
    </row>
    <row r="51" customFormat="false" ht="15" hidden="true" customHeight="true" outlineLevel="0" collapsed="false">
      <c r="B51" s="162" t="n">
        <v>2025</v>
      </c>
      <c r="C51" s="163" t="n">
        <v>2</v>
      </c>
      <c r="D51" s="180" t="s">
        <v>59</v>
      </c>
      <c r="E51" s="175" t="n">
        <v>0</v>
      </c>
      <c r="F51" s="175" t="n">
        <v>0</v>
      </c>
      <c r="G51" s="175" t="s">
        <v>154</v>
      </c>
      <c r="H51" s="186" t="s">
        <v>127</v>
      </c>
      <c r="I51" s="181" t="n">
        <v>30000</v>
      </c>
      <c r="J51" s="181" t="n">
        <v>0</v>
      </c>
      <c r="K51" s="168" t="n">
        <v>30000</v>
      </c>
      <c r="L51" s="185" t="n">
        <v>30000</v>
      </c>
      <c r="M51" s="181"/>
      <c r="N51" s="182"/>
      <c r="O51" s="166"/>
    </row>
    <row r="52" customFormat="false" ht="15" hidden="true" customHeight="true" outlineLevel="0" collapsed="false">
      <c r="B52" s="162" t="n">
        <v>2025</v>
      </c>
      <c r="C52" s="187" t="n">
        <v>2</v>
      </c>
      <c r="D52" s="180" t="s">
        <v>59</v>
      </c>
      <c r="E52" s="175" t="n">
        <v>0</v>
      </c>
      <c r="F52" s="175" t="n">
        <v>0</v>
      </c>
      <c r="G52" s="175" t="s">
        <v>154</v>
      </c>
      <c r="H52" s="186" t="s">
        <v>128</v>
      </c>
      <c r="I52" s="181" t="n">
        <v>50000</v>
      </c>
      <c r="J52" s="181" t="n">
        <v>0</v>
      </c>
      <c r="K52" s="168" t="n">
        <v>50000</v>
      </c>
      <c r="L52" s="185" t="n">
        <v>50000</v>
      </c>
      <c r="M52" s="181"/>
      <c r="N52" s="188" t="s">
        <v>158</v>
      </c>
      <c r="O52" s="189"/>
    </row>
    <row r="53" customFormat="false" ht="15" hidden="true" customHeight="true" outlineLevel="0" collapsed="false">
      <c r="B53" s="162" t="n">
        <v>2025</v>
      </c>
      <c r="C53" s="187" t="n">
        <v>2</v>
      </c>
      <c r="D53" s="190" t="s">
        <v>59</v>
      </c>
      <c r="E53" s="191" t="n">
        <v>0</v>
      </c>
      <c r="F53" s="191"/>
      <c r="G53" s="175" t="s">
        <v>154</v>
      </c>
      <c r="H53" s="186" t="s">
        <v>62</v>
      </c>
      <c r="I53" s="192" t="n">
        <v>30000</v>
      </c>
      <c r="J53" s="192" t="n">
        <v>0</v>
      </c>
      <c r="K53" s="193" t="n">
        <v>30000</v>
      </c>
      <c r="L53" s="194" t="n">
        <v>30000</v>
      </c>
      <c r="M53" s="181"/>
      <c r="N53" s="188"/>
      <c r="O53" s="189"/>
    </row>
    <row r="54" customFormat="false" ht="15" hidden="true" customHeight="true" outlineLevel="0" collapsed="false">
      <c r="B54" s="162" t="n">
        <v>2025</v>
      </c>
      <c r="C54" s="163" t="n">
        <v>2</v>
      </c>
      <c r="D54" s="180" t="s">
        <v>59</v>
      </c>
      <c r="E54" s="175" t="s">
        <v>130</v>
      </c>
      <c r="F54" s="175" t="s">
        <v>152</v>
      </c>
      <c r="G54" s="175" t="s">
        <v>155</v>
      </c>
      <c r="H54" s="183" t="s">
        <v>129</v>
      </c>
      <c r="I54" s="181" t="n">
        <v>40000</v>
      </c>
      <c r="J54" s="181" t="n">
        <v>22104</v>
      </c>
      <c r="K54" s="168" t="n">
        <v>17896</v>
      </c>
      <c r="L54" s="185" t="n">
        <v>40000</v>
      </c>
      <c r="M54" s="181"/>
      <c r="N54" s="182"/>
      <c r="O54" s="166"/>
    </row>
    <row r="55" customFormat="false" ht="15" hidden="true" customHeight="true" outlineLevel="0" collapsed="false">
      <c r="B55" s="162" t="n">
        <v>2025</v>
      </c>
      <c r="C55" s="163" t="n">
        <v>2</v>
      </c>
      <c r="D55" s="180" t="s">
        <v>59</v>
      </c>
      <c r="E55" s="175" t="n">
        <v>0</v>
      </c>
      <c r="F55" s="175" t="n">
        <v>0</v>
      </c>
      <c r="G55" s="175" t="s">
        <v>154</v>
      </c>
      <c r="H55" s="183" t="s">
        <v>134</v>
      </c>
      <c r="I55" s="181" t="n">
        <v>30000</v>
      </c>
      <c r="J55" s="181" t="n">
        <v>0</v>
      </c>
      <c r="K55" s="168" t="n">
        <v>30000</v>
      </c>
      <c r="L55" s="181" t="n">
        <v>30000</v>
      </c>
      <c r="M55" s="181"/>
      <c r="O55" s="166"/>
    </row>
    <row r="56" customFormat="false" ht="15" hidden="true" customHeight="true" outlineLevel="0" collapsed="false">
      <c r="B56" s="162" t="n">
        <v>2025</v>
      </c>
      <c r="C56" s="163" t="n">
        <v>2</v>
      </c>
      <c r="D56" s="180" t="s">
        <v>59</v>
      </c>
      <c r="E56" s="175" t="s">
        <v>60</v>
      </c>
      <c r="F56" s="175" t="s">
        <v>61</v>
      </c>
      <c r="G56" s="175" t="s">
        <v>154</v>
      </c>
      <c r="H56" s="183" t="s">
        <v>133</v>
      </c>
      <c r="I56" s="181" t="n">
        <v>50000</v>
      </c>
      <c r="J56" s="181" t="n">
        <v>30000</v>
      </c>
      <c r="K56" s="168" t="n">
        <v>20000</v>
      </c>
      <c r="L56" s="185" t="n">
        <v>50000</v>
      </c>
      <c r="M56" s="181"/>
      <c r="O56" s="166"/>
    </row>
    <row r="57" customFormat="false" ht="15" hidden="true" customHeight="true" outlineLevel="0" collapsed="false">
      <c r="B57" s="162" t="n">
        <v>2025</v>
      </c>
      <c r="C57" s="163" t="n">
        <v>2</v>
      </c>
      <c r="D57" s="180" t="s">
        <v>59</v>
      </c>
      <c r="E57" s="175" t="s">
        <v>57</v>
      </c>
      <c r="F57" s="175" t="s">
        <v>153</v>
      </c>
      <c r="G57" s="175" t="s">
        <v>155</v>
      </c>
      <c r="H57" s="183" t="s">
        <v>55</v>
      </c>
      <c r="I57" s="181" t="n">
        <v>50000</v>
      </c>
      <c r="J57" s="181" t="n">
        <v>30000</v>
      </c>
      <c r="K57" s="168" t="n">
        <v>20000</v>
      </c>
      <c r="L57" s="185" t="n">
        <v>50000</v>
      </c>
      <c r="M57" s="181"/>
      <c r="O57" s="166"/>
    </row>
    <row r="58" customFormat="false" ht="16.5" hidden="true" customHeight="false" outlineLevel="0" collapsed="false">
      <c r="B58" s="162" t="n">
        <v>2025</v>
      </c>
      <c r="C58" s="163" t="n">
        <v>3</v>
      </c>
      <c r="D58" s="180" t="s">
        <v>56</v>
      </c>
      <c r="E58" s="175" t="s">
        <v>80</v>
      </c>
      <c r="F58" s="175" t="n">
        <v>96358353</v>
      </c>
      <c r="G58" s="175" t="s">
        <v>154</v>
      </c>
      <c r="H58" s="166" t="s">
        <v>79</v>
      </c>
      <c r="I58" s="181" t="n">
        <v>57500</v>
      </c>
      <c r="J58" s="181" t="n">
        <v>40000</v>
      </c>
      <c r="K58" s="168" t="n">
        <v>-7500</v>
      </c>
      <c r="L58" s="185" t="n">
        <v>32500</v>
      </c>
      <c r="M58" s="181" t="n">
        <v>-25000</v>
      </c>
      <c r="N58" s="182" t="s">
        <v>159</v>
      </c>
      <c r="O58" s="166"/>
    </row>
    <row r="59" customFormat="false" ht="16.5" hidden="true" customHeight="false" outlineLevel="0" collapsed="false">
      <c r="B59" s="162" t="n">
        <v>2025</v>
      </c>
      <c r="C59" s="163" t="n">
        <v>3</v>
      </c>
      <c r="D59" s="180" t="s">
        <v>82</v>
      </c>
      <c r="E59" s="175" t="s">
        <v>83</v>
      </c>
      <c r="F59" s="175" t="n">
        <v>95529415</v>
      </c>
      <c r="G59" s="175" t="s">
        <v>155</v>
      </c>
      <c r="H59" s="166" t="s">
        <v>81</v>
      </c>
      <c r="I59" s="181" t="n">
        <v>75000</v>
      </c>
      <c r="J59" s="181" t="n">
        <v>2670</v>
      </c>
      <c r="K59" s="168" t="n">
        <v>47330</v>
      </c>
      <c r="L59" s="185" t="n">
        <v>50000</v>
      </c>
      <c r="M59" s="181" t="n">
        <v>-25000</v>
      </c>
      <c r="N59" s="182" t="s">
        <v>159</v>
      </c>
      <c r="O59" s="166"/>
    </row>
    <row r="60" customFormat="false" ht="16.5" hidden="true" customHeight="false" outlineLevel="0" collapsed="false">
      <c r="B60" s="162" t="n">
        <v>2025</v>
      </c>
      <c r="C60" s="163" t="n">
        <v>3</v>
      </c>
      <c r="D60" s="180" t="s">
        <v>56</v>
      </c>
      <c r="E60" s="175" t="s">
        <v>84</v>
      </c>
      <c r="F60" s="175" t="n">
        <v>95787183</v>
      </c>
      <c r="G60" s="175" t="s">
        <v>155</v>
      </c>
      <c r="H60" s="166" t="s">
        <v>73</v>
      </c>
      <c r="I60" s="181" t="n">
        <v>22104</v>
      </c>
      <c r="J60" s="181" t="n">
        <v>22104</v>
      </c>
      <c r="K60" s="168" t="n">
        <v>0</v>
      </c>
      <c r="L60" s="185" t="n">
        <v>22104</v>
      </c>
      <c r="M60" s="181"/>
      <c r="N60" s="182"/>
      <c r="O60" s="166"/>
    </row>
    <row r="61" customFormat="false" ht="15" hidden="true" customHeight="true" outlineLevel="0" collapsed="false">
      <c r="B61" s="162" t="n">
        <v>2025</v>
      </c>
      <c r="C61" s="163" t="n">
        <v>3</v>
      </c>
      <c r="D61" s="180" t="s">
        <v>82</v>
      </c>
      <c r="E61" s="175" t="s">
        <v>86</v>
      </c>
      <c r="F61" s="175" t="n">
        <v>95532064</v>
      </c>
      <c r="G61" s="175" t="s">
        <v>155</v>
      </c>
      <c r="H61" s="166" t="s">
        <v>85</v>
      </c>
      <c r="I61" s="181" t="n">
        <v>48000</v>
      </c>
      <c r="J61" s="181" t="n">
        <v>1670</v>
      </c>
      <c r="K61" s="168" t="n">
        <v>21330</v>
      </c>
      <c r="L61" s="185" t="n">
        <v>23000</v>
      </c>
      <c r="M61" s="181" t="n">
        <v>-25000</v>
      </c>
      <c r="N61" s="182" t="s">
        <v>159</v>
      </c>
      <c r="O61" s="166"/>
    </row>
    <row r="62" customFormat="false" ht="15" hidden="true" customHeight="true" outlineLevel="0" collapsed="false">
      <c r="B62" s="162" t="n">
        <v>2025</v>
      </c>
      <c r="C62" s="163" t="n">
        <v>3</v>
      </c>
      <c r="D62" s="180" t="s">
        <v>82</v>
      </c>
      <c r="E62" s="175" t="s">
        <v>88</v>
      </c>
      <c r="F62" s="175" t="n">
        <v>95532066</v>
      </c>
      <c r="G62" s="175" t="s">
        <v>155</v>
      </c>
      <c r="H62" s="166" t="s">
        <v>87</v>
      </c>
      <c r="I62" s="181" t="n">
        <v>52000</v>
      </c>
      <c r="J62" s="181" t="n">
        <v>40000</v>
      </c>
      <c r="K62" s="168" t="n">
        <v>-13000</v>
      </c>
      <c r="L62" s="185" t="n">
        <v>27000</v>
      </c>
      <c r="M62" s="181" t="n">
        <v>-25000</v>
      </c>
      <c r="N62" s="182" t="s">
        <v>159</v>
      </c>
      <c r="O62" s="166"/>
    </row>
    <row r="63" customFormat="false" ht="15" hidden="true" customHeight="true" outlineLevel="0" collapsed="false">
      <c r="B63" s="162" t="n">
        <v>2025</v>
      </c>
      <c r="C63" s="163" t="n">
        <v>3</v>
      </c>
      <c r="D63" s="180" t="s">
        <v>82</v>
      </c>
      <c r="E63" s="175" t="s">
        <v>90</v>
      </c>
      <c r="F63" s="175" t="n">
        <v>0</v>
      </c>
      <c r="G63" s="175" t="s">
        <v>155</v>
      </c>
      <c r="H63" s="166" t="s">
        <v>89</v>
      </c>
      <c r="I63" s="181" t="n">
        <v>34500</v>
      </c>
      <c r="J63" s="181" t="n">
        <v>22104</v>
      </c>
      <c r="K63" s="168" t="n">
        <v>-12604</v>
      </c>
      <c r="L63" s="185" t="n">
        <v>9500</v>
      </c>
      <c r="M63" s="181" t="n">
        <v>-25000</v>
      </c>
      <c r="N63" s="182" t="s">
        <v>159</v>
      </c>
      <c r="O63" s="166"/>
    </row>
    <row r="64" customFormat="false" ht="15" hidden="true" customHeight="true" outlineLevel="0" collapsed="false">
      <c r="B64" s="162" t="n">
        <v>2025</v>
      </c>
      <c r="C64" s="163" t="n">
        <v>3</v>
      </c>
      <c r="D64" s="180" t="s">
        <v>82</v>
      </c>
      <c r="E64" s="175" t="s">
        <v>92</v>
      </c>
      <c r="F64" s="175" t="n">
        <v>0</v>
      </c>
      <c r="G64" s="175" t="s">
        <v>155</v>
      </c>
      <c r="H64" s="166" t="s">
        <v>91</v>
      </c>
      <c r="I64" s="181" t="n">
        <v>34500</v>
      </c>
      <c r="J64" s="181" t="n">
        <v>1603</v>
      </c>
      <c r="K64" s="168" t="n">
        <v>7897</v>
      </c>
      <c r="L64" s="185" t="n">
        <v>9500</v>
      </c>
      <c r="M64" s="181" t="n">
        <v>-25000</v>
      </c>
      <c r="N64" s="182" t="s">
        <v>159</v>
      </c>
      <c r="O64" s="166"/>
    </row>
    <row r="65" customFormat="false" ht="16.5" hidden="true" customHeight="false" outlineLevel="0" collapsed="false">
      <c r="B65" s="162" t="n">
        <v>2025</v>
      </c>
      <c r="C65" s="163" t="n">
        <v>3</v>
      </c>
      <c r="D65" s="180" t="s">
        <v>69</v>
      </c>
      <c r="E65" s="175" t="s">
        <v>94</v>
      </c>
      <c r="F65" s="175" t="n">
        <v>95532077</v>
      </c>
      <c r="G65" s="175" t="s">
        <v>155</v>
      </c>
      <c r="H65" s="166" t="s">
        <v>93</v>
      </c>
      <c r="I65" s="181" t="n">
        <v>46000</v>
      </c>
      <c r="J65" s="181" t="n">
        <v>2335</v>
      </c>
      <c r="K65" s="168" t="n">
        <v>18665</v>
      </c>
      <c r="L65" s="185" t="n">
        <v>21000</v>
      </c>
      <c r="M65" s="181" t="n">
        <v>-25000</v>
      </c>
      <c r="N65" s="182" t="s">
        <v>159</v>
      </c>
      <c r="O65" s="166"/>
    </row>
    <row r="66" customFormat="false" ht="15" hidden="true" customHeight="true" outlineLevel="0" collapsed="false">
      <c r="B66" s="162" t="n">
        <v>2025</v>
      </c>
      <c r="C66" s="163" t="n">
        <v>3</v>
      </c>
      <c r="D66" s="180" t="s">
        <v>34</v>
      </c>
      <c r="E66" s="175" t="s">
        <v>96</v>
      </c>
      <c r="F66" s="175" t="n">
        <v>95693810</v>
      </c>
      <c r="G66" s="175" t="s">
        <v>155</v>
      </c>
      <c r="H66" s="166" t="s">
        <v>95</v>
      </c>
      <c r="I66" s="181" t="n">
        <v>43000</v>
      </c>
      <c r="J66" s="181" t="n">
        <v>2000</v>
      </c>
      <c r="K66" s="168" t="n">
        <v>16000</v>
      </c>
      <c r="L66" s="185" t="n">
        <v>18000</v>
      </c>
      <c r="M66" s="181" t="n">
        <v>-25000</v>
      </c>
      <c r="N66" s="182" t="s">
        <v>159</v>
      </c>
      <c r="O66" s="166"/>
    </row>
    <row r="67" customFormat="false" ht="16.5" hidden="true" customHeight="false" outlineLevel="0" collapsed="false">
      <c r="B67" s="162" t="n">
        <v>2025</v>
      </c>
      <c r="C67" s="163" t="n">
        <v>3</v>
      </c>
      <c r="D67" s="180" t="s">
        <v>98</v>
      </c>
      <c r="E67" s="175" t="s">
        <v>99</v>
      </c>
      <c r="F67" s="175" t="s">
        <v>148</v>
      </c>
      <c r="G67" s="175" t="s">
        <v>155</v>
      </c>
      <c r="H67" s="166" t="s">
        <v>97</v>
      </c>
      <c r="I67" s="181" t="n">
        <v>57500</v>
      </c>
      <c r="J67" s="181" t="n">
        <v>35000</v>
      </c>
      <c r="K67" s="168" t="n">
        <v>-2500</v>
      </c>
      <c r="L67" s="185" t="n">
        <v>32500</v>
      </c>
      <c r="M67" s="181" t="n">
        <v>-25000</v>
      </c>
      <c r="N67" s="182" t="s">
        <v>159</v>
      </c>
      <c r="O67" s="166"/>
    </row>
    <row r="68" customFormat="false" ht="15" hidden="true" customHeight="true" outlineLevel="0" collapsed="false">
      <c r="B68" s="162" t="n">
        <v>2025</v>
      </c>
      <c r="C68" s="163" t="n">
        <v>3</v>
      </c>
      <c r="D68" s="180" t="s">
        <v>51</v>
      </c>
      <c r="E68" s="175" t="s">
        <v>101</v>
      </c>
      <c r="F68" s="175" t="n">
        <v>97189681</v>
      </c>
      <c r="G68" s="175" t="s">
        <v>155</v>
      </c>
      <c r="H68" s="166" t="s">
        <v>100</v>
      </c>
      <c r="I68" s="181" t="n">
        <v>40000</v>
      </c>
      <c r="J68" s="181" t="n">
        <v>38000</v>
      </c>
      <c r="K68" s="168" t="n">
        <v>-23000</v>
      </c>
      <c r="L68" s="185" t="n">
        <v>15000</v>
      </c>
      <c r="M68" s="181" t="n">
        <v>-25000</v>
      </c>
      <c r="N68" s="182" t="s">
        <v>159</v>
      </c>
      <c r="O68" s="166"/>
    </row>
    <row r="69" customFormat="false" ht="15" hidden="true" customHeight="true" outlineLevel="0" collapsed="false">
      <c r="B69" s="162" t="n">
        <v>2025</v>
      </c>
      <c r="C69" s="163" t="n">
        <v>3</v>
      </c>
      <c r="D69" s="180" t="s">
        <v>34</v>
      </c>
      <c r="E69" s="175" t="n">
        <v>0</v>
      </c>
      <c r="F69" s="175" t="n">
        <v>0</v>
      </c>
      <c r="G69" s="175" t="s">
        <v>154</v>
      </c>
      <c r="H69" s="166" t="s">
        <v>102</v>
      </c>
      <c r="I69" s="181" t="n">
        <v>40000</v>
      </c>
      <c r="J69" s="181" t="n">
        <v>0</v>
      </c>
      <c r="K69" s="168" t="n">
        <v>15000</v>
      </c>
      <c r="L69" s="185" t="n">
        <v>15000</v>
      </c>
      <c r="M69" s="181" t="n">
        <v>-25000</v>
      </c>
      <c r="N69" s="182" t="s">
        <v>159</v>
      </c>
      <c r="O69" s="166"/>
    </row>
    <row r="70" customFormat="false" ht="15" hidden="true" customHeight="true" outlineLevel="0" collapsed="false">
      <c r="B70" s="162" t="n">
        <v>2025</v>
      </c>
      <c r="C70" s="163" t="n">
        <v>3</v>
      </c>
      <c r="D70" s="180" t="s">
        <v>105</v>
      </c>
      <c r="E70" s="175" t="s">
        <v>106</v>
      </c>
      <c r="F70" s="175" t="n">
        <v>0</v>
      </c>
      <c r="G70" s="175" t="s">
        <v>155</v>
      </c>
      <c r="H70" s="183" t="s">
        <v>104</v>
      </c>
      <c r="I70" s="181" t="n">
        <v>48000</v>
      </c>
      <c r="J70" s="181" t="n">
        <v>48000</v>
      </c>
      <c r="K70" s="168" t="n">
        <v>0</v>
      </c>
      <c r="L70" s="185" t="n">
        <v>48000</v>
      </c>
      <c r="M70" s="181"/>
      <c r="N70" s="182"/>
      <c r="O70" s="166"/>
    </row>
    <row r="71" customFormat="false" ht="15" hidden="true" customHeight="true" outlineLevel="0" collapsed="false">
      <c r="B71" s="162" t="n">
        <v>2025</v>
      </c>
      <c r="C71" s="163" t="n">
        <v>3</v>
      </c>
      <c r="D71" s="180" t="s">
        <v>69</v>
      </c>
      <c r="E71" s="175" t="n">
        <v>0</v>
      </c>
      <c r="F71" s="175" t="n">
        <v>0</v>
      </c>
      <c r="G71" s="175" t="s">
        <v>155</v>
      </c>
      <c r="H71" s="184" t="s">
        <v>103</v>
      </c>
      <c r="I71" s="181" t="n">
        <v>50000</v>
      </c>
      <c r="J71" s="181" t="n">
        <v>2335</v>
      </c>
      <c r="K71" s="168" t="n">
        <v>22665</v>
      </c>
      <c r="L71" s="185" t="n">
        <v>25000</v>
      </c>
      <c r="M71" s="181" t="n">
        <v>-25000</v>
      </c>
      <c r="N71" s="182" t="s">
        <v>159</v>
      </c>
      <c r="O71" s="166"/>
    </row>
    <row r="72" customFormat="false" ht="15" hidden="true" customHeight="true" outlineLevel="0" collapsed="false">
      <c r="B72" s="162" t="n">
        <v>2025</v>
      </c>
      <c r="C72" s="163" t="n">
        <v>3</v>
      </c>
      <c r="D72" s="180" t="s">
        <v>69</v>
      </c>
      <c r="E72" s="175" t="s">
        <v>110</v>
      </c>
      <c r="F72" s="175" t="s">
        <v>149</v>
      </c>
      <c r="G72" s="175" t="s">
        <v>155</v>
      </c>
      <c r="H72" s="183" t="s">
        <v>109</v>
      </c>
      <c r="I72" s="181" t="n">
        <v>50000</v>
      </c>
      <c r="J72" s="181" t="n">
        <v>11333</v>
      </c>
      <c r="K72" s="168" t="n">
        <v>3667</v>
      </c>
      <c r="L72" s="185" t="n">
        <v>15000</v>
      </c>
      <c r="M72" s="181" t="n">
        <v>-35000</v>
      </c>
      <c r="N72" s="182" t="s">
        <v>159</v>
      </c>
      <c r="O72" s="166"/>
    </row>
    <row r="73" customFormat="false" ht="15" hidden="true" customHeight="true" outlineLevel="0" collapsed="false">
      <c r="B73" s="162" t="n">
        <v>2025</v>
      </c>
      <c r="C73" s="163" t="n">
        <v>3</v>
      </c>
      <c r="D73" s="180" t="s">
        <v>112</v>
      </c>
      <c r="E73" s="175" t="s">
        <v>113</v>
      </c>
      <c r="F73" s="175" t="n">
        <v>0</v>
      </c>
      <c r="G73" s="175" t="s">
        <v>155</v>
      </c>
      <c r="H73" s="183" t="s">
        <v>111</v>
      </c>
      <c r="I73" s="181" t="n">
        <v>30000</v>
      </c>
      <c r="J73" s="181" t="n">
        <v>25000</v>
      </c>
      <c r="K73" s="168" t="n">
        <v>-20000</v>
      </c>
      <c r="L73" s="181" t="n">
        <v>5000</v>
      </c>
      <c r="M73" s="181" t="n">
        <v>-25000</v>
      </c>
      <c r="N73" s="182" t="s">
        <v>159</v>
      </c>
      <c r="O73" s="166"/>
    </row>
    <row r="74" customFormat="false" ht="15" hidden="true" customHeight="true" outlineLevel="0" collapsed="false">
      <c r="B74" s="162" t="n">
        <v>2025</v>
      </c>
      <c r="C74" s="163" t="n">
        <v>3</v>
      </c>
      <c r="D74" s="180" t="s">
        <v>43</v>
      </c>
      <c r="E74" s="175" t="n">
        <v>0</v>
      </c>
      <c r="F74" s="175" t="n">
        <v>0</v>
      </c>
      <c r="G74" s="175" t="s">
        <v>154</v>
      </c>
      <c r="H74" s="183" t="s">
        <v>115</v>
      </c>
      <c r="I74" s="181" t="n">
        <v>30000</v>
      </c>
      <c r="J74" s="181" t="n">
        <v>0</v>
      </c>
      <c r="K74" s="168" t="n">
        <v>5000</v>
      </c>
      <c r="L74" s="185" t="n">
        <v>5000</v>
      </c>
      <c r="M74" s="181" t="n">
        <v>-25000</v>
      </c>
      <c r="N74" s="182" t="s">
        <v>159</v>
      </c>
      <c r="O74" s="166"/>
    </row>
    <row r="75" customFormat="false" ht="15" hidden="true" customHeight="true" outlineLevel="0" collapsed="false">
      <c r="B75" s="162" t="n">
        <v>2025</v>
      </c>
      <c r="C75" s="163" t="n">
        <v>3</v>
      </c>
      <c r="D75" s="180" t="s">
        <v>34</v>
      </c>
      <c r="E75" s="175" t="n">
        <v>0</v>
      </c>
      <c r="F75" s="175" t="n">
        <v>0</v>
      </c>
      <c r="G75" s="175" t="s">
        <v>155</v>
      </c>
      <c r="H75" s="184" t="s">
        <v>48</v>
      </c>
      <c r="I75" s="181" t="n">
        <v>11920</v>
      </c>
      <c r="J75" s="181" t="n">
        <v>0</v>
      </c>
      <c r="K75" s="168" t="n">
        <v>11920</v>
      </c>
      <c r="L75" s="185" t="n">
        <v>11920</v>
      </c>
      <c r="M75" s="181"/>
      <c r="N75" s="182"/>
      <c r="O75" s="166"/>
    </row>
    <row r="76" customFormat="false" ht="15" hidden="true" customHeight="true" outlineLevel="0" collapsed="false">
      <c r="B76" s="162" t="n">
        <v>2025</v>
      </c>
      <c r="C76" s="163" t="n">
        <v>3</v>
      </c>
      <c r="D76" s="180" t="s">
        <v>34</v>
      </c>
      <c r="E76" s="175" t="n">
        <v>0</v>
      </c>
      <c r="F76" s="175" t="n">
        <v>0</v>
      </c>
      <c r="G76" s="175" t="s">
        <v>155</v>
      </c>
      <c r="H76" s="184" t="s">
        <v>116</v>
      </c>
      <c r="I76" s="181" t="n">
        <v>43000</v>
      </c>
      <c r="J76" s="181" t="n">
        <v>1603</v>
      </c>
      <c r="K76" s="168" t="n">
        <v>16397</v>
      </c>
      <c r="L76" s="185" t="n">
        <v>18000</v>
      </c>
      <c r="M76" s="181" t="n">
        <v>-25000</v>
      </c>
      <c r="N76" s="182" t="s">
        <v>159</v>
      </c>
      <c r="O76" s="166"/>
    </row>
    <row r="77" customFormat="false" ht="15" hidden="true" customHeight="true" outlineLevel="0" collapsed="false">
      <c r="B77" s="162" t="n">
        <v>2025</v>
      </c>
      <c r="C77" s="163" t="n">
        <v>3</v>
      </c>
      <c r="D77" s="180" t="n">
        <v>0</v>
      </c>
      <c r="E77" s="175" t="n">
        <v>0</v>
      </c>
      <c r="F77" s="175" t="n">
        <v>0</v>
      </c>
      <c r="G77" s="175" t="s">
        <v>154</v>
      </c>
      <c r="H77" s="184" t="s">
        <v>150</v>
      </c>
      <c r="I77" s="181" t="n">
        <v>15000</v>
      </c>
      <c r="J77" s="181" t="n">
        <v>0</v>
      </c>
      <c r="K77" s="168" t="n">
        <v>15000</v>
      </c>
      <c r="L77" s="181" t="n">
        <v>15000</v>
      </c>
      <c r="M77" s="181"/>
      <c r="N77" s="182"/>
      <c r="O77" s="166"/>
    </row>
    <row r="78" customFormat="false" ht="15" hidden="true" customHeight="true" outlineLevel="0" collapsed="false">
      <c r="B78" s="162" t="n">
        <v>2025</v>
      </c>
      <c r="C78" s="163" t="n">
        <v>3</v>
      </c>
      <c r="D78" s="180" t="s">
        <v>69</v>
      </c>
      <c r="E78" s="175" t="s">
        <v>118</v>
      </c>
      <c r="F78" s="175" t="n">
        <v>0</v>
      </c>
      <c r="G78" s="175" t="s">
        <v>155</v>
      </c>
      <c r="H78" s="184" t="s">
        <v>117</v>
      </c>
      <c r="I78" s="181" t="n">
        <v>50000</v>
      </c>
      <c r="J78" s="181" t="n">
        <v>50000</v>
      </c>
      <c r="K78" s="168" t="n">
        <v>-36667</v>
      </c>
      <c r="L78" s="185" t="n">
        <v>13333</v>
      </c>
      <c r="M78" s="181" t="n">
        <v>-36667</v>
      </c>
      <c r="N78" s="182" t="s">
        <v>159</v>
      </c>
      <c r="O78" s="166"/>
    </row>
    <row r="79" customFormat="false" ht="15" hidden="true" customHeight="true" outlineLevel="0" collapsed="false">
      <c r="B79" s="162" t="n">
        <v>2025</v>
      </c>
      <c r="C79" s="163" t="n">
        <v>3</v>
      </c>
      <c r="D79" s="180" t="s">
        <v>69</v>
      </c>
      <c r="E79" s="175" t="s">
        <v>108</v>
      </c>
      <c r="F79" s="175" t="n">
        <v>0</v>
      </c>
      <c r="G79" s="175" t="s">
        <v>155</v>
      </c>
      <c r="H79" s="186" t="s">
        <v>107</v>
      </c>
      <c r="I79" s="181" t="n">
        <v>50000</v>
      </c>
      <c r="J79" s="181" t="n">
        <v>1603</v>
      </c>
      <c r="K79" s="168" t="n">
        <v>23397</v>
      </c>
      <c r="L79" s="185" t="n">
        <v>25000</v>
      </c>
      <c r="M79" s="181" t="n">
        <v>-25000</v>
      </c>
      <c r="N79" s="182" t="s">
        <v>159</v>
      </c>
      <c r="O79" s="189"/>
    </row>
    <row r="80" customFormat="false" ht="15" hidden="true" customHeight="true" outlineLevel="0" collapsed="false">
      <c r="B80" s="162" t="n">
        <v>2025</v>
      </c>
      <c r="C80" s="163" t="n">
        <v>3</v>
      </c>
      <c r="D80" s="180" t="s">
        <v>59</v>
      </c>
      <c r="E80" s="175" t="s">
        <v>132</v>
      </c>
      <c r="F80" s="175" t="s">
        <v>151</v>
      </c>
      <c r="G80" s="175" t="s">
        <v>155</v>
      </c>
      <c r="H80" s="184" t="s">
        <v>131</v>
      </c>
      <c r="I80" s="181" t="n">
        <v>30000</v>
      </c>
      <c r="J80" s="181" t="n">
        <v>22104</v>
      </c>
      <c r="K80" s="168" t="n">
        <v>-17104</v>
      </c>
      <c r="L80" s="185" t="n">
        <v>5000</v>
      </c>
      <c r="M80" s="181" t="n">
        <v>-25000</v>
      </c>
      <c r="N80" s="182" t="s">
        <v>159</v>
      </c>
      <c r="O80" s="166"/>
    </row>
    <row r="81" customFormat="false" ht="15" hidden="true" customHeight="true" outlineLevel="0" collapsed="false">
      <c r="B81" s="162" t="n">
        <v>2025</v>
      </c>
      <c r="C81" s="163" t="n">
        <v>3</v>
      </c>
      <c r="D81" s="180" t="s">
        <v>59</v>
      </c>
      <c r="E81" s="175" t="n">
        <v>0</v>
      </c>
      <c r="F81" s="175" t="n">
        <v>0</v>
      </c>
      <c r="G81" s="175" t="s">
        <v>154</v>
      </c>
      <c r="H81" s="186" t="s">
        <v>127</v>
      </c>
      <c r="I81" s="181" t="n">
        <v>30000</v>
      </c>
      <c r="J81" s="181" t="n">
        <v>0</v>
      </c>
      <c r="K81" s="168" t="n">
        <v>30000</v>
      </c>
      <c r="L81" s="185" t="n">
        <v>30000</v>
      </c>
      <c r="M81" s="181"/>
      <c r="N81" s="182"/>
      <c r="O81" s="166"/>
    </row>
    <row r="82" customFormat="false" ht="15" hidden="true" customHeight="true" outlineLevel="0" collapsed="false">
      <c r="B82" s="162" t="n">
        <v>2025</v>
      </c>
      <c r="C82" s="163" t="n">
        <v>3</v>
      </c>
      <c r="D82" s="180" t="s">
        <v>59</v>
      </c>
      <c r="E82" s="175" t="n">
        <v>0</v>
      </c>
      <c r="F82" s="175" t="n">
        <v>0</v>
      </c>
      <c r="G82" s="175" t="s">
        <v>154</v>
      </c>
      <c r="H82" s="186" t="s">
        <v>128</v>
      </c>
      <c r="I82" s="181" t="n">
        <v>44000</v>
      </c>
      <c r="J82" s="181" t="n">
        <v>0</v>
      </c>
      <c r="K82" s="168" t="n">
        <v>44000</v>
      </c>
      <c r="L82" s="185" t="n">
        <v>0</v>
      </c>
      <c r="M82" s="181" t="n">
        <v>-44000</v>
      </c>
      <c r="N82" s="182" t="s">
        <v>160</v>
      </c>
      <c r="O82" s="166"/>
    </row>
    <row r="83" customFormat="false" ht="15" hidden="true" customHeight="true" outlineLevel="0" collapsed="false">
      <c r="B83" s="162" t="n">
        <v>2025</v>
      </c>
      <c r="C83" s="163" t="n">
        <v>3</v>
      </c>
      <c r="D83" s="190" t="s">
        <v>59</v>
      </c>
      <c r="E83" s="191" t="n">
        <v>0</v>
      </c>
      <c r="F83" s="191"/>
      <c r="G83" s="175" t="s">
        <v>154</v>
      </c>
      <c r="H83" s="186" t="s">
        <v>62</v>
      </c>
      <c r="I83" s="192" t="n">
        <v>30000</v>
      </c>
      <c r="J83" s="192" t="n">
        <v>0</v>
      </c>
      <c r="K83" s="193" t="n">
        <v>5000</v>
      </c>
      <c r="L83" s="194" t="n">
        <v>5000</v>
      </c>
      <c r="M83" s="181" t="n">
        <v>-25000</v>
      </c>
      <c r="N83" s="182" t="s">
        <v>159</v>
      </c>
      <c r="O83" s="166"/>
    </row>
    <row r="84" customFormat="false" ht="15" hidden="true" customHeight="true" outlineLevel="0" collapsed="false">
      <c r="B84" s="162" t="n">
        <v>2025</v>
      </c>
      <c r="C84" s="163" t="n">
        <v>3</v>
      </c>
      <c r="D84" s="180" t="s">
        <v>59</v>
      </c>
      <c r="E84" s="175" t="s">
        <v>130</v>
      </c>
      <c r="F84" s="175" t="s">
        <v>152</v>
      </c>
      <c r="G84" s="175" t="s">
        <v>155</v>
      </c>
      <c r="H84" s="183" t="s">
        <v>129</v>
      </c>
      <c r="I84" s="181" t="n">
        <v>40000</v>
      </c>
      <c r="J84" s="181" t="n">
        <v>22104</v>
      </c>
      <c r="K84" s="168" t="n">
        <v>-7104</v>
      </c>
      <c r="L84" s="185" t="n">
        <v>15000</v>
      </c>
      <c r="M84" s="181" t="n">
        <v>-25000</v>
      </c>
      <c r="N84" s="182" t="s">
        <v>159</v>
      </c>
      <c r="O84" s="166"/>
    </row>
    <row r="85" customFormat="false" ht="15" hidden="true" customHeight="true" outlineLevel="0" collapsed="false">
      <c r="B85" s="162" t="n">
        <v>2025</v>
      </c>
      <c r="C85" s="163" t="n">
        <v>3</v>
      </c>
      <c r="D85" s="180" t="s">
        <v>59</v>
      </c>
      <c r="E85" s="175" t="n">
        <v>0</v>
      </c>
      <c r="F85" s="175" t="n">
        <v>0</v>
      </c>
      <c r="G85" s="175" t="s">
        <v>154</v>
      </c>
      <c r="H85" s="183" t="s">
        <v>134</v>
      </c>
      <c r="I85" s="181" t="n">
        <v>30000</v>
      </c>
      <c r="J85" s="181" t="n">
        <v>0</v>
      </c>
      <c r="K85" s="168" t="n">
        <v>30000</v>
      </c>
      <c r="L85" s="181" t="n">
        <v>30000</v>
      </c>
      <c r="M85" s="181"/>
      <c r="N85" s="182"/>
      <c r="O85" s="166"/>
    </row>
    <row r="86" customFormat="false" ht="15" hidden="true" customHeight="true" outlineLevel="0" collapsed="false">
      <c r="B86" s="162" t="n">
        <v>2025</v>
      </c>
      <c r="C86" s="163" t="n">
        <v>3</v>
      </c>
      <c r="D86" s="180" t="s">
        <v>59</v>
      </c>
      <c r="E86" s="175" t="s">
        <v>60</v>
      </c>
      <c r="F86" s="175" t="s">
        <v>61</v>
      </c>
      <c r="G86" s="175" t="s">
        <v>154</v>
      </c>
      <c r="H86" s="183" t="s">
        <v>133</v>
      </c>
      <c r="I86" s="181" t="n">
        <v>50000</v>
      </c>
      <c r="J86" s="181" t="n">
        <v>30000</v>
      </c>
      <c r="K86" s="168" t="n">
        <v>-30000</v>
      </c>
      <c r="L86" s="185" t="n">
        <v>0</v>
      </c>
      <c r="M86" s="181" t="n">
        <v>-50000</v>
      </c>
      <c r="N86" s="169" t="s">
        <v>160</v>
      </c>
      <c r="O86" s="166"/>
    </row>
    <row r="87" customFormat="false" ht="15" hidden="true" customHeight="true" outlineLevel="0" collapsed="false">
      <c r="B87" s="162" t="n">
        <v>2025</v>
      </c>
      <c r="C87" s="163" t="n">
        <v>3</v>
      </c>
      <c r="D87" s="180" t="s">
        <v>59</v>
      </c>
      <c r="E87" s="175" t="s">
        <v>57</v>
      </c>
      <c r="F87" s="175" t="s">
        <v>153</v>
      </c>
      <c r="G87" s="175" t="s">
        <v>155</v>
      </c>
      <c r="H87" s="183" t="s">
        <v>55</v>
      </c>
      <c r="I87" s="181" t="n">
        <v>50000</v>
      </c>
      <c r="J87" s="181" t="n">
        <v>30000</v>
      </c>
      <c r="K87" s="168" t="n">
        <v>-30000</v>
      </c>
      <c r="L87" s="185" t="n">
        <v>0</v>
      </c>
      <c r="M87" s="181" t="n">
        <v>-50000</v>
      </c>
      <c r="N87" s="169" t="s">
        <v>160</v>
      </c>
      <c r="O87" s="166"/>
    </row>
    <row r="88" customFormat="false" ht="16.5" hidden="true" customHeight="false" outlineLevel="0" collapsed="false">
      <c r="B88" s="162" t="n">
        <v>2025</v>
      </c>
      <c r="C88" s="163" t="n">
        <v>4</v>
      </c>
      <c r="D88" s="180" t="s">
        <v>56</v>
      </c>
      <c r="E88" s="175" t="s">
        <v>80</v>
      </c>
      <c r="F88" s="175" t="n">
        <v>96358353</v>
      </c>
      <c r="G88" s="175"/>
      <c r="H88" s="166" t="s">
        <v>79</v>
      </c>
      <c r="I88" s="181" t="n">
        <v>57500</v>
      </c>
      <c r="J88" s="181" t="n">
        <v>40000</v>
      </c>
      <c r="K88" s="168" t="n">
        <v>17500</v>
      </c>
      <c r="L88" s="185" t="n">
        <v>57500</v>
      </c>
      <c r="M88" s="181"/>
      <c r="N88" s="182" t="s">
        <v>161</v>
      </c>
      <c r="O88" s="166"/>
    </row>
    <row r="89" customFormat="false" ht="16.5" hidden="true" customHeight="false" outlineLevel="0" collapsed="false">
      <c r="B89" s="162" t="n">
        <v>2025</v>
      </c>
      <c r="C89" s="163" t="n">
        <v>4</v>
      </c>
      <c r="D89" s="180" t="s">
        <v>82</v>
      </c>
      <c r="E89" s="175" t="s">
        <v>83</v>
      </c>
      <c r="F89" s="175" t="n">
        <v>95529415</v>
      </c>
      <c r="G89" s="175"/>
      <c r="H89" s="166" t="s">
        <v>81</v>
      </c>
      <c r="I89" s="181" t="n">
        <v>75000</v>
      </c>
      <c r="J89" s="181" t="n">
        <v>2670</v>
      </c>
      <c r="K89" s="168" t="n">
        <v>72330</v>
      </c>
      <c r="L89" s="185" t="n">
        <v>75000</v>
      </c>
      <c r="M89" s="181"/>
      <c r="N89" s="182"/>
      <c r="O89" s="166"/>
    </row>
    <row r="90" customFormat="false" ht="16.5" hidden="true" customHeight="false" outlineLevel="0" collapsed="false">
      <c r="B90" s="162" t="n">
        <v>2025</v>
      </c>
      <c r="C90" s="163" t="n">
        <v>4</v>
      </c>
      <c r="D90" s="180" t="s">
        <v>56</v>
      </c>
      <c r="E90" s="175" t="s">
        <v>84</v>
      </c>
      <c r="F90" s="175" t="n">
        <v>95787183</v>
      </c>
      <c r="G90" s="175"/>
      <c r="H90" s="166" t="s">
        <v>73</v>
      </c>
      <c r="I90" s="181" t="n">
        <v>22104</v>
      </c>
      <c r="J90" s="181" t="n">
        <v>22104</v>
      </c>
      <c r="K90" s="168" t="n">
        <v>0</v>
      </c>
      <c r="L90" s="185" t="n">
        <v>22104</v>
      </c>
      <c r="M90" s="181"/>
      <c r="N90" s="182"/>
      <c r="O90" s="166"/>
    </row>
    <row r="91" customFormat="false" ht="15" hidden="true" customHeight="true" outlineLevel="0" collapsed="false">
      <c r="B91" s="162" t="n">
        <v>2025</v>
      </c>
      <c r="C91" s="163" t="n">
        <v>4</v>
      </c>
      <c r="D91" s="180" t="s">
        <v>82</v>
      </c>
      <c r="E91" s="175" t="s">
        <v>86</v>
      </c>
      <c r="F91" s="175" t="n">
        <v>95532064</v>
      </c>
      <c r="G91" s="175"/>
      <c r="H91" s="166" t="s">
        <v>85</v>
      </c>
      <c r="I91" s="181" t="n">
        <v>48000</v>
      </c>
      <c r="J91" s="181" t="n">
        <v>1670</v>
      </c>
      <c r="K91" s="168" t="n">
        <v>46330</v>
      </c>
      <c r="L91" s="185" t="n">
        <v>48000</v>
      </c>
      <c r="M91" s="181"/>
      <c r="N91" s="182"/>
      <c r="O91" s="166"/>
    </row>
    <row r="92" customFormat="false" ht="15" hidden="true" customHeight="true" outlineLevel="0" collapsed="false">
      <c r="B92" s="162" t="n">
        <v>2025</v>
      </c>
      <c r="C92" s="163" t="n">
        <v>4</v>
      </c>
      <c r="D92" s="180" t="s">
        <v>82</v>
      </c>
      <c r="E92" s="175" t="s">
        <v>88</v>
      </c>
      <c r="F92" s="175" t="n">
        <v>95532066</v>
      </c>
      <c r="G92" s="175"/>
      <c r="H92" s="166" t="s">
        <v>87</v>
      </c>
      <c r="I92" s="181" t="n">
        <v>52000</v>
      </c>
      <c r="J92" s="181" t="n">
        <v>40000</v>
      </c>
      <c r="K92" s="168" t="n">
        <v>12000</v>
      </c>
      <c r="L92" s="185" t="n">
        <v>52000</v>
      </c>
      <c r="M92" s="181"/>
      <c r="N92" s="182"/>
      <c r="O92" s="166"/>
    </row>
    <row r="93" customFormat="false" ht="15" hidden="true" customHeight="true" outlineLevel="0" collapsed="false">
      <c r="B93" s="162" t="n">
        <v>2025</v>
      </c>
      <c r="C93" s="163" t="n">
        <v>4</v>
      </c>
      <c r="D93" s="180" t="s">
        <v>82</v>
      </c>
      <c r="E93" s="175" t="s">
        <v>90</v>
      </c>
      <c r="F93" s="175" t="n">
        <v>0</v>
      </c>
      <c r="G93" s="175"/>
      <c r="H93" s="166" t="s">
        <v>89</v>
      </c>
      <c r="I93" s="181" t="n">
        <v>34500</v>
      </c>
      <c r="J93" s="181" t="n">
        <v>22104</v>
      </c>
      <c r="K93" s="168" t="n">
        <v>12396</v>
      </c>
      <c r="L93" s="185" t="n">
        <v>34500</v>
      </c>
      <c r="M93" s="181"/>
      <c r="N93" s="182"/>
      <c r="O93" s="166"/>
    </row>
    <row r="94" customFormat="false" ht="15" hidden="true" customHeight="true" outlineLevel="0" collapsed="false">
      <c r="B94" s="162" t="n">
        <v>2025</v>
      </c>
      <c r="C94" s="163" t="n">
        <v>4</v>
      </c>
      <c r="D94" s="180" t="s">
        <v>82</v>
      </c>
      <c r="E94" s="175" t="s">
        <v>92</v>
      </c>
      <c r="F94" s="175" t="n">
        <v>0</v>
      </c>
      <c r="G94" s="175"/>
      <c r="H94" s="166" t="s">
        <v>91</v>
      </c>
      <c r="I94" s="181" t="n">
        <v>34500</v>
      </c>
      <c r="J94" s="181" t="n">
        <v>1603</v>
      </c>
      <c r="K94" s="168" t="n">
        <v>32897</v>
      </c>
      <c r="L94" s="185" t="n">
        <v>34500</v>
      </c>
      <c r="M94" s="181"/>
      <c r="N94" s="182"/>
      <c r="O94" s="166"/>
    </row>
    <row r="95" customFormat="false" ht="16.5" hidden="true" customHeight="false" outlineLevel="0" collapsed="false">
      <c r="B95" s="162" t="n">
        <v>2025</v>
      </c>
      <c r="C95" s="163" t="n">
        <v>4</v>
      </c>
      <c r="D95" s="180" t="s">
        <v>69</v>
      </c>
      <c r="E95" s="175" t="s">
        <v>94</v>
      </c>
      <c r="F95" s="175" t="n">
        <v>95532077</v>
      </c>
      <c r="G95" s="175"/>
      <c r="H95" s="166" t="s">
        <v>93</v>
      </c>
      <c r="I95" s="181" t="n">
        <v>46000</v>
      </c>
      <c r="J95" s="181" t="n">
        <v>2335</v>
      </c>
      <c r="K95" s="168" t="n">
        <v>43665</v>
      </c>
      <c r="L95" s="185" t="n">
        <v>46000</v>
      </c>
      <c r="M95" s="181"/>
      <c r="N95" s="182"/>
      <c r="O95" s="166"/>
    </row>
    <row r="96" customFormat="false" ht="15" hidden="true" customHeight="true" outlineLevel="0" collapsed="false">
      <c r="B96" s="162" t="n">
        <v>2025</v>
      </c>
      <c r="C96" s="163" t="n">
        <v>4</v>
      </c>
      <c r="D96" s="180" t="s">
        <v>34</v>
      </c>
      <c r="E96" s="175" t="s">
        <v>96</v>
      </c>
      <c r="F96" s="175" t="n">
        <v>95693810</v>
      </c>
      <c r="G96" s="175"/>
      <c r="H96" s="166" t="s">
        <v>95</v>
      </c>
      <c r="I96" s="181" t="n">
        <v>43000</v>
      </c>
      <c r="J96" s="181" t="n">
        <v>2000</v>
      </c>
      <c r="K96" s="168" t="n">
        <v>41000</v>
      </c>
      <c r="L96" s="185" t="n">
        <v>43000</v>
      </c>
      <c r="M96" s="181"/>
      <c r="N96" s="182"/>
      <c r="O96" s="166"/>
    </row>
    <row r="97" customFormat="false" ht="16.5" hidden="true" customHeight="false" outlineLevel="0" collapsed="false">
      <c r="B97" s="162" t="n">
        <v>2025</v>
      </c>
      <c r="C97" s="163" t="n">
        <v>4</v>
      </c>
      <c r="D97" s="180" t="s">
        <v>98</v>
      </c>
      <c r="E97" s="175" t="s">
        <v>99</v>
      </c>
      <c r="F97" s="175" t="s">
        <v>148</v>
      </c>
      <c r="G97" s="175"/>
      <c r="H97" s="166" t="s">
        <v>97</v>
      </c>
      <c r="I97" s="181" t="n">
        <v>57500</v>
      </c>
      <c r="J97" s="181" t="n">
        <v>35000</v>
      </c>
      <c r="K97" s="168" t="n">
        <v>22500</v>
      </c>
      <c r="L97" s="185" t="n">
        <v>57500</v>
      </c>
      <c r="M97" s="181"/>
      <c r="N97" s="182"/>
      <c r="O97" s="166"/>
    </row>
    <row r="98" customFormat="false" ht="15" hidden="true" customHeight="true" outlineLevel="0" collapsed="false">
      <c r="B98" s="162" t="n">
        <v>2025</v>
      </c>
      <c r="C98" s="163" t="n">
        <v>4</v>
      </c>
      <c r="D98" s="180" t="s">
        <v>51</v>
      </c>
      <c r="E98" s="175" t="s">
        <v>101</v>
      </c>
      <c r="F98" s="175" t="n">
        <v>97189681</v>
      </c>
      <c r="G98" s="175"/>
      <c r="H98" s="166" t="s">
        <v>100</v>
      </c>
      <c r="I98" s="181" t="n">
        <v>40000</v>
      </c>
      <c r="J98" s="181" t="n">
        <v>35000</v>
      </c>
      <c r="K98" s="168" t="n">
        <v>0</v>
      </c>
      <c r="L98" s="185" t="n">
        <v>35000</v>
      </c>
      <c r="M98" s="181" t="n">
        <v>-5000</v>
      </c>
      <c r="N98" s="182" t="s">
        <v>162</v>
      </c>
      <c r="O98" s="166"/>
    </row>
    <row r="99" customFormat="false" ht="15" hidden="true" customHeight="true" outlineLevel="0" collapsed="false">
      <c r="B99" s="162" t="n">
        <v>2025</v>
      </c>
      <c r="C99" s="163" t="n">
        <v>4</v>
      </c>
      <c r="D99" s="180" t="s">
        <v>34</v>
      </c>
      <c r="E99" s="175" t="n">
        <v>0</v>
      </c>
      <c r="F99" s="175" t="n">
        <v>0</v>
      </c>
      <c r="G99" s="175"/>
      <c r="H99" s="166" t="s">
        <v>102</v>
      </c>
      <c r="I99" s="181" t="n">
        <v>40000</v>
      </c>
      <c r="J99" s="181" t="n">
        <v>0</v>
      </c>
      <c r="K99" s="168" t="n">
        <v>40000</v>
      </c>
      <c r="L99" s="185" t="n">
        <v>40000</v>
      </c>
      <c r="M99" s="181"/>
      <c r="N99" s="182"/>
      <c r="O99" s="166"/>
    </row>
    <row r="100" customFormat="false" ht="15" hidden="true" customHeight="true" outlineLevel="0" collapsed="false">
      <c r="B100" s="162" t="n">
        <v>2025</v>
      </c>
      <c r="C100" s="163" t="n">
        <v>4</v>
      </c>
      <c r="D100" s="180" t="s">
        <v>69</v>
      </c>
      <c r="E100" s="175" t="n">
        <v>0</v>
      </c>
      <c r="F100" s="175" t="n">
        <v>0</v>
      </c>
      <c r="G100" s="175"/>
      <c r="H100" s="184" t="s">
        <v>103</v>
      </c>
      <c r="I100" s="181" t="n">
        <v>50000</v>
      </c>
      <c r="J100" s="181" t="n">
        <v>2335</v>
      </c>
      <c r="K100" s="168" t="n">
        <v>47665</v>
      </c>
      <c r="L100" s="185" t="n">
        <v>50000</v>
      </c>
      <c r="M100" s="181"/>
      <c r="N100" s="182"/>
      <c r="O100" s="166"/>
    </row>
    <row r="101" customFormat="false" ht="15" hidden="true" customHeight="true" outlineLevel="0" collapsed="false">
      <c r="B101" s="162" t="n">
        <v>2025</v>
      </c>
      <c r="C101" s="163" t="n">
        <v>4</v>
      </c>
      <c r="D101" s="180" t="s">
        <v>69</v>
      </c>
      <c r="E101" s="175" t="s">
        <v>110</v>
      </c>
      <c r="F101" s="175" t="s">
        <v>149</v>
      </c>
      <c r="G101" s="175"/>
      <c r="H101" s="183" t="s">
        <v>109</v>
      </c>
      <c r="I101" s="181" t="n">
        <v>50000</v>
      </c>
      <c r="J101" s="181" t="n">
        <v>11333</v>
      </c>
      <c r="K101" s="168" t="n">
        <v>2000</v>
      </c>
      <c r="L101" s="185" t="n">
        <v>13333</v>
      </c>
      <c r="M101" s="181" t="n">
        <v>-36667</v>
      </c>
      <c r="N101" s="182" t="s">
        <v>163</v>
      </c>
      <c r="O101" s="166"/>
    </row>
    <row r="102" customFormat="false" ht="15" hidden="true" customHeight="true" outlineLevel="0" collapsed="false">
      <c r="B102" s="162" t="n">
        <v>2025</v>
      </c>
      <c r="C102" s="163" t="n">
        <v>4</v>
      </c>
      <c r="D102" s="180" t="s">
        <v>112</v>
      </c>
      <c r="E102" s="175" t="s">
        <v>113</v>
      </c>
      <c r="F102" s="175" t="n">
        <v>0</v>
      </c>
      <c r="G102" s="175"/>
      <c r="H102" s="183" t="s">
        <v>111</v>
      </c>
      <c r="I102" s="181" t="n">
        <v>30000</v>
      </c>
      <c r="J102" s="181" t="n">
        <v>25000</v>
      </c>
      <c r="K102" s="168" t="n">
        <v>5000</v>
      </c>
      <c r="L102" s="181" t="n">
        <v>30000</v>
      </c>
      <c r="M102" s="181"/>
      <c r="N102" s="182"/>
      <c r="O102" s="166"/>
    </row>
    <row r="103" customFormat="false" ht="15" hidden="true" customHeight="true" outlineLevel="0" collapsed="false">
      <c r="B103" s="162" t="n">
        <v>2025</v>
      </c>
      <c r="C103" s="163" t="n">
        <v>4</v>
      </c>
      <c r="D103" s="180" t="s">
        <v>43</v>
      </c>
      <c r="E103" s="175" t="n">
        <v>0</v>
      </c>
      <c r="F103" s="175" t="n">
        <v>0</v>
      </c>
      <c r="G103" s="175"/>
      <c r="H103" s="183" t="s">
        <v>115</v>
      </c>
      <c r="I103" s="181" t="n">
        <v>30000</v>
      </c>
      <c r="J103" s="181" t="n">
        <v>0</v>
      </c>
      <c r="K103" s="168" t="n">
        <v>30000</v>
      </c>
      <c r="L103" s="185" t="n">
        <v>30000</v>
      </c>
      <c r="M103" s="181"/>
      <c r="N103" s="182"/>
      <c r="O103" s="166"/>
    </row>
    <row r="104" customFormat="false" ht="15" hidden="true" customHeight="true" outlineLevel="0" collapsed="false">
      <c r="B104" s="162" t="n">
        <v>2025</v>
      </c>
      <c r="C104" s="163" t="n">
        <v>4</v>
      </c>
      <c r="D104" s="180" t="s">
        <v>34</v>
      </c>
      <c r="E104" s="175" t="n">
        <v>0</v>
      </c>
      <c r="F104" s="175" t="n">
        <v>0</v>
      </c>
      <c r="G104" s="175"/>
      <c r="H104" s="184" t="s">
        <v>48</v>
      </c>
      <c r="I104" s="181" t="n">
        <v>11920</v>
      </c>
      <c r="J104" s="181" t="n">
        <v>0</v>
      </c>
      <c r="K104" s="168" t="n">
        <v>11920</v>
      </c>
      <c r="L104" s="185" t="n">
        <v>11920</v>
      </c>
      <c r="M104" s="181"/>
      <c r="N104" s="182" t="s">
        <v>164</v>
      </c>
      <c r="O104" s="166"/>
    </row>
    <row r="105" customFormat="false" ht="15" hidden="true" customHeight="true" outlineLevel="0" collapsed="false">
      <c r="B105" s="162" t="n">
        <v>2025</v>
      </c>
      <c r="C105" s="163" t="n">
        <v>4</v>
      </c>
      <c r="D105" s="180" t="s">
        <v>34</v>
      </c>
      <c r="E105" s="175" t="n">
        <v>0</v>
      </c>
      <c r="F105" s="175" t="n">
        <v>0</v>
      </c>
      <c r="G105" s="175"/>
      <c r="H105" s="184" t="s">
        <v>116</v>
      </c>
      <c r="I105" s="181" t="n">
        <v>43000</v>
      </c>
      <c r="J105" s="181" t="n">
        <v>1603</v>
      </c>
      <c r="K105" s="168" t="n">
        <v>41397</v>
      </c>
      <c r="L105" s="185" t="n">
        <v>43000</v>
      </c>
      <c r="M105" s="181"/>
      <c r="N105" s="182"/>
      <c r="O105" s="166"/>
    </row>
    <row r="106" customFormat="false" ht="15" hidden="true" customHeight="true" outlineLevel="0" collapsed="false">
      <c r="B106" s="162" t="n">
        <v>2025</v>
      </c>
      <c r="C106" s="163" t="n">
        <v>4</v>
      </c>
      <c r="D106" s="180" t="n">
        <v>0</v>
      </c>
      <c r="E106" s="175" t="n">
        <v>0</v>
      </c>
      <c r="F106" s="175" t="n">
        <v>0</v>
      </c>
      <c r="G106" s="175"/>
      <c r="H106" s="184" t="s">
        <v>150</v>
      </c>
      <c r="I106" s="181" t="n">
        <v>15000</v>
      </c>
      <c r="J106" s="181" t="n">
        <v>0</v>
      </c>
      <c r="K106" s="168" t="n">
        <v>15000</v>
      </c>
      <c r="L106" s="181" t="n">
        <v>15000</v>
      </c>
      <c r="M106" s="181"/>
      <c r="N106" s="182"/>
      <c r="O106" s="166"/>
    </row>
    <row r="107" customFormat="false" ht="15" hidden="true" customHeight="true" outlineLevel="0" collapsed="false">
      <c r="B107" s="162" t="n">
        <v>2025</v>
      </c>
      <c r="C107" s="163" t="n">
        <v>4</v>
      </c>
      <c r="D107" s="180" t="s">
        <v>69</v>
      </c>
      <c r="E107" s="175" t="s">
        <v>108</v>
      </c>
      <c r="F107" s="175" t="n">
        <v>0</v>
      </c>
      <c r="G107" s="175"/>
      <c r="H107" s="186" t="s">
        <v>107</v>
      </c>
      <c r="I107" s="181" t="n">
        <v>50000</v>
      </c>
      <c r="J107" s="181" t="n">
        <v>1603</v>
      </c>
      <c r="K107" s="168" t="n">
        <v>48397</v>
      </c>
      <c r="L107" s="185" t="n">
        <v>50000</v>
      </c>
      <c r="M107" s="181"/>
      <c r="N107" s="182"/>
      <c r="O107" s="189"/>
    </row>
    <row r="108" customFormat="false" ht="15" hidden="true" customHeight="true" outlineLevel="0" collapsed="false">
      <c r="B108" s="162" t="n">
        <v>2025</v>
      </c>
      <c r="C108" s="163" t="n">
        <v>4</v>
      </c>
      <c r="D108" s="180" t="s">
        <v>69</v>
      </c>
      <c r="E108" s="175" t="n">
        <v>0</v>
      </c>
      <c r="F108" s="175" t="n">
        <v>0</v>
      </c>
      <c r="G108" s="175"/>
      <c r="H108" s="184" t="s">
        <v>122</v>
      </c>
      <c r="I108" s="181" t="n">
        <v>50000</v>
      </c>
      <c r="J108" s="181" t="n">
        <v>2333</v>
      </c>
      <c r="K108" s="168" t="n">
        <v>34337</v>
      </c>
      <c r="L108" s="185" t="n">
        <v>36670</v>
      </c>
      <c r="M108" s="181" t="n">
        <v>-13330</v>
      </c>
      <c r="N108" s="182" t="s">
        <v>165</v>
      </c>
      <c r="O108" s="189"/>
    </row>
    <row r="109" customFormat="false" ht="15" hidden="true" customHeight="true" outlineLevel="0" collapsed="false">
      <c r="B109" s="162" t="n">
        <v>2025</v>
      </c>
      <c r="C109" s="163" t="n">
        <v>4</v>
      </c>
      <c r="D109" s="180" t="s">
        <v>69</v>
      </c>
      <c r="E109" s="175" t="s">
        <v>120</v>
      </c>
      <c r="F109" s="175" t="n">
        <v>0</v>
      </c>
      <c r="G109" s="175"/>
      <c r="H109" s="195" t="s">
        <v>119</v>
      </c>
      <c r="I109" s="181" t="n">
        <v>50000</v>
      </c>
      <c r="J109" s="181" t="n">
        <v>11333</v>
      </c>
      <c r="K109" s="168" t="n">
        <v>3667</v>
      </c>
      <c r="L109" s="185" t="n">
        <v>15000</v>
      </c>
      <c r="M109" s="181" t="n">
        <v>-35000</v>
      </c>
      <c r="N109" s="182" t="s">
        <v>166</v>
      </c>
      <c r="O109" s="189"/>
    </row>
    <row r="110" customFormat="false" ht="15" hidden="true" customHeight="true" outlineLevel="0" collapsed="false">
      <c r="B110" s="162" t="n">
        <v>2025</v>
      </c>
      <c r="C110" s="163" t="n">
        <v>4</v>
      </c>
      <c r="D110" s="180" t="s">
        <v>59</v>
      </c>
      <c r="E110" s="175" t="s">
        <v>132</v>
      </c>
      <c r="F110" s="175" t="s">
        <v>151</v>
      </c>
      <c r="G110" s="175"/>
      <c r="H110" s="184" t="s">
        <v>131</v>
      </c>
      <c r="I110" s="181" t="n">
        <v>30000</v>
      </c>
      <c r="J110" s="181" t="n">
        <v>22104</v>
      </c>
      <c r="K110" s="168" t="n">
        <v>9696</v>
      </c>
      <c r="L110" s="185" t="n">
        <v>31800</v>
      </c>
      <c r="M110" s="181" t="n">
        <v>1800</v>
      </c>
      <c r="N110" s="182" t="s">
        <v>167</v>
      </c>
      <c r="O110" s="166"/>
    </row>
    <row r="111" customFormat="false" ht="15" hidden="true" customHeight="true" outlineLevel="0" collapsed="false">
      <c r="B111" s="162" t="n">
        <v>2025</v>
      </c>
      <c r="C111" s="163" t="n">
        <v>4</v>
      </c>
      <c r="D111" s="180" t="s">
        <v>59</v>
      </c>
      <c r="E111" s="175" t="n">
        <v>0</v>
      </c>
      <c r="F111" s="175" t="n">
        <v>0</v>
      </c>
      <c r="G111" s="175"/>
      <c r="H111" s="184" t="s">
        <v>128</v>
      </c>
      <c r="I111" s="181" t="n">
        <v>44000</v>
      </c>
      <c r="J111" s="181" t="n">
        <v>0</v>
      </c>
      <c r="K111" s="168" t="n">
        <v>44000</v>
      </c>
      <c r="L111" s="185" t="n">
        <v>44000</v>
      </c>
      <c r="M111" s="181"/>
      <c r="N111" s="182"/>
      <c r="O111" s="166"/>
    </row>
    <row r="112" customFormat="false" ht="15" hidden="true" customHeight="true" outlineLevel="0" collapsed="false">
      <c r="B112" s="162" t="n">
        <v>2025</v>
      </c>
      <c r="C112" s="163" t="n">
        <v>4</v>
      </c>
      <c r="D112" s="190" t="s">
        <v>59</v>
      </c>
      <c r="E112" s="191" t="n">
        <v>0</v>
      </c>
      <c r="F112" s="191"/>
      <c r="G112" s="175"/>
      <c r="H112" s="186" t="s">
        <v>62</v>
      </c>
      <c r="I112" s="192" t="n">
        <v>30000</v>
      </c>
      <c r="J112" s="192" t="n">
        <v>0</v>
      </c>
      <c r="K112" s="168" t="n">
        <v>30000</v>
      </c>
      <c r="L112" s="185" t="n">
        <v>30000</v>
      </c>
      <c r="M112" s="181"/>
      <c r="N112" s="135" t="s">
        <v>160</v>
      </c>
      <c r="O112" s="166"/>
    </row>
    <row r="113" customFormat="false" ht="15" hidden="true" customHeight="true" outlineLevel="0" collapsed="false">
      <c r="B113" s="162" t="n">
        <v>2025</v>
      </c>
      <c r="C113" s="163" t="n">
        <v>4</v>
      </c>
      <c r="D113" s="180" t="s">
        <v>59</v>
      </c>
      <c r="E113" s="175" t="s">
        <v>130</v>
      </c>
      <c r="F113" s="175" t="s">
        <v>152</v>
      </c>
      <c r="G113" s="175"/>
      <c r="H113" s="183" t="s">
        <v>129</v>
      </c>
      <c r="I113" s="181" t="n">
        <v>40000</v>
      </c>
      <c r="J113" s="181" t="n">
        <v>22104</v>
      </c>
      <c r="K113" s="168" t="n">
        <v>17896</v>
      </c>
      <c r="L113" s="185" t="n">
        <v>40000</v>
      </c>
      <c r="M113" s="181"/>
      <c r="N113" s="182"/>
      <c r="O113" s="166"/>
    </row>
    <row r="114" customFormat="false" ht="15" hidden="true" customHeight="true" outlineLevel="0" collapsed="false">
      <c r="B114" s="162" t="n">
        <v>2025</v>
      </c>
      <c r="C114" s="163" t="n">
        <v>4</v>
      </c>
      <c r="D114" s="180" t="s">
        <v>59</v>
      </c>
      <c r="E114" s="175" t="n">
        <v>0</v>
      </c>
      <c r="F114" s="175" t="n">
        <v>0</v>
      </c>
      <c r="G114" s="175"/>
      <c r="H114" s="183" t="s">
        <v>134</v>
      </c>
      <c r="I114" s="181" t="n">
        <v>30000</v>
      </c>
      <c r="J114" s="181" t="n">
        <v>0</v>
      </c>
      <c r="K114" s="168" t="n">
        <v>30000</v>
      </c>
      <c r="L114" s="185" t="n">
        <v>30000</v>
      </c>
      <c r="M114" s="181"/>
      <c r="N114" s="135" t="s">
        <v>160</v>
      </c>
      <c r="O114" s="166"/>
    </row>
    <row r="115" customFormat="false" ht="15" hidden="true" customHeight="true" outlineLevel="0" collapsed="false">
      <c r="B115" s="162" t="n">
        <v>2025</v>
      </c>
      <c r="C115" s="163" t="n">
        <v>4</v>
      </c>
      <c r="D115" s="180" t="s">
        <v>59</v>
      </c>
      <c r="E115" s="175" t="s">
        <v>60</v>
      </c>
      <c r="F115" s="175" t="s">
        <v>61</v>
      </c>
      <c r="G115" s="175"/>
      <c r="H115" s="183" t="s">
        <v>133</v>
      </c>
      <c r="I115" s="181" t="n">
        <v>50000</v>
      </c>
      <c r="J115" s="181" t="n">
        <v>30000</v>
      </c>
      <c r="K115" s="168" t="n">
        <v>20000</v>
      </c>
      <c r="L115" s="185" t="n">
        <v>50000</v>
      </c>
      <c r="M115" s="181"/>
      <c r="N115" s="135" t="s">
        <v>160</v>
      </c>
      <c r="O115" s="166"/>
    </row>
    <row r="116" customFormat="false" ht="15" hidden="true" customHeight="true" outlineLevel="0" collapsed="false">
      <c r="B116" s="162" t="n">
        <v>2025</v>
      </c>
      <c r="C116" s="163" t="n">
        <v>4</v>
      </c>
      <c r="D116" s="180" t="s">
        <v>59</v>
      </c>
      <c r="E116" s="175" t="s">
        <v>57</v>
      </c>
      <c r="F116" s="175" t="s">
        <v>153</v>
      </c>
      <c r="G116" s="175"/>
      <c r="H116" s="183" t="s">
        <v>55</v>
      </c>
      <c r="I116" s="181" t="n">
        <v>50000</v>
      </c>
      <c r="J116" s="181" t="n">
        <v>30000</v>
      </c>
      <c r="K116" s="168" t="n">
        <v>20000</v>
      </c>
      <c r="L116" s="185" t="n">
        <v>50000</v>
      </c>
      <c r="M116" s="181"/>
      <c r="N116" s="182"/>
      <c r="O116" s="166"/>
    </row>
    <row r="117" customFormat="false" ht="16.5" hidden="true" customHeight="false" outlineLevel="0" collapsed="false">
      <c r="B117" s="162" t="n">
        <v>2025</v>
      </c>
      <c r="C117" s="163" t="n">
        <v>5</v>
      </c>
      <c r="D117" s="180" t="s">
        <v>56</v>
      </c>
      <c r="E117" s="175" t="s">
        <v>80</v>
      </c>
      <c r="F117" s="175" t="n">
        <v>96358353</v>
      </c>
      <c r="G117" s="175"/>
      <c r="H117" s="166" t="s">
        <v>79</v>
      </c>
      <c r="I117" s="181" t="n">
        <v>57500</v>
      </c>
      <c r="J117" s="181" t="n">
        <v>40000</v>
      </c>
      <c r="K117" s="168" t="n">
        <v>17500</v>
      </c>
      <c r="L117" s="185" t="n">
        <v>57500</v>
      </c>
      <c r="M117" s="181"/>
      <c r="N117" s="182" t="s">
        <v>161</v>
      </c>
      <c r="O117" s="166"/>
    </row>
    <row r="118" customFormat="false" ht="16.5" hidden="true" customHeight="false" outlineLevel="0" collapsed="false">
      <c r="B118" s="162" t="n">
        <v>2025</v>
      </c>
      <c r="C118" s="163" t="n">
        <v>5</v>
      </c>
      <c r="D118" s="180" t="s">
        <v>82</v>
      </c>
      <c r="E118" s="175" t="s">
        <v>83</v>
      </c>
      <c r="F118" s="175" t="n">
        <v>95529415</v>
      </c>
      <c r="G118" s="175"/>
      <c r="H118" s="166" t="s">
        <v>81</v>
      </c>
      <c r="I118" s="181" t="n">
        <v>75000</v>
      </c>
      <c r="J118" s="181" t="n">
        <v>2670</v>
      </c>
      <c r="K118" s="168" t="n">
        <v>72330</v>
      </c>
      <c r="L118" s="185" t="n">
        <v>75000</v>
      </c>
      <c r="M118" s="181"/>
      <c r="N118" s="182"/>
      <c r="O118" s="166"/>
    </row>
    <row r="119" customFormat="false" ht="16.5" hidden="true" customHeight="false" outlineLevel="0" collapsed="false">
      <c r="B119" s="162" t="n">
        <v>2025</v>
      </c>
      <c r="C119" s="163" t="n">
        <v>5</v>
      </c>
      <c r="D119" s="180" t="s">
        <v>56</v>
      </c>
      <c r="E119" s="175" t="s">
        <v>84</v>
      </c>
      <c r="F119" s="175" t="n">
        <v>95787183</v>
      </c>
      <c r="G119" s="175"/>
      <c r="H119" s="166" t="s">
        <v>73</v>
      </c>
      <c r="I119" s="181" t="n">
        <v>22104</v>
      </c>
      <c r="J119" s="181" t="n">
        <v>22104</v>
      </c>
      <c r="K119" s="168" t="n">
        <v>0</v>
      </c>
      <c r="L119" s="185" t="n">
        <v>22104</v>
      </c>
      <c r="M119" s="181"/>
      <c r="N119" s="182"/>
      <c r="O119" s="166"/>
    </row>
    <row r="120" customFormat="false" ht="15" hidden="true" customHeight="true" outlineLevel="0" collapsed="false">
      <c r="B120" s="162" t="n">
        <v>2025</v>
      </c>
      <c r="C120" s="163" t="n">
        <v>5</v>
      </c>
      <c r="D120" s="180" t="s">
        <v>82</v>
      </c>
      <c r="E120" s="175" t="s">
        <v>86</v>
      </c>
      <c r="F120" s="175" t="n">
        <v>95532064</v>
      </c>
      <c r="G120" s="175"/>
      <c r="H120" s="166" t="s">
        <v>85</v>
      </c>
      <c r="I120" s="181" t="n">
        <v>48000</v>
      </c>
      <c r="J120" s="181" t="n">
        <v>1670</v>
      </c>
      <c r="K120" s="168" t="n">
        <v>46330</v>
      </c>
      <c r="L120" s="185" t="n">
        <v>48000</v>
      </c>
      <c r="M120" s="181"/>
      <c r="N120" s="182"/>
      <c r="O120" s="166"/>
    </row>
    <row r="121" customFormat="false" ht="15" hidden="true" customHeight="true" outlineLevel="0" collapsed="false">
      <c r="B121" s="162" t="n">
        <v>2025</v>
      </c>
      <c r="C121" s="163" t="n">
        <v>5</v>
      </c>
      <c r="D121" s="180" t="s">
        <v>82</v>
      </c>
      <c r="E121" s="175" t="s">
        <v>88</v>
      </c>
      <c r="F121" s="175" t="n">
        <v>95532066</v>
      </c>
      <c r="G121" s="175"/>
      <c r="H121" s="166" t="s">
        <v>87</v>
      </c>
      <c r="I121" s="181" t="n">
        <v>52000</v>
      </c>
      <c r="J121" s="181" t="n">
        <v>40000</v>
      </c>
      <c r="K121" s="168" t="n">
        <v>12000</v>
      </c>
      <c r="L121" s="185" t="n">
        <v>52000</v>
      </c>
      <c r="M121" s="181"/>
      <c r="N121" s="182"/>
      <c r="O121" s="166"/>
    </row>
    <row r="122" customFormat="false" ht="15" hidden="true" customHeight="true" outlineLevel="0" collapsed="false">
      <c r="B122" s="162" t="n">
        <v>2025</v>
      </c>
      <c r="C122" s="163" t="n">
        <v>5</v>
      </c>
      <c r="D122" s="180" t="s">
        <v>82</v>
      </c>
      <c r="E122" s="175" t="s">
        <v>90</v>
      </c>
      <c r="F122" s="175" t="n">
        <v>0</v>
      </c>
      <c r="G122" s="175"/>
      <c r="H122" s="166" t="s">
        <v>89</v>
      </c>
      <c r="I122" s="181" t="n">
        <v>34500</v>
      </c>
      <c r="J122" s="181" t="n">
        <v>22104</v>
      </c>
      <c r="K122" s="168" t="n">
        <v>12396</v>
      </c>
      <c r="L122" s="185" t="n">
        <v>34500</v>
      </c>
      <c r="M122" s="181"/>
      <c r="N122" s="182"/>
      <c r="O122" s="166"/>
    </row>
    <row r="123" customFormat="false" ht="15" hidden="true" customHeight="true" outlineLevel="0" collapsed="false">
      <c r="B123" s="162" t="n">
        <v>2025</v>
      </c>
      <c r="C123" s="163" t="n">
        <v>5</v>
      </c>
      <c r="D123" s="180" t="s">
        <v>82</v>
      </c>
      <c r="E123" s="175" t="s">
        <v>92</v>
      </c>
      <c r="F123" s="175" t="n">
        <v>0</v>
      </c>
      <c r="G123" s="175"/>
      <c r="H123" s="166" t="s">
        <v>91</v>
      </c>
      <c r="I123" s="181" t="n">
        <v>34500</v>
      </c>
      <c r="J123" s="181" t="n">
        <v>1603</v>
      </c>
      <c r="K123" s="168" t="n">
        <v>32897</v>
      </c>
      <c r="L123" s="185" t="n">
        <v>34500</v>
      </c>
      <c r="M123" s="181"/>
      <c r="N123" s="182"/>
      <c r="O123" s="166"/>
    </row>
    <row r="124" customFormat="false" ht="16.5" hidden="true" customHeight="false" outlineLevel="0" collapsed="false">
      <c r="B124" s="162" t="n">
        <v>2025</v>
      </c>
      <c r="C124" s="163" t="n">
        <v>5</v>
      </c>
      <c r="D124" s="180" t="s">
        <v>69</v>
      </c>
      <c r="E124" s="175" t="s">
        <v>94</v>
      </c>
      <c r="F124" s="175" t="n">
        <v>95532077</v>
      </c>
      <c r="G124" s="175"/>
      <c r="H124" s="166" t="s">
        <v>93</v>
      </c>
      <c r="I124" s="181" t="n">
        <v>46000</v>
      </c>
      <c r="J124" s="181" t="n">
        <v>2335</v>
      </c>
      <c r="K124" s="168" t="n">
        <v>43665</v>
      </c>
      <c r="L124" s="185" t="n">
        <v>46000</v>
      </c>
      <c r="M124" s="181"/>
      <c r="N124" s="182"/>
      <c r="O124" s="166"/>
    </row>
    <row r="125" customFormat="false" ht="15" hidden="true" customHeight="true" outlineLevel="0" collapsed="false">
      <c r="B125" s="162" t="n">
        <v>2025</v>
      </c>
      <c r="C125" s="163" t="n">
        <v>5</v>
      </c>
      <c r="D125" s="180" t="s">
        <v>34</v>
      </c>
      <c r="E125" s="175" t="s">
        <v>96</v>
      </c>
      <c r="F125" s="175" t="n">
        <v>95693810</v>
      </c>
      <c r="G125" s="175"/>
      <c r="H125" s="166" t="s">
        <v>95</v>
      </c>
      <c r="I125" s="181" t="n">
        <v>43000</v>
      </c>
      <c r="J125" s="181" t="n">
        <v>2000</v>
      </c>
      <c r="K125" s="168" t="n">
        <v>41000</v>
      </c>
      <c r="L125" s="185" t="n">
        <v>43000</v>
      </c>
      <c r="M125" s="181"/>
      <c r="N125" s="182" t="s">
        <v>168</v>
      </c>
      <c r="O125" s="166"/>
    </row>
    <row r="126" customFormat="false" ht="16.5" hidden="true" customHeight="false" outlineLevel="0" collapsed="false">
      <c r="B126" s="162" t="n">
        <v>2025</v>
      </c>
      <c r="C126" s="163" t="n">
        <v>5</v>
      </c>
      <c r="D126" s="180" t="s">
        <v>98</v>
      </c>
      <c r="E126" s="175" t="s">
        <v>99</v>
      </c>
      <c r="F126" s="175" t="s">
        <v>148</v>
      </c>
      <c r="G126" s="175"/>
      <c r="H126" s="166" t="s">
        <v>97</v>
      </c>
      <c r="I126" s="181" t="n">
        <v>57500</v>
      </c>
      <c r="J126" s="181" t="n">
        <v>35000</v>
      </c>
      <c r="K126" s="168" t="n">
        <v>22500</v>
      </c>
      <c r="L126" s="185" t="n">
        <v>57500</v>
      </c>
      <c r="M126" s="181"/>
      <c r="N126" s="182" t="s">
        <v>169</v>
      </c>
      <c r="O126" s="166"/>
    </row>
    <row r="127" customFormat="false" ht="15" hidden="true" customHeight="true" outlineLevel="0" collapsed="false">
      <c r="B127" s="162" t="n">
        <v>2025</v>
      </c>
      <c r="C127" s="163" t="n">
        <v>5</v>
      </c>
      <c r="D127" s="180" t="s">
        <v>51</v>
      </c>
      <c r="E127" s="175" t="s">
        <v>101</v>
      </c>
      <c r="F127" s="175" t="n">
        <v>97189681</v>
      </c>
      <c r="G127" s="175"/>
      <c r="H127" s="166" t="s">
        <v>100</v>
      </c>
      <c r="I127" s="181" t="n">
        <v>40000</v>
      </c>
      <c r="J127" s="181" t="n">
        <v>30000</v>
      </c>
      <c r="K127" s="168" t="n">
        <v>10000</v>
      </c>
      <c r="L127" s="185" t="n">
        <v>40000</v>
      </c>
      <c r="M127" s="181"/>
      <c r="N127" s="182"/>
      <c r="O127" s="166"/>
    </row>
    <row r="128" customFormat="false" ht="15" hidden="true" customHeight="true" outlineLevel="0" collapsed="false">
      <c r="B128" s="162" t="n">
        <v>2025</v>
      </c>
      <c r="C128" s="163" t="n">
        <v>5</v>
      </c>
      <c r="D128" s="180" t="s">
        <v>34</v>
      </c>
      <c r="E128" s="175" t="n">
        <v>0</v>
      </c>
      <c r="F128" s="175" t="n">
        <v>0</v>
      </c>
      <c r="G128" s="175"/>
      <c r="H128" s="166" t="s">
        <v>102</v>
      </c>
      <c r="I128" s="181" t="n">
        <v>40000</v>
      </c>
      <c r="J128" s="181" t="n">
        <v>0</v>
      </c>
      <c r="K128" s="168" t="n">
        <v>40000</v>
      </c>
      <c r="L128" s="185" t="n">
        <v>40000</v>
      </c>
      <c r="M128" s="181"/>
      <c r="N128" s="182"/>
      <c r="O128" s="166"/>
    </row>
    <row r="129" customFormat="false" ht="15" hidden="true" customHeight="true" outlineLevel="0" collapsed="false">
      <c r="B129" s="162" t="n">
        <v>2025</v>
      </c>
      <c r="C129" s="163" t="n">
        <v>5</v>
      </c>
      <c r="D129" s="180" t="s">
        <v>69</v>
      </c>
      <c r="E129" s="175" t="n">
        <v>0</v>
      </c>
      <c r="F129" s="175" t="n">
        <v>0</v>
      </c>
      <c r="G129" s="175"/>
      <c r="H129" s="184" t="s">
        <v>103</v>
      </c>
      <c r="I129" s="181" t="n">
        <v>50000</v>
      </c>
      <c r="J129" s="181" t="n">
        <v>2335</v>
      </c>
      <c r="K129" s="168" t="n">
        <v>47665</v>
      </c>
      <c r="L129" s="185" t="n">
        <v>50000</v>
      </c>
      <c r="M129" s="181"/>
      <c r="N129" s="182"/>
      <c r="O129" s="166"/>
    </row>
    <row r="130" customFormat="false" ht="15" hidden="true" customHeight="true" outlineLevel="0" collapsed="false">
      <c r="B130" s="162" t="n">
        <v>2025</v>
      </c>
      <c r="C130" s="163" t="n">
        <v>5</v>
      </c>
      <c r="D130" s="180" t="s">
        <v>112</v>
      </c>
      <c r="E130" s="175" t="s">
        <v>113</v>
      </c>
      <c r="F130" s="175" t="n">
        <v>0</v>
      </c>
      <c r="G130" s="175"/>
      <c r="H130" s="183" t="s">
        <v>111</v>
      </c>
      <c r="I130" s="181" t="n">
        <v>30000</v>
      </c>
      <c r="J130" s="181" t="n">
        <v>25000</v>
      </c>
      <c r="K130" s="168" t="n">
        <v>5000</v>
      </c>
      <c r="L130" s="181" t="n">
        <v>30000</v>
      </c>
      <c r="M130" s="181"/>
      <c r="N130" s="182"/>
      <c r="O130" s="166"/>
    </row>
    <row r="131" customFormat="false" ht="15" hidden="true" customHeight="true" outlineLevel="0" collapsed="false">
      <c r="B131" s="162" t="n">
        <v>2025</v>
      </c>
      <c r="C131" s="163" t="n">
        <v>5</v>
      </c>
      <c r="D131" s="180" t="s">
        <v>43</v>
      </c>
      <c r="E131" s="175" t="n">
        <v>0</v>
      </c>
      <c r="F131" s="175" t="n">
        <v>0</v>
      </c>
      <c r="G131" s="175"/>
      <c r="H131" s="183" t="s">
        <v>115</v>
      </c>
      <c r="I131" s="181" t="n">
        <v>30000</v>
      </c>
      <c r="J131" s="181" t="n">
        <v>0</v>
      </c>
      <c r="K131" s="168" t="n">
        <v>30000</v>
      </c>
      <c r="L131" s="185" t="n">
        <v>30000</v>
      </c>
      <c r="M131" s="181"/>
      <c r="N131" s="182"/>
      <c r="O131" s="166"/>
    </row>
    <row r="132" customFormat="false" ht="15" hidden="true" customHeight="true" outlineLevel="0" collapsed="false">
      <c r="B132" s="162" t="n">
        <v>2025</v>
      </c>
      <c r="C132" s="163" t="n">
        <v>5</v>
      </c>
      <c r="D132" s="180" t="s">
        <v>34</v>
      </c>
      <c r="E132" s="175" t="n">
        <v>0</v>
      </c>
      <c r="F132" s="175" t="n">
        <v>0</v>
      </c>
      <c r="G132" s="175"/>
      <c r="H132" s="184" t="s">
        <v>48</v>
      </c>
      <c r="I132" s="181" t="n">
        <v>40000</v>
      </c>
      <c r="J132" s="181" t="n">
        <v>0</v>
      </c>
      <c r="K132" s="168" t="n">
        <v>40000</v>
      </c>
      <c r="L132" s="185" t="n">
        <v>40000</v>
      </c>
      <c r="M132" s="181"/>
      <c r="N132" s="182"/>
      <c r="O132" s="166"/>
    </row>
    <row r="133" customFormat="false" ht="15" hidden="true" customHeight="true" outlineLevel="0" collapsed="false">
      <c r="B133" s="162" t="n">
        <v>2025</v>
      </c>
      <c r="C133" s="163" t="n">
        <v>5</v>
      </c>
      <c r="D133" s="180" t="s">
        <v>34</v>
      </c>
      <c r="E133" s="175" t="n">
        <v>0</v>
      </c>
      <c r="F133" s="175" t="n">
        <v>0</v>
      </c>
      <c r="G133" s="175"/>
      <c r="H133" s="184" t="s">
        <v>116</v>
      </c>
      <c r="I133" s="181" t="n">
        <v>43000</v>
      </c>
      <c r="J133" s="181" t="n">
        <v>1603</v>
      </c>
      <c r="K133" s="168" t="n">
        <v>41397</v>
      </c>
      <c r="L133" s="185" t="n">
        <v>43000</v>
      </c>
      <c r="M133" s="181"/>
      <c r="N133" s="182"/>
      <c r="O133" s="166"/>
    </row>
    <row r="134" customFormat="false" ht="15" hidden="true" customHeight="true" outlineLevel="0" collapsed="false">
      <c r="B134" s="162" t="n">
        <v>2025</v>
      </c>
      <c r="C134" s="163" t="n">
        <v>5</v>
      </c>
      <c r="D134" s="180" t="s">
        <v>59</v>
      </c>
      <c r="E134" s="175" t="n">
        <v>0</v>
      </c>
      <c r="F134" s="175" t="n">
        <v>0</v>
      </c>
      <c r="G134" s="175"/>
      <c r="H134" s="184" t="s">
        <v>126</v>
      </c>
      <c r="I134" s="181" t="n">
        <v>30000</v>
      </c>
      <c r="J134" s="181" t="n">
        <v>0</v>
      </c>
      <c r="K134" s="168" t="n">
        <v>30000</v>
      </c>
      <c r="L134" s="181" t="n">
        <v>30000</v>
      </c>
      <c r="M134" s="181"/>
      <c r="N134" s="182" t="s">
        <v>170</v>
      </c>
      <c r="O134" s="166"/>
    </row>
    <row r="135" customFormat="false" ht="15" hidden="true" customHeight="true" outlineLevel="0" collapsed="false">
      <c r="B135" s="162" t="n">
        <v>2025</v>
      </c>
      <c r="C135" s="163" t="n">
        <v>5</v>
      </c>
      <c r="D135" s="180" t="s">
        <v>69</v>
      </c>
      <c r="E135" s="175" t="s">
        <v>108</v>
      </c>
      <c r="F135" s="175" t="n">
        <v>0</v>
      </c>
      <c r="G135" s="175"/>
      <c r="H135" s="186" t="s">
        <v>107</v>
      </c>
      <c r="I135" s="181" t="n">
        <v>50000</v>
      </c>
      <c r="J135" s="181" t="n">
        <v>1603</v>
      </c>
      <c r="K135" s="168" t="n">
        <v>48397</v>
      </c>
      <c r="L135" s="185" t="n">
        <v>50000</v>
      </c>
      <c r="M135" s="181"/>
      <c r="N135" s="182"/>
      <c r="O135" s="189"/>
    </row>
    <row r="136" customFormat="false" ht="15" hidden="true" customHeight="true" outlineLevel="0" collapsed="false">
      <c r="B136" s="162" t="n">
        <v>2025</v>
      </c>
      <c r="C136" s="163" t="n">
        <v>5</v>
      </c>
      <c r="D136" s="180" t="s">
        <v>69</v>
      </c>
      <c r="E136" s="175" t="n">
        <v>0</v>
      </c>
      <c r="F136" s="175" t="n">
        <v>0</v>
      </c>
      <c r="G136" s="175"/>
      <c r="H136" s="184" t="s">
        <v>122</v>
      </c>
      <c r="I136" s="181" t="n">
        <v>50000</v>
      </c>
      <c r="J136" s="181" t="n">
        <v>2335</v>
      </c>
      <c r="K136" s="168" t="n">
        <v>47665</v>
      </c>
      <c r="L136" s="185" t="n">
        <v>50000</v>
      </c>
      <c r="M136" s="181"/>
      <c r="N136" s="182"/>
      <c r="O136" s="189"/>
    </row>
    <row r="137" customFormat="false" ht="15" hidden="true" customHeight="true" outlineLevel="0" collapsed="false">
      <c r="B137" s="162" t="n">
        <v>2025</v>
      </c>
      <c r="C137" s="163" t="n">
        <v>5</v>
      </c>
      <c r="D137" s="180" t="s">
        <v>69</v>
      </c>
      <c r="E137" s="175" t="s">
        <v>120</v>
      </c>
      <c r="F137" s="175" t="n">
        <v>0</v>
      </c>
      <c r="G137" s="175"/>
      <c r="H137" s="195" t="s">
        <v>119</v>
      </c>
      <c r="I137" s="181" t="n">
        <v>50000</v>
      </c>
      <c r="J137" s="181" t="n">
        <v>28000</v>
      </c>
      <c r="K137" s="168" t="n">
        <v>22000</v>
      </c>
      <c r="L137" s="185" t="n">
        <v>50000</v>
      </c>
      <c r="M137" s="181"/>
      <c r="N137" s="182"/>
      <c r="O137" s="189"/>
    </row>
    <row r="138" customFormat="false" ht="16.5" hidden="true" customHeight="false" outlineLevel="0" collapsed="false">
      <c r="B138" s="162" t="n">
        <v>2025</v>
      </c>
      <c r="C138" s="163" t="n">
        <v>5</v>
      </c>
      <c r="D138" s="180" t="s">
        <v>56</v>
      </c>
      <c r="E138" s="175" t="s">
        <v>125</v>
      </c>
      <c r="F138" s="175" t="n">
        <v>0</v>
      </c>
      <c r="G138" s="175"/>
      <c r="H138" s="166" t="s">
        <v>124</v>
      </c>
      <c r="I138" s="181" t="n">
        <v>35000</v>
      </c>
      <c r="J138" s="181" t="n">
        <v>0</v>
      </c>
      <c r="K138" s="168" t="n">
        <v>35000</v>
      </c>
      <c r="L138" s="185" t="n">
        <v>35000</v>
      </c>
      <c r="M138" s="181"/>
      <c r="N138" s="196"/>
      <c r="O138" s="197"/>
    </row>
    <row r="139" customFormat="false" ht="16.5" hidden="true" customHeight="false" outlineLevel="0" collapsed="false">
      <c r="B139" s="162" t="n">
        <v>2025</v>
      </c>
      <c r="C139" s="163" t="n">
        <v>5</v>
      </c>
      <c r="D139" s="180" t="s">
        <v>105</v>
      </c>
      <c r="E139" s="175" t="s">
        <v>106</v>
      </c>
      <c r="F139" s="175" t="n">
        <v>0</v>
      </c>
      <c r="G139" s="175"/>
      <c r="H139" s="166" t="s">
        <v>104</v>
      </c>
      <c r="I139" s="181" t="n">
        <v>15000</v>
      </c>
      <c r="J139" s="181" t="n">
        <v>15000</v>
      </c>
      <c r="K139" s="168" t="n">
        <v>0</v>
      </c>
      <c r="L139" s="185" t="n">
        <v>15000</v>
      </c>
      <c r="M139" s="181"/>
      <c r="N139" s="196" t="s">
        <v>171</v>
      </c>
      <c r="O139" s="197"/>
    </row>
    <row r="140" customFormat="false" ht="15" hidden="true" customHeight="true" outlineLevel="0" collapsed="false">
      <c r="B140" s="162" t="n">
        <v>2025</v>
      </c>
      <c r="C140" s="163" t="n">
        <v>5</v>
      </c>
      <c r="D140" s="180" t="s">
        <v>59</v>
      </c>
      <c r="E140" s="175" t="s">
        <v>132</v>
      </c>
      <c r="F140" s="175" t="s">
        <v>151</v>
      </c>
      <c r="G140" s="175"/>
      <c r="H140" s="184" t="s">
        <v>131</v>
      </c>
      <c r="I140" s="181" t="n">
        <v>30000</v>
      </c>
      <c r="J140" s="181" t="n">
        <v>22104</v>
      </c>
      <c r="K140" s="168" t="n">
        <v>4696</v>
      </c>
      <c r="L140" s="185" t="n">
        <v>26800</v>
      </c>
      <c r="M140" s="181" t="n">
        <v>-3200</v>
      </c>
      <c r="N140" s="182" t="s">
        <v>172</v>
      </c>
      <c r="O140" s="166"/>
    </row>
    <row r="141" customFormat="false" ht="15" hidden="true" customHeight="true" outlineLevel="0" collapsed="false">
      <c r="B141" s="162" t="n">
        <v>2025</v>
      </c>
      <c r="C141" s="163" t="n">
        <v>5</v>
      </c>
      <c r="D141" s="190" t="s">
        <v>59</v>
      </c>
      <c r="E141" s="191" t="n">
        <v>0</v>
      </c>
      <c r="F141" s="191"/>
      <c r="G141" s="175"/>
      <c r="H141" s="186" t="s">
        <v>62</v>
      </c>
      <c r="I141" s="192" t="n">
        <v>30000</v>
      </c>
      <c r="J141" s="192" t="n">
        <v>0</v>
      </c>
      <c r="K141" s="168" t="n">
        <v>30000</v>
      </c>
      <c r="L141" s="185" t="n">
        <v>30000</v>
      </c>
      <c r="M141" s="181"/>
      <c r="N141" s="182"/>
      <c r="O141" s="166"/>
    </row>
    <row r="142" customFormat="false" ht="15" hidden="true" customHeight="true" outlineLevel="0" collapsed="false">
      <c r="B142" s="162" t="n">
        <v>2025</v>
      </c>
      <c r="C142" s="163" t="n">
        <v>5</v>
      </c>
      <c r="D142" s="180" t="s">
        <v>59</v>
      </c>
      <c r="E142" s="175" t="s">
        <v>130</v>
      </c>
      <c r="F142" s="175" t="s">
        <v>152</v>
      </c>
      <c r="G142" s="175"/>
      <c r="H142" s="183" t="s">
        <v>129</v>
      </c>
      <c r="I142" s="181" t="n">
        <v>40000</v>
      </c>
      <c r="J142" s="181" t="n">
        <v>22104</v>
      </c>
      <c r="K142" s="168" t="n">
        <v>17896</v>
      </c>
      <c r="L142" s="185" t="n">
        <v>40000</v>
      </c>
      <c r="M142" s="181"/>
      <c r="N142" s="182"/>
      <c r="O142" s="166"/>
    </row>
    <row r="143" customFormat="false" ht="15" hidden="true" customHeight="true" outlineLevel="0" collapsed="false">
      <c r="B143" s="162" t="n">
        <v>2025</v>
      </c>
      <c r="C143" s="163" t="n">
        <v>5</v>
      </c>
      <c r="D143" s="180" t="s">
        <v>59</v>
      </c>
      <c r="E143" s="175" t="n">
        <v>0</v>
      </c>
      <c r="F143" s="175" t="n">
        <v>0</v>
      </c>
      <c r="G143" s="175"/>
      <c r="H143" s="183" t="s">
        <v>134</v>
      </c>
      <c r="I143" s="181" t="n">
        <v>30000</v>
      </c>
      <c r="J143" s="181" t="n">
        <v>0</v>
      </c>
      <c r="K143" s="168" t="n">
        <v>30000</v>
      </c>
      <c r="L143" s="185" t="n">
        <v>30000</v>
      </c>
      <c r="M143" s="181"/>
      <c r="N143" s="182"/>
      <c r="O143" s="166"/>
    </row>
    <row r="144" customFormat="false" ht="15" hidden="true" customHeight="true" outlineLevel="0" collapsed="false">
      <c r="B144" s="162" t="n">
        <v>2025</v>
      </c>
      <c r="C144" s="163" t="n">
        <v>5</v>
      </c>
      <c r="D144" s="180" t="s">
        <v>59</v>
      </c>
      <c r="E144" s="175" t="s">
        <v>60</v>
      </c>
      <c r="F144" s="175" t="s">
        <v>61</v>
      </c>
      <c r="G144" s="175"/>
      <c r="H144" s="183" t="s">
        <v>133</v>
      </c>
      <c r="I144" s="181" t="n">
        <v>50000</v>
      </c>
      <c r="J144" s="181" t="n">
        <v>30000</v>
      </c>
      <c r="K144" s="168" t="n">
        <v>20000</v>
      </c>
      <c r="L144" s="185" t="n">
        <v>50000</v>
      </c>
      <c r="M144" s="181"/>
      <c r="N144" s="182"/>
      <c r="O144" s="166"/>
    </row>
    <row r="145" customFormat="false" ht="15" hidden="true" customHeight="true" outlineLevel="0" collapsed="false">
      <c r="B145" s="162" t="n">
        <v>2025</v>
      </c>
      <c r="C145" s="163" t="n">
        <v>5</v>
      </c>
      <c r="D145" s="180" t="s">
        <v>59</v>
      </c>
      <c r="E145" s="175" t="s">
        <v>57</v>
      </c>
      <c r="F145" s="175" t="s">
        <v>153</v>
      </c>
      <c r="G145" s="175"/>
      <c r="H145" s="183" t="s">
        <v>55</v>
      </c>
      <c r="I145" s="181" t="n">
        <v>50000</v>
      </c>
      <c r="J145" s="181" t="n">
        <v>30000</v>
      </c>
      <c r="K145" s="168" t="n">
        <v>20000</v>
      </c>
      <c r="L145" s="185" t="n">
        <v>50000</v>
      </c>
      <c r="M145" s="181"/>
      <c r="N145" s="182"/>
      <c r="O145" s="166"/>
    </row>
    <row r="146" customFormat="false" ht="16.5" hidden="true" customHeight="false" outlineLevel="0" collapsed="false">
      <c r="B146" s="162" t="n">
        <v>2025</v>
      </c>
      <c r="C146" s="163" t="n">
        <v>6</v>
      </c>
      <c r="D146" s="180" t="s">
        <v>56</v>
      </c>
      <c r="E146" s="175" t="s">
        <v>80</v>
      </c>
      <c r="F146" s="175" t="n">
        <v>96358353</v>
      </c>
      <c r="G146" s="175" t="n">
        <v>1</v>
      </c>
      <c r="H146" s="166" t="s">
        <v>79</v>
      </c>
      <c r="I146" s="181" t="n">
        <v>57500</v>
      </c>
      <c r="J146" s="181" t="n">
        <v>40000</v>
      </c>
      <c r="K146" s="168" t="n">
        <v>17500</v>
      </c>
      <c r="L146" s="185" t="n">
        <v>57500</v>
      </c>
      <c r="M146" s="181"/>
      <c r="N146" s="182"/>
      <c r="O146" s="166"/>
    </row>
    <row r="147" customFormat="false" ht="16.5" hidden="true" customHeight="false" outlineLevel="0" collapsed="false">
      <c r="B147" s="162" t="n">
        <v>2025</v>
      </c>
      <c r="C147" s="163" t="n">
        <v>6</v>
      </c>
      <c r="D147" s="180" t="s">
        <v>82</v>
      </c>
      <c r="E147" s="175" t="s">
        <v>83</v>
      </c>
      <c r="F147" s="175" t="n">
        <v>95529415</v>
      </c>
      <c r="G147" s="175" t="n">
        <v>0</v>
      </c>
      <c r="H147" s="166" t="s">
        <v>81</v>
      </c>
      <c r="I147" s="181" t="n">
        <v>75000</v>
      </c>
      <c r="J147" s="181" t="n">
        <v>2670</v>
      </c>
      <c r="K147" s="168" t="n">
        <v>72330</v>
      </c>
      <c r="L147" s="185" t="n">
        <v>75000</v>
      </c>
      <c r="M147" s="181"/>
      <c r="N147" s="182"/>
      <c r="O147" s="166"/>
    </row>
    <row r="148" customFormat="false" ht="16.5" hidden="true" customHeight="false" outlineLevel="0" collapsed="false">
      <c r="B148" s="162" t="n">
        <v>2025</v>
      </c>
      <c r="C148" s="163" t="n">
        <v>6</v>
      </c>
      <c r="D148" s="180" t="s">
        <v>56</v>
      </c>
      <c r="E148" s="175" t="s">
        <v>84</v>
      </c>
      <c r="F148" s="175" t="n">
        <v>95787183</v>
      </c>
      <c r="G148" s="175" t="n">
        <v>1</v>
      </c>
      <c r="H148" s="166" t="s">
        <v>73</v>
      </c>
      <c r="I148" s="181" t="n">
        <v>22104</v>
      </c>
      <c r="J148" s="181" t="n">
        <v>22104</v>
      </c>
      <c r="K148" s="168" t="n">
        <v>0</v>
      </c>
      <c r="L148" s="185" t="n">
        <v>22104</v>
      </c>
      <c r="M148" s="181"/>
      <c r="N148" s="182"/>
      <c r="O148" s="166"/>
    </row>
    <row r="149" customFormat="false" ht="15" hidden="true" customHeight="true" outlineLevel="0" collapsed="false">
      <c r="B149" s="162" t="n">
        <v>2025</v>
      </c>
      <c r="C149" s="163" t="n">
        <v>6</v>
      </c>
      <c r="D149" s="180" t="s">
        <v>82</v>
      </c>
      <c r="E149" s="175" t="s">
        <v>86</v>
      </c>
      <c r="F149" s="175" t="n">
        <v>95532064</v>
      </c>
      <c r="G149" s="175" t="n">
        <v>1</v>
      </c>
      <c r="H149" s="166" t="s">
        <v>85</v>
      </c>
      <c r="I149" s="181" t="n">
        <v>48000</v>
      </c>
      <c r="J149" s="181" t="n">
        <v>1670</v>
      </c>
      <c r="K149" s="168" t="n">
        <v>46330</v>
      </c>
      <c r="L149" s="185" t="n">
        <v>48000</v>
      </c>
      <c r="M149" s="181"/>
      <c r="N149" s="182"/>
      <c r="O149" s="166"/>
    </row>
    <row r="150" customFormat="false" ht="15" hidden="true" customHeight="true" outlineLevel="0" collapsed="false">
      <c r="B150" s="162" t="n">
        <v>2025</v>
      </c>
      <c r="C150" s="163" t="n">
        <v>6</v>
      </c>
      <c r="D150" s="180" t="s">
        <v>82</v>
      </c>
      <c r="E150" s="175" t="s">
        <v>88</v>
      </c>
      <c r="F150" s="175" t="n">
        <v>95532066</v>
      </c>
      <c r="G150" s="175" t="n">
        <v>1</v>
      </c>
      <c r="H150" s="166" t="s">
        <v>87</v>
      </c>
      <c r="I150" s="181" t="n">
        <v>52000</v>
      </c>
      <c r="J150" s="181" t="n">
        <v>40000</v>
      </c>
      <c r="K150" s="168" t="n">
        <v>12000</v>
      </c>
      <c r="L150" s="185" t="n">
        <v>52000</v>
      </c>
      <c r="M150" s="181"/>
      <c r="N150" s="182"/>
      <c r="O150" s="166"/>
    </row>
    <row r="151" customFormat="false" ht="15" hidden="true" customHeight="true" outlineLevel="0" collapsed="false">
      <c r="B151" s="162" t="n">
        <v>2025</v>
      </c>
      <c r="C151" s="163" t="n">
        <v>6</v>
      </c>
      <c r="D151" s="180" t="s">
        <v>82</v>
      </c>
      <c r="E151" s="175" t="s">
        <v>90</v>
      </c>
      <c r="F151" s="175" t="n">
        <v>0</v>
      </c>
      <c r="G151" s="175" t="n">
        <v>1</v>
      </c>
      <c r="H151" s="166" t="s">
        <v>89</v>
      </c>
      <c r="I151" s="181" t="n">
        <v>34500</v>
      </c>
      <c r="J151" s="181" t="n">
        <v>22104</v>
      </c>
      <c r="K151" s="168" t="n">
        <v>12396</v>
      </c>
      <c r="L151" s="185" t="n">
        <v>34500</v>
      </c>
      <c r="M151" s="181"/>
      <c r="N151" s="182"/>
      <c r="O151" s="166"/>
    </row>
    <row r="152" customFormat="false" ht="15" hidden="true" customHeight="true" outlineLevel="0" collapsed="false">
      <c r="B152" s="162" t="n">
        <v>2025</v>
      </c>
      <c r="C152" s="163" t="n">
        <v>6</v>
      </c>
      <c r="D152" s="180" t="s">
        <v>82</v>
      </c>
      <c r="E152" s="175" t="s">
        <v>92</v>
      </c>
      <c r="F152" s="175" t="n">
        <v>0</v>
      </c>
      <c r="G152" s="175" t="n">
        <v>1</v>
      </c>
      <c r="H152" s="166" t="s">
        <v>91</v>
      </c>
      <c r="I152" s="181" t="n">
        <v>34500</v>
      </c>
      <c r="J152" s="181" t="n">
        <v>1603</v>
      </c>
      <c r="K152" s="168" t="n">
        <v>32897</v>
      </c>
      <c r="L152" s="185" t="n">
        <v>34500</v>
      </c>
      <c r="M152" s="181"/>
      <c r="N152" s="182"/>
      <c r="O152" s="166"/>
    </row>
    <row r="153" customFormat="false" ht="15" hidden="true" customHeight="true" outlineLevel="0" collapsed="false">
      <c r="B153" s="162" t="n">
        <v>2025</v>
      </c>
      <c r="C153" s="163" t="n">
        <v>6</v>
      </c>
      <c r="D153" s="180" t="s">
        <v>69</v>
      </c>
      <c r="E153" s="175" t="s">
        <v>94</v>
      </c>
      <c r="F153" s="175" t="n">
        <v>95532077</v>
      </c>
      <c r="G153" s="175" t="n">
        <v>1</v>
      </c>
      <c r="H153" s="166" t="s">
        <v>93</v>
      </c>
      <c r="I153" s="181" t="n">
        <v>46000</v>
      </c>
      <c r="J153" s="181" t="n">
        <v>2335</v>
      </c>
      <c r="K153" s="168" t="n">
        <v>43665</v>
      </c>
      <c r="L153" s="185" t="n">
        <v>46000</v>
      </c>
      <c r="M153" s="181"/>
      <c r="N153" s="182"/>
      <c r="O153" s="166"/>
    </row>
    <row r="154" customFormat="false" ht="15" hidden="true" customHeight="true" outlineLevel="0" collapsed="false">
      <c r="B154" s="162" t="n">
        <v>2025</v>
      </c>
      <c r="C154" s="163" t="n">
        <v>6</v>
      </c>
      <c r="D154" s="180" t="s">
        <v>34</v>
      </c>
      <c r="E154" s="175" t="s">
        <v>96</v>
      </c>
      <c r="F154" s="175" t="n">
        <v>95693810</v>
      </c>
      <c r="G154" s="175" t="n">
        <v>1</v>
      </c>
      <c r="H154" s="166" t="s">
        <v>95</v>
      </c>
      <c r="I154" s="181" t="n">
        <v>43000</v>
      </c>
      <c r="J154" s="181" t="n">
        <v>2000</v>
      </c>
      <c r="K154" s="168" t="n">
        <v>41000</v>
      </c>
      <c r="L154" s="185" t="n">
        <v>43000</v>
      </c>
      <c r="M154" s="181"/>
      <c r="N154" s="182"/>
      <c r="O154" s="166"/>
    </row>
    <row r="155" customFormat="false" ht="15" hidden="true" customHeight="true" outlineLevel="0" collapsed="false">
      <c r="B155" s="162" t="n">
        <v>2025</v>
      </c>
      <c r="C155" s="163" t="n">
        <v>6</v>
      </c>
      <c r="D155" s="180" t="s">
        <v>98</v>
      </c>
      <c r="E155" s="175" t="s">
        <v>99</v>
      </c>
      <c r="F155" s="175" t="s">
        <v>148</v>
      </c>
      <c r="G155" s="175" t="n">
        <v>1</v>
      </c>
      <c r="H155" s="166" t="s">
        <v>97</v>
      </c>
      <c r="I155" s="181" t="n">
        <v>57500</v>
      </c>
      <c r="J155" s="181" t="n">
        <v>35000</v>
      </c>
      <c r="K155" s="168" t="n">
        <v>22500</v>
      </c>
      <c r="L155" s="185" t="n">
        <v>57500</v>
      </c>
      <c r="M155" s="181"/>
      <c r="N155" s="182"/>
      <c r="O155" s="166"/>
    </row>
    <row r="156" customFormat="false" ht="15" hidden="true" customHeight="true" outlineLevel="0" collapsed="false">
      <c r="B156" s="162" t="n">
        <v>2025</v>
      </c>
      <c r="C156" s="163" t="n">
        <v>6</v>
      </c>
      <c r="D156" s="180" t="s">
        <v>51</v>
      </c>
      <c r="E156" s="175" t="s">
        <v>101</v>
      </c>
      <c r="F156" s="175" t="n">
        <v>97189681</v>
      </c>
      <c r="G156" s="175" t="n">
        <v>1</v>
      </c>
      <c r="H156" s="166" t="s">
        <v>100</v>
      </c>
      <c r="I156" s="181" t="n">
        <v>40000</v>
      </c>
      <c r="J156" s="181" t="n">
        <v>33000</v>
      </c>
      <c r="K156" s="168" t="n">
        <v>7000</v>
      </c>
      <c r="L156" s="185" t="n">
        <v>40000</v>
      </c>
      <c r="M156" s="181"/>
      <c r="N156" s="182"/>
      <c r="O156" s="166"/>
    </row>
    <row r="157" customFormat="false" ht="15" hidden="true" customHeight="true" outlineLevel="0" collapsed="false">
      <c r="B157" s="162" t="n">
        <v>2025</v>
      </c>
      <c r="C157" s="163" t="n">
        <v>6</v>
      </c>
      <c r="D157" s="180" t="s">
        <v>34</v>
      </c>
      <c r="E157" s="175" t="n">
        <v>0</v>
      </c>
      <c r="F157" s="175" t="n">
        <v>0</v>
      </c>
      <c r="G157" s="175" t="n">
        <v>1</v>
      </c>
      <c r="H157" s="166" t="s">
        <v>102</v>
      </c>
      <c r="I157" s="181" t="n">
        <v>40000</v>
      </c>
      <c r="J157" s="181" t="n">
        <v>0</v>
      </c>
      <c r="K157" s="168" t="n">
        <v>40000</v>
      </c>
      <c r="L157" s="185" t="n">
        <v>40000</v>
      </c>
      <c r="M157" s="181"/>
      <c r="N157" s="182"/>
      <c r="O157" s="166"/>
    </row>
    <row r="158" customFormat="false" ht="15" hidden="true" customHeight="true" outlineLevel="0" collapsed="false">
      <c r="B158" s="162" t="n">
        <v>2025</v>
      </c>
      <c r="C158" s="163" t="n">
        <v>6</v>
      </c>
      <c r="D158" s="180" t="s">
        <v>69</v>
      </c>
      <c r="E158" s="175" t="n">
        <v>0</v>
      </c>
      <c r="F158" s="175" t="n">
        <v>0</v>
      </c>
      <c r="G158" s="175" t="n">
        <v>1</v>
      </c>
      <c r="H158" s="166" t="s">
        <v>103</v>
      </c>
      <c r="I158" s="181" t="n">
        <v>50000</v>
      </c>
      <c r="J158" s="181" t="n">
        <v>2335</v>
      </c>
      <c r="K158" s="168" t="n">
        <v>47665</v>
      </c>
      <c r="L158" s="185" t="n">
        <v>50000</v>
      </c>
      <c r="M158" s="181"/>
      <c r="N158" s="182"/>
      <c r="O158" s="166"/>
    </row>
    <row r="159" customFormat="false" ht="15" hidden="true" customHeight="true" outlineLevel="0" collapsed="false">
      <c r="B159" s="162" t="n">
        <v>2025</v>
      </c>
      <c r="C159" s="163" t="n">
        <v>6</v>
      </c>
      <c r="D159" s="180" t="s">
        <v>112</v>
      </c>
      <c r="E159" s="175" t="s">
        <v>113</v>
      </c>
      <c r="F159" s="175" t="n">
        <v>0</v>
      </c>
      <c r="G159" s="175" t="n">
        <v>1</v>
      </c>
      <c r="H159" s="166" t="s">
        <v>111</v>
      </c>
      <c r="I159" s="181" t="n">
        <v>30000</v>
      </c>
      <c r="J159" s="181" t="n">
        <v>25000</v>
      </c>
      <c r="K159" s="168" t="n">
        <v>5000</v>
      </c>
      <c r="L159" s="185" t="n">
        <v>30000</v>
      </c>
      <c r="M159" s="181"/>
      <c r="N159" s="182"/>
      <c r="O159" s="166"/>
    </row>
    <row r="160" customFormat="false" ht="15" hidden="true" customHeight="true" outlineLevel="0" collapsed="false">
      <c r="B160" s="162" t="n">
        <v>2025</v>
      </c>
      <c r="C160" s="163" t="n">
        <v>6</v>
      </c>
      <c r="D160" s="180" t="s">
        <v>43</v>
      </c>
      <c r="E160" s="175" t="n">
        <v>0</v>
      </c>
      <c r="F160" s="175" t="n">
        <v>0</v>
      </c>
      <c r="G160" s="175" t="n">
        <v>1</v>
      </c>
      <c r="H160" s="166" t="s">
        <v>115</v>
      </c>
      <c r="I160" s="181" t="n">
        <v>30000</v>
      </c>
      <c r="J160" s="181" t="n">
        <v>0</v>
      </c>
      <c r="K160" s="168" t="n">
        <v>30000</v>
      </c>
      <c r="L160" s="185" t="n">
        <v>30000</v>
      </c>
      <c r="M160" s="181"/>
      <c r="N160" s="182"/>
      <c r="O160" s="166"/>
    </row>
    <row r="161" customFormat="false" ht="15" hidden="true" customHeight="true" outlineLevel="0" collapsed="false">
      <c r="B161" s="162" t="n">
        <v>2025</v>
      </c>
      <c r="C161" s="163" t="n">
        <v>6</v>
      </c>
      <c r="D161" s="180" t="s">
        <v>34</v>
      </c>
      <c r="E161" s="175" t="n">
        <v>0</v>
      </c>
      <c r="F161" s="175" t="n">
        <v>0</v>
      </c>
      <c r="G161" s="175" t="n">
        <v>1</v>
      </c>
      <c r="H161" s="166" t="s">
        <v>116</v>
      </c>
      <c r="I161" s="181" t="n">
        <v>43000</v>
      </c>
      <c r="J161" s="181" t="n">
        <v>1603</v>
      </c>
      <c r="K161" s="168" t="n">
        <v>41397</v>
      </c>
      <c r="L161" s="185" t="n">
        <v>43000</v>
      </c>
      <c r="M161" s="181"/>
      <c r="N161" s="182"/>
      <c r="O161" s="166"/>
    </row>
    <row r="162" customFormat="false" ht="15" hidden="true" customHeight="true" outlineLevel="0" collapsed="false">
      <c r="B162" s="162" t="n">
        <v>2025</v>
      </c>
      <c r="C162" s="163" t="n">
        <v>6</v>
      </c>
      <c r="D162" s="180" t="s">
        <v>69</v>
      </c>
      <c r="E162" s="175" t="s">
        <v>108</v>
      </c>
      <c r="F162" s="175" t="n">
        <v>0</v>
      </c>
      <c r="G162" s="175" t="n">
        <v>1</v>
      </c>
      <c r="H162" s="166" t="s">
        <v>107</v>
      </c>
      <c r="I162" s="181" t="n">
        <v>50000</v>
      </c>
      <c r="J162" s="181" t="n">
        <v>1603</v>
      </c>
      <c r="K162" s="168" t="n">
        <v>48397</v>
      </c>
      <c r="L162" s="185" t="n">
        <v>50000</v>
      </c>
      <c r="M162" s="181"/>
      <c r="N162" s="182"/>
      <c r="O162" s="166"/>
    </row>
    <row r="163" customFormat="false" ht="15" hidden="true" customHeight="true" outlineLevel="0" collapsed="false">
      <c r="B163" s="162" t="n">
        <v>2025</v>
      </c>
      <c r="C163" s="163" t="n">
        <v>6</v>
      </c>
      <c r="D163" s="180" t="s">
        <v>69</v>
      </c>
      <c r="E163" s="175" t="n">
        <v>0</v>
      </c>
      <c r="F163" s="175" t="n">
        <v>0</v>
      </c>
      <c r="G163" s="175" t="n">
        <v>1</v>
      </c>
      <c r="H163" s="166" t="s">
        <v>122</v>
      </c>
      <c r="I163" s="181" t="n">
        <v>50000</v>
      </c>
      <c r="J163" s="181" t="n">
        <v>2335</v>
      </c>
      <c r="K163" s="168" t="n">
        <v>47665</v>
      </c>
      <c r="L163" s="185" t="n">
        <v>50000</v>
      </c>
      <c r="M163" s="181"/>
      <c r="N163" s="182"/>
      <c r="O163" s="166"/>
    </row>
    <row r="164" customFormat="false" ht="15" hidden="true" customHeight="true" outlineLevel="0" collapsed="false">
      <c r="B164" s="162" t="n">
        <v>2025</v>
      </c>
      <c r="C164" s="163" t="n">
        <v>6</v>
      </c>
      <c r="D164" s="180" t="s">
        <v>69</v>
      </c>
      <c r="E164" s="175" t="s">
        <v>120</v>
      </c>
      <c r="F164" s="175" t="n">
        <v>0</v>
      </c>
      <c r="G164" s="175" t="n">
        <v>1</v>
      </c>
      <c r="H164" s="166" t="s">
        <v>119</v>
      </c>
      <c r="I164" s="181" t="n">
        <v>50000</v>
      </c>
      <c r="J164" s="181" t="n">
        <v>28000</v>
      </c>
      <c r="K164" s="168" t="n">
        <v>22000</v>
      </c>
      <c r="L164" s="185" t="n">
        <v>50000</v>
      </c>
      <c r="M164" s="181"/>
      <c r="N164" s="182"/>
      <c r="O164" s="166"/>
    </row>
    <row r="165" customFormat="false" ht="15" hidden="true" customHeight="true" outlineLevel="0" collapsed="false">
      <c r="B165" s="162" t="n">
        <v>2025</v>
      </c>
      <c r="C165" s="163" t="n">
        <v>6</v>
      </c>
      <c r="D165" s="180" t="s">
        <v>56</v>
      </c>
      <c r="E165" s="175" t="s">
        <v>125</v>
      </c>
      <c r="F165" s="175" t="n">
        <v>0</v>
      </c>
      <c r="G165" s="175" t="n">
        <v>1</v>
      </c>
      <c r="H165" s="166" t="s">
        <v>124</v>
      </c>
      <c r="I165" s="181" t="n">
        <v>35000</v>
      </c>
      <c r="J165" s="181" t="n">
        <v>0</v>
      </c>
      <c r="K165" s="168" t="n">
        <v>30000</v>
      </c>
      <c r="L165" s="185" t="n">
        <v>30000</v>
      </c>
      <c r="M165" s="181" t="n">
        <v>-5000</v>
      </c>
      <c r="N165" s="182" t="s">
        <v>159</v>
      </c>
      <c r="O165" s="166"/>
    </row>
    <row r="166" customFormat="false" ht="15" hidden="true" customHeight="true" outlineLevel="0" collapsed="false">
      <c r="B166" s="162" t="n">
        <v>2025</v>
      </c>
      <c r="C166" s="163" t="n">
        <v>6</v>
      </c>
      <c r="D166" s="180" t="s">
        <v>59</v>
      </c>
      <c r="E166" s="175" t="s">
        <v>132</v>
      </c>
      <c r="F166" s="175" t="s">
        <v>151</v>
      </c>
      <c r="G166" s="175" t="n">
        <v>0</v>
      </c>
      <c r="H166" s="166" t="s">
        <v>131</v>
      </c>
      <c r="I166" s="181" t="n">
        <v>30000</v>
      </c>
      <c r="J166" s="181" t="n">
        <v>22104</v>
      </c>
      <c r="K166" s="168" t="n">
        <v>7896</v>
      </c>
      <c r="L166" s="185" t="n">
        <v>30000</v>
      </c>
      <c r="M166" s="181"/>
      <c r="N166" s="182"/>
      <c r="O166" s="166"/>
    </row>
    <row r="167" customFormat="false" ht="15" hidden="true" customHeight="true" outlineLevel="0" collapsed="false">
      <c r="B167" s="162" t="n">
        <v>2025</v>
      </c>
      <c r="C167" s="163" t="n">
        <v>6</v>
      </c>
      <c r="D167" s="180" t="s">
        <v>59</v>
      </c>
      <c r="E167" s="175" t="n">
        <v>0</v>
      </c>
      <c r="F167" s="175"/>
      <c r="G167" s="175" t="n">
        <v>0</v>
      </c>
      <c r="H167" s="166" t="s">
        <v>62</v>
      </c>
      <c r="I167" s="181" t="n">
        <v>0</v>
      </c>
      <c r="J167" s="181" t="n">
        <v>0</v>
      </c>
      <c r="K167" s="168" t="n">
        <v>0</v>
      </c>
      <c r="L167" s="185" t="n">
        <v>0</v>
      </c>
      <c r="M167" s="181"/>
      <c r="N167" s="182"/>
      <c r="O167" s="166"/>
    </row>
    <row r="168" customFormat="false" ht="15" hidden="true" customHeight="true" outlineLevel="0" collapsed="false">
      <c r="B168" s="162" t="n">
        <v>2025</v>
      </c>
      <c r="C168" s="163" t="n">
        <v>6</v>
      </c>
      <c r="D168" s="180" t="s">
        <v>59</v>
      </c>
      <c r="E168" s="175" t="s">
        <v>130</v>
      </c>
      <c r="F168" s="175" t="s">
        <v>152</v>
      </c>
      <c r="G168" s="175" t="n">
        <v>0</v>
      </c>
      <c r="H168" s="166" t="s">
        <v>129</v>
      </c>
      <c r="I168" s="181" t="n">
        <v>40000</v>
      </c>
      <c r="J168" s="181" t="n">
        <v>22104</v>
      </c>
      <c r="K168" s="168" t="n">
        <v>17896</v>
      </c>
      <c r="L168" s="185" t="n">
        <v>40000</v>
      </c>
      <c r="M168" s="181"/>
      <c r="N168" s="182"/>
      <c r="O168" s="166"/>
    </row>
    <row r="169" customFormat="false" ht="15" hidden="true" customHeight="true" outlineLevel="0" collapsed="false">
      <c r="B169" s="162" t="n">
        <v>2025</v>
      </c>
      <c r="C169" s="163" t="n">
        <v>6</v>
      </c>
      <c r="D169" s="180" t="s">
        <v>59</v>
      </c>
      <c r="E169" s="175" t="n">
        <v>0</v>
      </c>
      <c r="F169" s="175" t="n">
        <v>0</v>
      </c>
      <c r="G169" s="175" t="n">
        <v>0</v>
      </c>
      <c r="H169" s="166" t="s">
        <v>134</v>
      </c>
      <c r="I169" s="181" t="n">
        <v>15000</v>
      </c>
      <c r="J169" s="181" t="n">
        <v>0</v>
      </c>
      <c r="K169" s="168" t="n">
        <v>15000</v>
      </c>
      <c r="L169" s="185" t="n">
        <v>15000</v>
      </c>
      <c r="M169" s="181"/>
      <c r="N169" s="182"/>
      <c r="O169" s="166"/>
    </row>
    <row r="170" customFormat="false" ht="15" hidden="true" customHeight="true" outlineLevel="0" collapsed="false">
      <c r="B170" s="162" t="n">
        <v>2025</v>
      </c>
      <c r="C170" s="163" t="n">
        <v>6</v>
      </c>
      <c r="D170" s="180" t="s">
        <v>59</v>
      </c>
      <c r="E170" s="175" t="s">
        <v>60</v>
      </c>
      <c r="F170" s="175" t="s">
        <v>61</v>
      </c>
      <c r="G170" s="175" t="n">
        <v>0</v>
      </c>
      <c r="H170" s="183" t="s">
        <v>133</v>
      </c>
      <c r="I170" s="181" t="n">
        <v>50000</v>
      </c>
      <c r="J170" s="181" t="n">
        <v>30000</v>
      </c>
      <c r="K170" s="168" t="n">
        <v>20000</v>
      </c>
      <c r="L170" s="185" t="n">
        <v>50000</v>
      </c>
      <c r="M170" s="181"/>
      <c r="N170" s="182"/>
      <c r="O170" s="166"/>
    </row>
    <row r="171" customFormat="false" ht="15" hidden="true" customHeight="true" outlineLevel="0" collapsed="false">
      <c r="B171" s="162" t="n">
        <v>2025</v>
      </c>
      <c r="C171" s="163" t="n">
        <v>6</v>
      </c>
      <c r="D171" s="180" t="s">
        <v>59</v>
      </c>
      <c r="E171" s="175" t="s">
        <v>57</v>
      </c>
      <c r="F171" s="175" t="s">
        <v>153</v>
      </c>
      <c r="G171" s="175" t="n">
        <v>0</v>
      </c>
      <c r="H171" s="183" t="s">
        <v>55</v>
      </c>
      <c r="I171" s="181" t="n">
        <v>50000</v>
      </c>
      <c r="J171" s="181" t="n">
        <v>30000</v>
      </c>
      <c r="K171" s="168" t="n">
        <v>20000</v>
      </c>
      <c r="L171" s="185" t="n">
        <v>50000</v>
      </c>
      <c r="M171" s="181"/>
      <c r="N171" s="182"/>
      <c r="O171" s="166"/>
    </row>
    <row r="172" customFormat="false" ht="16.5" hidden="true" customHeight="false" outlineLevel="0" collapsed="false">
      <c r="B172" s="162" t="n">
        <v>2025</v>
      </c>
      <c r="C172" s="163" t="n">
        <v>7</v>
      </c>
      <c r="D172" s="180" t="s">
        <v>56</v>
      </c>
      <c r="E172" s="175" t="s">
        <v>80</v>
      </c>
      <c r="F172" s="175" t="n">
        <v>96358353</v>
      </c>
      <c r="G172" s="175" t="n">
        <v>1</v>
      </c>
      <c r="H172" s="166" t="s">
        <v>79</v>
      </c>
      <c r="I172" s="181" t="n">
        <v>57500</v>
      </c>
      <c r="J172" s="181" t="n">
        <v>40000</v>
      </c>
      <c r="K172" s="168" t="n">
        <v>15800</v>
      </c>
      <c r="L172" s="185" t="n">
        <v>55800</v>
      </c>
      <c r="M172" s="181" t="n">
        <v>-1700</v>
      </c>
      <c r="N172" s="182" t="s">
        <v>173</v>
      </c>
      <c r="O172" s="166"/>
    </row>
    <row r="173" customFormat="false" ht="16.5" hidden="true" customHeight="false" outlineLevel="0" collapsed="false">
      <c r="B173" s="162" t="n">
        <v>2025</v>
      </c>
      <c r="C173" s="163" t="n">
        <v>7</v>
      </c>
      <c r="D173" s="180" t="s">
        <v>82</v>
      </c>
      <c r="E173" s="175" t="s">
        <v>83</v>
      </c>
      <c r="F173" s="175" t="n">
        <v>95529415</v>
      </c>
      <c r="G173" s="175" t="n">
        <v>0</v>
      </c>
      <c r="H173" s="166" t="s">
        <v>81</v>
      </c>
      <c r="I173" s="181" t="n">
        <v>75000</v>
      </c>
      <c r="J173" s="181" t="n">
        <v>2670</v>
      </c>
      <c r="K173" s="168" t="n">
        <v>72330</v>
      </c>
      <c r="L173" s="185" t="n">
        <v>75000</v>
      </c>
      <c r="M173" s="181"/>
      <c r="N173" s="182" t="s">
        <v>174</v>
      </c>
      <c r="O173" s="166"/>
    </row>
    <row r="174" customFormat="false" ht="16.5" hidden="true" customHeight="false" outlineLevel="0" collapsed="false">
      <c r="B174" s="162" t="n">
        <v>2025</v>
      </c>
      <c r="C174" s="163" t="n">
        <v>7</v>
      </c>
      <c r="D174" s="180" t="s">
        <v>56</v>
      </c>
      <c r="E174" s="175" t="s">
        <v>84</v>
      </c>
      <c r="F174" s="175" t="n">
        <v>95787183</v>
      </c>
      <c r="G174" s="175" t="n">
        <v>1</v>
      </c>
      <c r="H174" s="166" t="s">
        <v>73</v>
      </c>
      <c r="I174" s="181" t="n">
        <v>22104</v>
      </c>
      <c r="J174" s="181" t="n">
        <v>22104</v>
      </c>
      <c r="K174" s="168" t="n">
        <v>0</v>
      </c>
      <c r="L174" s="185" t="n">
        <v>22104</v>
      </c>
      <c r="M174" s="181"/>
      <c r="N174" s="182"/>
      <c r="O174" s="166"/>
    </row>
    <row r="175" customFormat="false" ht="15" hidden="true" customHeight="true" outlineLevel="0" collapsed="false">
      <c r="B175" s="162" t="n">
        <v>2025</v>
      </c>
      <c r="C175" s="163" t="n">
        <v>7</v>
      </c>
      <c r="D175" s="180" t="s">
        <v>82</v>
      </c>
      <c r="E175" s="175" t="s">
        <v>86</v>
      </c>
      <c r="F175" s="175" t="n">
        <v>95532064</v>
      </c>
      <c r="G175" s="175" t="n">
        <v>1</v>
      </c>
      <c r="H175" s="166" t="s">
        <v>85</v>
      </c>
      <c r="I175" s="181" t="n">
        <v>48000</v>
      </c>
      <c r="J175" s="181" t="n">
        <v>1670</v>
      </c>
      <c r="K175" s="168" t="n">
        <v>46330</v>
      </c>
      <c r="L175" s="185" t="n">
        <v>48000</v>
      </c>
      <c r="M175" s="181"/>
      <c r="N175" s="182"/>
      <c r="O175" s="166"/>
    </row>
    <row r="176" customFormat="false" ht="15" hidden="true" customHeight="true" outlineLevel="0" collapsed="false">
      <c r="B176" s="162" t="n">
        <v>2025</v>
      </c>
      <c r="C176" s="163" t="n">
        <v>7</v>
      </c>
      <c r="D176" s="180" t="s">
        <v>82</v>
      </c>
      <c r="E176" s="175" t="s">
        <v>88</v>
      </c>
      <c r="F176" s="175" t="n">
        <v>95532066</v>
      </c>
      <c r="G176" s="175" t="n">
        <v>1</v>
      </c>
      <c r="H176" s="166" t="s">
        <v>87</v>
      </c>
      <c r="I176" s="181" t="n">
        <v>52000</v>
      </c>
      <c r="J176" s="181" t="n">
        <v>40000</v>
      </c>
      <c r="K176" s="168" t="n">
        <v>12000</v>
      </c>
      <c r="L176" s="185" t="n">
        <v>52000</v>
      </c>
      <c r="M176" s="181"/>
      <c r="N176" s="182"/>
      <c r="O176" s="166"/>
    </row>
    <row r="177" customFormat="false" ht="15" hidden="true" customHeight="true" outlineLevel="0" collapsed="false">
      <c r="B177" s="162" t="n">
        <v>2025</v>
      </c>
      <c r="C177" s="163" t="n">
        <v>7</v>
      </c>
      <c r="D177" s="180" t="s">
        <v>82</v>
      </c>
      <c r="E177" s="175" t="s">
        <v>90</v>
      </c>
      <c r="F177" s="175" t="n">
        <v>0</v>
      </c>
      <c r="G177" s="175" t="n">
        <v>1</v>
      </c>
      <c r="H177" s="166" t="s">
        <v>89</v>
      </c>
      <c r="I177" s="181" t="n">
        <v>34500</v>
      </c>
      <c r="J177" s="181" t="n">
        <v>3450</v>
      </c>
      <c r="K177" s="168" t="n">
        <v>0</v>
      </c>
      <c r="L177" s="185" t="n">
        <v>3450</v>
      </c>
      <c r="M177" s="181" t="n">
        <v>-31050</v>
      </c>
      <c r="N177" s="182" t="s">
        <v>175</v>
      </c>
      <c r="O177" s="166"/>
    </row>
    <row r="178" customFormat="false" ht="15" hidden="true" customHeight="true" outlineLevel="0" collapsed="false">
      <c r="B178" s="162" t="n">
        <v>2025</v>
      </c>
      <c r="C178" s="163" t="n">
        <v>7</v>
      </c>
      <c r="D178" s="180" t="s">
        <v>82</v>
      </c>
      <c r="E178" s="175" t="s">
        <v>92</v>
      </c>
      <c r="F178" s="175" t="n">
        <v>0</v>
      </c>
      <c r="G178" s="175" t="n">
        <v>1</v>
      </c>
      <c r="H178" s="166" t="s">
        <v>91</v>
      </c>
      <c r="I178" s="181" t="n">
        <v>38000</v>
      </c>
      <c r="J178" s="181" t="n">
        <v>1603</v>
      </c>
      <c r="K178" s="168" t="n">
        <v>36397</v>
      </c>
      <c r="L178" s="185" t="n">
        <v>38000</v>
      </c>
      <c r="M178" s="181"/>
      <c r="N178" s="182" t="s">
        <v>176</v>
      </c>
      <c r="O178" s="166"/>
    </row>
    <row r="179" customFormat="false" ht="15" hidden="true" customHeight="true" outlineLevel="0" collapsed="false">
      <c r="B179" s="162" t="n">
        <v>2025</v>
      </c>
      <c r="C179" s="163" t="n">
        <v>7</v>
      </c>
      <c r="D179" s="180" t="s">
        <v>69</v>
      </c>
      <c r="E179" s="175" t="s">
        <v>94</v>
      </c>
      <c r="F179" s="175" t="n">
        <v>95532077</v>
      </c>
      <c r="G179" s="175" t="n">
        <v>1</v>
      </c>
      <c r="H179" s="166" t="s">
        <v>93</v>
      </c>
      <c r="I179" s="181" t="n">
        <v>46000</v>
      </c>
      <c r="J179" s="181" t="n">
        <v>2335</v>
      </c>
      <c r="K179" s="168" t="n">
        <v>43665</v>
      </c>
      <c r="L179" s="185" t="n">
        <v>46000</v>
      </c>
      <c r="M179" s="181"/>
      <c r="N179" s="182"/>
      <c r="O179" s="166"/>
    </row>
    <row r="180" customFormat="false" ht="15" hidden="true" customHeight="true" outlineLevel="0" collapsed="false">
      <c r="B180" s="162" t="n">
        <v>2025</v>
      </c>
      <c r="C180" s="163" t="n">
        <v>7</v>
      </c>
      <c r="D180" s="180" t="s">
        <v>34</v>
      </c>
      <c r="E180" s="175" t="s">
        <v>96</v>
      </c>
      <c r="F180" s="175" t="n">
        <v>95693810</v>
      </c>
      <c r="G180" s="175" t="n">
        <v>1</v>
      </c>
      <c r="H180" s="166" t="s">
        <v>95</v>
      </c>
      <c r="I180" s="181" t="n">
        <v>43000</v>
      </c>
      <c r="J180" s="181" t="n">
        <v>2000</v>
      </c>
      <c r="K180" s="168" t="n">
        <v>41000</v>
      </c>
      <c r="L180" s="185" t="n">
        <v>43000</v>
      </c>
      <c r="M180" s="181"/>
      <c r="N180" s="182"/>
      <c r="O180" s="166"/>
    </row>
    <row r="181" customFormat="false" ht="15" hidden="true" customHeight="true" outlineLevel="0" collapsed="false">
      <c r="B181" s="162" t="n">
        <v>2025</v>
      </c>
      <c r="C181" s="163" t="n">
        <v>7</v>
      </c>
      <c r="D181" s="180" t="s">
        <v>98</v>
      </c>
      <c r="E181" s="175" t="s">
        <v>99</v>
      </c>
      <c r="F181" s="175" t="s">
        <v>148</v>
      </c>
      <c r="G181" s="175" t="n">
        <v>1</v>
      </c>
      <c r="H181" s="166" t="s">
        <v>97</v>
      </c>
      <c r="I181" s="181" t="n">
        <v>57500</v>
      </c>
      <c r="J181" s="181" t="n">
        <v>35000</v>
      </c>
      <c r="K181" s="168" t="n">
        <v>22500</v>
      </c>
      <c r="L181" s="185" t="n">
        <v>57500</v>
      </c>
      <c r="M181" s="181"/>
      <c r="N181" s="182"/>
      <c r="O181" s="166"/>
    </row>
    <row r="182" customFormat="false" ht="15" hidden="true" customHeight="true" outlineLevel="0" collapsed="false">
      <c r="B182" s="162" t="n">
        <v>2025</v>
      </c>
      <c r="C182" s="163" t="n">
        <v>7</v>
      </c>
      <c r="D182" s="180" t="s">
        <v>51</v>
      </c>
      <c r="E182" s="175" t="s">
        <v>101</v>
      </c>
      <c r="F182" s="175" t="n">
        <v>97189681</v>
      </c>
      <c r="G182" s="175" t="n">
        <v>1</v>
      </c>
      <c r="H182" s="166" t="s">
        <v>100</v>
      </c>
      <c r="I182" s="181" t="n">
        <v>40000</v>
      </c>
      <c r="J182" s="181" t="n">
        <v>33000</v>
      </c>
      <c r="K182" s="168" t="n">
        <v>7000</v>
      </c>
      <c r="L182" s="185" t="n">
        <v>40000</v>
      </c>
      <c r="M182" s="181"/>
      <c r="N182" s="182"/>
      <c r="O182" s="166"/>
    </row>
    <row r="183" customFormat="false" ht="15" hidden="true" customHeight="true" outlineLevel="0" collapsed="false">
      <c r="B183" s="162" t="n">
        <v>2025</v>
      </c>
      <c r="C183" s="163" t="n">
        <v>7</v>
      </c>
      <c r="D183" s="180" t="s">
        <v>34</v>
      </c>
      <c r="E183" s="175" t="n">
        <v>0</v>
      </c>
      <c r="F183" s="175" t="n">
        <v>0</v>
      </c>
      <c r="G183" s="175" t="n">
        <v>1</v>
      </c>
      <c r="H183" s="166" t="s">
        <v>102</v>
      </c>
      <c r="I183" s="181" t="n">
        <v>40000</v>
      </c>
      <c r="J183" s="181" t="n">
        <v>0</v>
      </c>
      <c r="K183" s="168" t="n">
        <v>40000</v>
      </c>
      <c r="L183" s="185" t="n">
        <v>40000</v>
      </c>
      <c r="M183" s="181"/>
      <c r="N183" s="182"/>
      <c r="O183" s="166"/>
    </row>
    <row r="184" customFormat="false" ht="15" hidden="true" customHeight="true" outlineLevel="0" collapsed="false">
      <c r="B184" s="162" t="n">
        <v>2025</v>
      </c>
      <c r="C184" s="163" t="n">
        <v>7</v>
      </c>
      <c r="D184" s="180" t="s">
        <v>69</v>
      </c>
      <c r="E184" s="175" t="n">
        <v>0</v>
      </c>
      <c r="F184" s="175" t="n">
        <v>0</v>
      </c>
      <c r="G184" s="175" t="n">
        <v>1</v>
      </c>
      <c r="H184" s="166" t="s">
        <v>103</v>
      </c>
      <c r="I184" s="181" t="n">
        <v>50000</v>
      </c>
      <c r="J184" s="181" t="n">
        <v>2335</v>
      </c>
      <c r="K184" s="168" t="n">
        <v>47665</v>
      </c>
      <c r="L184" s="185" t="n">
        <v>50000</v>
      </c>
      <c r="M184" s="181"/>
      <c r="N184" s="182"/>
      <c r="O184" s="166"/>
    </row>
    <row r="185" customFormat="false" ht="15" hidden="true" customHeight="true" outlineLevel="0" collapsed="false">
      <c r="B185" s="162" t="n">
        <v>2025</v>
      </c>
      <c r="C185" s="163" t="n">
        <v>7</v>
      </c>
      <c r="D185" s="180" t="s">
        <v>69</v>
      </c>
      <c r="E185" s="175" t="n">
        <v>0</v>
      </c>
      <c r="F185" s="175" t="n">
        <v>0</v>
      </c>
      <c r="G185" s="175" t="n">
        <v>1</v>
      </c>
      <c r="H185" s="195" t="s">
        <v>123</v>
      </c>
      <c r="I185" s="181" t="n">
        <v>11500</v>
      </c>
      <c r="J185" s="181" t="n">
        <v>6631</v>
      </c>
      <c r="K185" s="168" t="n">
        <v>4869</v>
      </c>
      <c r="L185" s="185" t="n">
        <v>11500</v>
      </c>
      <c r="M185" s="181"/>
      <c r="N185" s="196" t="s">
        <v>177</v>
      </c>
      <c r="O185" s="197"/>
    </row>
    <row r="186" customFormat="false" ht="15" hidden="true" customHeight="true" outlineLevel="0" collapsed="false">
      <c r="B186" s="162" t="n">
        <v>2025</v>
      </c>
      <c r="C186" s="163" t="n">
        <v>7</v>
      </c>
      <c r="D186" s="180" t="s">
        <v>69</v>
      </c>
      <c r="E186" s="175" t="n">
        <v>0</v>
      </c>
      <c r="F186" s="175" t="n">
        <v>0</v>
      </c>
      <c r="G186" s="175" t="n">
        <v>1</v>
      </c>
      <c r="H186" s="195" t="s">
        <v>121</v>
      </c>
      <c r="I186" s="181" t="n">
        <v>5333</v>
      </c>
      <c r="J186" s="181" t="n">
        <v>0</v>
      </c>
      <c r="K186" s="168" t="n">
        <v>5333</v>
      </c>
      <c r="L186" s="185" t="n">
        <v>6670</v>
      </c>
      <c r="M186" s="181"/>
      <c r="N186" s="196" t="s">
        <v>178</v>
      </c>
      <c r="O186" s="197"/>
    </row>
    <row r="187" customFormat="false" ht="15" hidden="true" customHeight="true" outlineLevel="0" collapsed="false">
      <c r="B187" s="162" t="n">
        <v>2025</v>
      </c>
      <c r="C187" s="163" t="n">
        <v>7</v>
      </c>
      <c r="D187" s="180" t="s">
        <v>59</v>
      </c>
      <c r="E187" s="175" t="n">
        <v>0</v>
      </c>
      <c r="F187" s="175" t="n">
        <v>0</v>
      </c>
      <c r="G187" s="175" t="n">
        <v>1</v>
      </c>
      <c r="H187" s="195" t="s">
        <v>126</v>
      </c>
      <c r="I187" s="181" t="n">
        <v>30000</v>
      </c>
      <c r="J187" s="181" t="n">
        <v>0</v>
      </c>
      <c r="K187" s="168" t="n">
        <v>30000</v>
      </c>
      <c r="L187" s="185" t="n">
        <v>30000</v>
      </c>
      <c r="M187" s="181"/>
      <c r="N187" s="196" t="s">
        <v>170</v>
      </c>
      <c r="O187" s="197"/>
    </row>
    <row r="188" customFormat="false" ht="15" hidden="true" customHeight="true" outlineLevel="0" collapsed="false">
      <c r="B188" s="162" t="n">
        <v>2025</v>
      </c>
      <c r="C188" s="163" t="n">
        <v>7</v>
      </c>
      <c r="D188" s="180" t="s">
        <v>112</v>
      </c>
      <c r="E188" s="175" t="s">
        <v>113</v>
      </c>
      <c r="F188" s="175" t="n">
        <v>0</v>
      </c>
      <c r="G188" s="175" t="n">
        <v>1</v>
      </c>
      <c r="H188" s="166" t="s">
        <v>111</v>
      </c>
      <c r="I188" s="181" t="n">
        <v>30000</v>
      </c>
      <c r="J188" s="181" t="n">
        <v>20000</v>
      </c>
      <c r="K188" s="168" t="n">
        <v>0</v>
      </c>
      <c r="L188" s="185" t="n">
        <v>20000</v>
      </c>
      <c r="M188" s="181" t="n">
        <v>-10000</v>
      </c>
      <c r="N188" s="182" t="s">
        <v>173</v>
      </c>
      <c r="O188" s="166"/>
    </row>
    <row r="189" customFormat="false" ht="15" hidden="true" customHeight="true" outlineLevel="0" collapsed="false">
      <c r="B189" s="162" t="n">
        <v>2025</v>
      </c>
      <c r="C189" s="163" t="n">
        <v>7</v>
      </c>
      <c r="D189" s="180" t="s">
        <v>43</v>
      </c>
      <c r="E189" s="175" t="n">
        <v>0</v>
      </c>
      <c r="F189" s="175" t="n">
        <v>0</v>
      </c>
      <c r="G189" s="175" t="n">
        <v>1</v>
      </c>
      <c r="H189" s="166" t="s">
        <v>115</v>
      </c>
      <c r="I189" s="181" t="n">
        <v>30000</v>
      </c>
      <c r="J189" s="181" t="n">
        <v>0</v>
      </c>
      <c r="K189" s="168" t="n">
        <v>30000</v>
      </c>
      <c r="L189" s="185" t="n">
        <v>30000</v>
      </c>
      <c r="M189" s="181"/>
      <c r="N189" s="182"/>
      <c r="O189" s="166"/>
    </row>
    <row r="190" customFormat="false" ht="15" hidden="true" customHeight="true" outlineLevel="0" collapsed="false">
      <c r="B190" s="162" t="n">
        <v>2025</v>
      </c>
      <c r="C190" s="163" t="n">
        <v>7</v>
      </c>
      <c r="D190" s="180" t="s">
        <v>34</v>
      </c>
      <c r="E190" s="175" t="n">
        <v>0</v>
      </c>
      <c r="F190" s="175" t="n">
        <v>0</v>
      </c>
      <c r="G190" s="175" t="n">
        <v>1</v>
      </c>
      <c r="H190" s="166" t="s">
        <v>116</v>
      </c>
      <c r="I190" s="181" t="n">
        <v>43000</v>
      </c>
      <c r="J190" s="181" t="n">
        <v>1603</v>
      </c>
      <c r="K190" s="168" t="n">
        <v>41397</v>
      </c>
      <c r="L190" s="185" t="n">
        <v>43000</v>
      </c>
      <c r="M190" s="181"/>
      <c r="N190" s="182"/>
      <c r="O190" s="166"/>
    </row>
    <row r="191" customFormat="false" ht="15" hidden="true" customHeight="true" outlineLevel="0" collapsed="false">
      <c r="B191" s="162" t="n">
        <v>2025</v>
      </c>
      <c r="C191" s="163" t="n">
        <v>7</v>
      </c>
      <c r="D191" s="180" t="s">
        <v>69</v>
      </c>
      <c r="E191" s="175" t="s">
        <v>108</v>
      </c>
      <c r="F191" s="175" t="n">
        <v>0</v>
      </c>
      <c r="G191" s="175" t="n">
        <v>1</v>
      </c>
      <c r="H191" s="166" t="s">
        <v>107</v>
      </c>
      <c r="I191" s="181" t="n">
        <v>50000</v>
      </c>
      <c r="J191" s="181" t="n">
        <v>1603</v>
      </c>
      <c r="K191" s="168" t="n">
        <v>48397</v>
      </c>
      <c r="L191" s="185" t="n">
        <v>50000</v>
      </c>
      <c r="M191" s="181"/>
      <c r="N191" s="182"/>
      <c r="O191" s="166"/>
    </row>
    <row r="192" customFormat="false" ht="15" hidden="true" customHeight="true" outlineLevel="0" collapsed="false">
      <c r="B192" s="162" t="n">
        <v>2025</v>
      </c>
      <c r="C192" s="163" t="n">
        <v>7</v>
      </c>
      <c r="D192" s="180" t="s">
        <v>69</v>
      </c>
      <c r="E192" s="175" t="n">
        <v>0</v>
      </c>
      <c r="F192" s="175" t="n">
        <v>0</v>
      </c>
      <c r="G192" s="175" t="n">
        <v>1</v>
      </c>
      <c r="H192" s="166" t="s">
        <v>122</v>
      </c>
      <c r="I192" s="181" t="n">
        <v>50000</v>
      </c>
      <c r="J192" s="181" t="n">
        <v>2335</v>
      </c>
      <c r="K192" s="168" t="n">
        <v>47665</v>
      </c>
      <c r="L192" s="185" t="n">
        <v>50000</v>
      </c>
      <c r="M192" s="181"/>
      <c r="N192" s="182"/>
      <c r="O192" s="166"/>
    </row>
    <row r="193" customFormat="false" ht="15" hidden="true" customHeight="true" outlineLevel="0" collapsed="false">
      <c r="B193" s="162" t="n">
        <v>2025</v>
      </c>
      <c r="C193" s="163" t="n">
        <v>7</v>
      </c>
      <c r="D193" s="180" t="s">
        <v>69</v>
      </c>
      <c r="E193" s="175" t="s">
        <v>120</v>
      </c>
      <c r="F193" s="175" t="n">
        <v>0</v>
      </c>
      <c r="G193" s="175" t="n">
        <v>1</v>
      </c>
      <c r="H193" s="166" t="s">
        <v>119</v>
      </c>
      <c r="I193" s="181" t="n">
        <v>50000</v>
      </c>
      <c r="J193" s="181" t="n">
        <v>28000</v>
      </c>
      <c r="K193" s="168" t="n">
        <v>7000</v>
      </c>
      <c r="L193" s="185" t="n">
        <v>35000</v>
      </c>
      <c r="M193" s="181" t="n">
        <v>-15000</v>
      </c>
      <c r="N193" s="182" t="s">
        <v>179</v>
      </c>
      <c r="O193" s="166"/>
    </row>
    <row r="194" customFormat="false" ht="15" hidden="true" customHeight="true" outlineLevel="0" collapsed="false">
      <c r="B194" s="162" t="n">
        <v>2025</v>
      </c>
      <c r="C194" s="163" t="n">
        <v>7</v>
      </c>
      <c r="D194" s="180" t="s">
        <v>56</v>
      </c>
      <c r="E194" s="175" t="s">
        <v>125</v>
      </c>
      <c r="F194" s="175" t="n">
        <v>0</v>
      </c>
      <c r="G194" s="175" t="n">
        <v>1</v>
      </c>
      <c r="H194" s="166" t="s">
        <v>124</v>
      </c>
      <c r="I194" s="181" t="n">
        <v>45000</v>
      </c>
      <c r="J194" s="181" t="n">
        <v>0</v>
      </c>
      <c r="K194" s="168" t="n">
        <v>45000</v>
      </c>
      <c r="L194" s="185" t="n">
        <v>45000</v>
      </c>
      <c r="M194" s="181"/>
      <c r="N194" s="182"/>
      <c r="O194" s="166"/>
    </row>
    <row r="195" customFormat="false" ht="15" hidden="true" customHeight="true" outlineLevel="0" collapsed="false">
      <c r="B195" s="162" t="n">
        <v>2025</v>
      </c>
      <c r="C195" s="163" t="n">
        <v>7</v>
      </c>
      <c r="D195" s="180" t="s">
        <v>59</v>
      </c>
      <c r="E195" s="175" t="s">
        <v>132</v>
      </c>
      <c r="F195" s="175" t="s">
        <v>151</v>
      </c>
      <c r="G195" s="175" t="n">
        <v>0</v>
      </c>
      <c r="H195" s="166" t="s">
        <v>131</v>
      </c>
      <c r="I195" s="181" t="n">
        <v>30000</v>
      </c>
      <c r="J195" s="181" t="n">
        <v>22104</v>
      </c>
      <c r="K195" s="168" t="n">
        <v>9696</v>
      </c>
      <c r="L195" s="185" t="n">
        <v>31800</v>
      </c>
      <c r="M195" s="181" t="n">
        <v>1800</v>
      </c>
      <c r="N195" s="182" t="s">
        <v>180</v>
      </c>
      <c r="O195" s="166"/>
    </row>
    <row r="196" customFormat="false" ht="15" hidden="true" customHeight="true" outlineLevel="0" collapsed="false">
      <c r="B196" s="162" t="n">
        <v>2025</v>
      </c>
      <c r="C196" s="163" t="n">
        <v>7</v>
      </c>
      <c r="D196" s="180" t="s">
        <v>59</v>
      </c>
      <c r="E196" s="175" t="n">
        <v>0</v>
      </c>
      <c r="F196" s="175"/>
      <c r="G196" s="175" t="n">
        <v>0</v>
      </c>
      <c r="H196" s="166" t="s">
        <v>62</v>
      </c>
      <c r="I196" s="181" t="n">
        <v>30000</v>
      </c>
      <c r="J196" s="181" t="n">
        <v>0</v>
      </c>
      <c r="K196" s="168" t="n">
        <v>30000</v>
      </c>
      <c r="L196" s="185" t="n">
        <v>30000</v>
      </c>
      <c r="M196" s="181"/>
      <c r="N196" s="182"/>
      <c r="O196" s="166"/>
    </row>
    <row r="197" customFormat="false" ht="15" hidden="true" customHeight="true" outlineLevel="0" collapsed="false">
      <c r="B197" s="162" t="n">
        <v>2025</v>
      </c>
      <c r="C197" s="163" t="n">
        <v>7</v>
      </c>
      <c r="D197" s="180" t="s">
        <v>59</v>
      </c>
      <c r="E197" s="175" t="s">
        <v>130</v>
      </c>
      <c r="F197" s="175" t="s">
        <v>152</v>
      </c>
      <c r="G197" s="175" t="n">
        <v>0</v>
      </c>
      <c r="H197" s="166" t="s">
        <v>129</v>
      </c>
      <c r="I197" s="181" t="n">
        <v>40000</v>
      </c>
      <c r="J197" s="181" t="n">
        <v>22104</v>
      </c>
      <c r="K197" s="168" t="n">
        <v>17896</v>
      </c>
      <c r="L197" s="185" t="n">
        <v>40000</v>
      </c>
      <c r="M197" s="181"/>
      <c r="N197" s="182"/>
      <c r="O197" s="166"/>
    </row>
    <row r="198" customFormat="false" ht="15" hidden="true" customHeight="true" outlineLevel="0" collapsed="false">
      <c r="B198" s="162" t="n">
        <v>2025</v>
      </c>
      <c r="C198" s="163" t="n">
        <v>7</v>
      </c>
      <c r="D198" s="180" t="s">
        <v>59</v>
      </c>
      <c r="E198" s="175" t="n">
        <v>0</v>
      </c>
      <c r="F198" s="175" t="n">
        <v>0</v>
      </c>
      <c r="G198" s="175" t="n">
        <v>0</v>
      </c>
      <c r="H198" s="166" t="s">
        <v>134</v>
      </c>
      <c r="I198" s="181" t="n">
        <v>30000</v>
      </c>
      <c r="J198" s="181" t="n">
        <v>0</v>
      </c>
      <c r="K198" s="168" t="n">
        <v>30000</v>
      </c>
      <c r="L198" s="185" t="n">
        <v>30000</v>
      </c>
      <c r="M198" s="181"/>
      <c r="N198" s="182"/>
      <c r="O198" s="166"/>
    </row>
    <row r="199" customFormat="false" ht="15" hidden="true" customHeight="true" outlineLevel="0" collapsed="false">
      <c r="B199" s="162" t="n">
        <v>2025</v>
      </c>
      <c r="C199" s="163" t="n">
        <v>7</v>
      </c>
      <c r="D199" s="180" t="s">
        <v>59</v>
      </c>
      <c r="E199" s="175" t="s">
        <v>60</v>
      </c>
      <c r="F199" s="175" t="s">
        <v>61</v>
      </c>
      <c r="G199" s="175" t="n">
        <v>0</v>
      </c>
      <c r="H199" s="183" t="s">
        <v>133</v>
      </c>
      <c r="I199" s="181" t="n">
        <v>50000</v>
      </c>
      <c r="J199" s="181" t="n">
        <v>30000</v>
      </c>
      <c r="K199" s="168" t="n">
        <v>20000</v>
      </c>
      <c r="L199" s="185" t="n">
        <v>50000</v>
      </c>
      <c r="M199" s="181"/>
      <c r="N199" s="182"/>
      <c r="O199" s="166"/>
    </row>
    <row r="200" customFormat="false" ht="15" hidden="true" customHeight="true" outlineLevel="0" collapsed="false">
      <c r="B200" s="162" t="n">
        <v>2025</v>
      </c>
      <c r="C200" s="163" t="n">
        <v>7</v>
      </c>
      <c r="D200" s="180" t="s">
        <v>59</v>
      </c>
      <c r="E200" s="175" t="s">
        <v>57</v>
      </c>
      <c r="F200" s="175" t="s">
        <v>153</v>
      </c>
      <c r="G200" s="175" t="n">
        <v>0</v>
      </c>
      <c r="H200" s="183" t="s">
        <v>55</v>
      </c>
      <c r="I200" s="181" t="n">
        <v>50000</v>
      </c>
      <c r="J200" s="181" t="n">
        <v>30000</v>
      </c>
      <c r="K200" s="168" t="n">
        <v>20000</v>
      </c>
      <c r="L200" s="185" t="n">
        <v>50000</v>
      </c>
      <c r="M200" s="181"/>
      <c r="N200" s="182"/>
      <c r="O200" s="166"/>
    </row>
    <row r="201" customFormat="false" ht="16.5" hidden="false" customHeight="false" outlineLevel="0" collapsed="false">
      <c r="B201" s="162" t="n">
        <v>2025</v>
      </c>
      <c r="C201" s="163" t="n">
        <v>8</v>
      </c>
      <c r="D201" s="180" t="s">
        <v>56</v>
      </c>
      <c r="E201" s="175" t="s">
        <v>80</v>
      </c>
      <c r="F201" s="175" t="n">
        <v>96358353</v>
      </c>
      <c r="G201" s="175" t="n">
        <v>1</v>
      </c>
      <c r="H201" s="166" t="s">
        <v>79</v>
      </c>
      <c r="I201" s="181" t="n">
        <f aca="false">VLOOKUP(H201,PersonelListesi!A$1:G$42,6,FALSE())</f>
        <v>57500</v>
      </c>
      <c r="J201" s="181" t="n">
        <f aca="false">VLOOKUP(H201,PersonelListesi!A$1:G$42,7,FALSE())</f>
        <v>40000</v>
      </c>
      <c r="K201" s="168" t="n">
        <f aca="false">I201-J201+bordro[[#This Row],[Eld. '[+/-']]]</f>
        <v>12500</v>
      </c>
      <c r="L201" s="185" t="n">
        <f aca="false">bordro[[#This Row],[E.]]+bordro[[#This Row],[SGK-BNK]]</f>
        <v>52500</v>
      </c>
      <c r="M201" s="181" t="n">
        <v>-5000</v>
      </c>
      <c r="N201" s="182" t="s">
        <v>181</v>
      </c>
      <c r="O201" s="166"/>
    </row>
    <row r="202" customFormat="false" ht="16.5" hidden="true" customHeight="false" outlineLevel="0" collapsed="false">
      <c r="B202" s="162" t="n">
        <v>2025</v>
      </c>
      <c r="C202" s="163" t="n">
        <v>8</v>
      </c>
      <c r="D202" s="180" t="str">
        <f aca="false">VLOOKUP(H202,PersonelListesi!A$1:K$46,4,FALSE())</f>
        <v>_D.ELEMAN</v>
      </c>
      <c r="E202" s="175" t="e">
        <f aca="false">VLOOKUP(H202,PersonelListesi!A$1:K$46,13,FALSE())</f>
        <v>#VALUE!</v>
      </c>
      <c r="F202" s="175" t="e">
        <f aca="false">VLOOKUP(H202,PersonelListesi!A$1:K$46,14,FALSE())</f>
        <v>#VALUE!</v>
      </c>
      <c r="G202" s="175" t="n">
        <v>0</v>
      </c>
      <c r="H202" s="166" t="s">
        <v>81</v>
      </c>
      <c r="I202" s="181" t="n">
        <f aca="false">VLOOKUP(H202,PersonelListesi!A$1:G$42,6,FALSE())</f>
        <v>75000</v>
      </c>
      <c r="J202" s="181" t="n">
        <f aca="false">VLOOKUP(H202,PersonelListesi!A$1:G$42,7,FALSE())</f>
        <v>2670</v>
      </c>
      <c r="K202" s="168" t="n">
        <f aca="false">I202-J202+bordro[[#This Row],[Eld. '[+/-']]]</f>
        <v>72330</v>
      </c>
      <c r="L202" s="185" t="n">
        <f aca="false">bordro[[#This Row],[E.]]+bordro[[#This Row],[SGK-BNK]]</f>
        <v>75000</v>
      </c>
      <c r="M202" s="181"/>
      <c r="N202" s="182"/>
      <c r="O202" s="166"/>
    </row>
    <row r="203" customFormat="false" ht="16.5" hidden="false" customHeight="false" outlineLevel="0" collapsed="false">
      <c r="B203" s="162" t="n">
        <v>2025</v>
      </c>
      <c r="C203" s="163" t="n">
        <v>8</v>
      </c>
      <c r="D203" s="180" t="str">
        <f aca="false">VLOOKUP(H203,PersonelListesi!A$1:K$46,4,FALSE())</f>
        <v>_MUHASEBE</v>
      </c>
      <c r="E203" s="175" t="e">
        <f aca="false">VLOOKUP(H203,PersonelListesi!A$1:K$46,13,FALSE())</f>
        <v>#VALUE!</v>
      </c>
      <c r="F203" s="175" t="e">
        <f aca="false">VLOOKUP(H203,PersonelListesi!A$1:K$46,14,FALSE())</f>
        <v>#VALUE!</v>
      </c>
      <c r="G203" s="175" t="n">
        <v>1</v>
      </c>
      <c r="H203" s="166" t="s">
        <v>73</v>
      </c>
      <c r="I203" s="181" t="n">
        <f aca="false">VLOOKUP(H203,PersonelListesi!A$1:G$42,6,FALSE())</f>
        <v>22104</v>
      </c>
      <c r="J203" s="181" t="n">
        <f aca="false">VLOOKUP(H203,PersonelListesi!A$1:G$42,7,FALSE())</f>
        <v>22104</v>
      </c>
      <c r="K203" s="168" t="n">
        <f aca="false">I203-J203+bordro[[#This Row],[Eld. '[+/-']]]</f>
        <v>0</v>
      </c>
      <c r="L203" s="185" t="n">
        <f aca="false">bordro[[#This Row],[E.]]+bordro[[#This Row],[SGK-BNK]]</f>
        <v>22104</v>
      </c>
      <c r="M203" s="181"/>
      <c r="N203" s="182"/>
      <c r="O203" s="166"/>
    </row>
    <row r="204" customFormat="false" ht="15" hidden="true" customHeight="true" outlineLevel="0" collapsed="false">
      <c r="B204" s="162" t="n">
        <v>2025</v>
      </c>
      <c r="C204" s="163" t="n">
        <v>8</v>
      </c>
      <c r="D204" s="180" t="str">
        <f aca="false">VLOOKUP(H204,PersonelListesi!A$1:K$46,4,FALSE())</f>
        <v>_D.ELEMAN</v>
      </c>
      <c r="E204" s="175" t="e">
        <f aca="false">VLOOKUP(H204,PersonelListesi!A$1:K$46,13,FALSE())</f>
        <v>#VALUE!</v>
      </c>
      <c r="F204" s="175" t="e">
        <f aca="false">VLOOKUP(H204,PersonelListesi!A$1:K$46,14,FALSE())</f>
        <v>#VALUE!</v>
      </c>
      <c r="G204" s="175" t="n">
        <v>1</v>
      </c>
      <c r="H204" s="166" t="s">
        <v>85</v>
      </c>
      <c r="I204" s="181" t="n">
        <f aca="false">VLOOKUP(H204,PersonelListesi!A$1:G$42,6,FALSE())</f>
        <v>48000</v>
      </c>
      <c r="J204" s="181" t="n">
        <f aca="false">VLOOKUP(H204,PersonelListesi!A$1:G$42,7,FALSE())</f>
        <v>1670</v>
      </c>
      <c r="K204" s="168" t="n">
        <f aca="false">I204-J204+bordro[[#This Row],[Eld. '[+/-']]]</f>
        <v>46330</v>
      </c>
      <c r="L204" s="185" t="n">
        <f aca="false">bordro[[#This Row],[E.]]+bordro[[#This Row],[SGK-BNK]]</f>
        <v>48000</v>
      </c>
      <c r="M204" s="181"/>
      <c r="N204" s="182"/>
      <c r="O204" s="166"/>
    </row>
    <row r="205" customFormat="false" ht="15" hidden="true" customHeight="true" outlineLevel="0" collapsed="false">
      <c r="B205" s="162" t="n">
        <v>2025</v>
      </c>
      <c r="C205" s="163" t="n">
        <v>8</v>
      </c>
      <c r="D205" s="180" t="str">
        <f aca="false">VLOOKUP(H205,PersonelListesi!A$1:K$46,4,FALSE())</f>
        <v>_D.ELEMAN</v>
      </c>
      <c r="E205" s="175" t="e">
        <f aca="false">VLOOKUP(H205,PersonelListesi!A$1:K$46,13,FALSE())</f>
        <v>#VALUE!</v>
      </c>
      <c r="F205" s="175" t="e">
        <f aca="false">VLOOKUP(H205,PersonelListesi!A$1:K$46,14,FALSE())</f>
        <v>#VALUE!</v>
      </c>
      <c r="G205" s="175" t="n">
        <v>1</v>
      </c>
      <c r="H205" s="166" t="s">
        <v>87</v>
      </c>
      <c r="I205" s="181" t="n">
        <f aca="false">VLOOKUP(H205,PersonelListesi!A$1:G$42,6,FALSE())</f>
        <v>52000</v>
      </c>
      <c r="J205" s="181" t="n">
        <f aca="false">VLOOKUP(H205,PersonelListesi!A$1:G$42,7,FALSE())</f>
        <v>40000</v>
      </c>
      <c r="K205" s="168" t="n">
        <f aca="false">I205-J205+bordro[[#This Row],[Eld. '[+/-']]]</f>
        <v>12000</v>
      </c>
      <c r="L205" s="185" t="n">
        <f aca="false">bordro[[#This Row],[E.]]+bordro[[#This Row],[SGK-BNK]]</f>
        <v>52000</v>
      </c>
      <c r="M205" s="181"/>
      <c r="N205" s="182"/>
      <c r="O205" s="166"/>
    </row>
    <row r="206" customFormat="false" ht="15" hidden="true" customHeight="true" outlineLevel="0" collapsed="false">
      <c r="B206" s="162" t="n">
        <v>2025</v>
      </c>
      <c r="C206" s="163" t="n">
        <v>8</v>
      </c>
      <c r="D206" s="180" t="str">
        <f aca="false">VLOOKUP(H206,PersonelListesi!A$1:K$46,4,FALSE())</f>
        <v>_D.ELEMAN</v>
      </c>
      <c r="E206" s="175" t="e">
        <f aca="false">VLOOKUP(H206,PersonelListesi!A$1:K$46,13,FALSE())</f>
        <v>#VALUE!</v>
      </c>
      <c r="F206" s="175" t="e">
        <f aca="false">VLOOKUP(H206,PersonelListesi!A$1:K$46,14,FALSE())</f>
        <v>#VALUE!</v>
      </c>
      <c r="G206" s="175" t="n">
        <v>1</v>
      </c>
      <c r="H206" s="166" t="s">
        <v>89</v>
      </c>
      <c r="I206" s="181" t="n">
        <f aca="false">VLOOKUP(H206,PersonelListesi!A$1:G$42,6,FALSE())</f>
        <v>34500</v>
      </c>
      <c r="J206" s="181" t="n">
        <v>0</v>
      </c>
      <c r="K206" s="168" t="n">
        <v>3450</v>
      </c>
      <c r="L206" s="185" t="n">
        <f aca="false">bordro[[#This Row],[E.]]+bordro[[#This Row],[SGK-BNK]]</f>
        <v>3450</v>
      </c>
      <c r="M206" s="181"/>
      <c r="N206" s="182" t="s">
        <v>182</v>
      </c>
      <c r="O206" s="166"/>
    </row>
    <row r="207" customFormat="false" ht="15" hidden="true" customHeight="true" outlineLevel="0" collapsed="false">
      <c r="B207" s="162" t="n">
        <v>2025</v>
      </c>
      <c r="C207" s="163" t="n">
        <v>8</v>
      </c>
      <c r="D207" s="180" t="str">
        <f aca="false">VLOOKUP(H207,PersonelListesi!A$1:K$46,4,FALSE())</f>
        <v>_D.ELEMAN</v>
      </c>
      <c r="E207" s="175" t="e">
        <f aca="false">VLOOKUP(H207,PersonelListesi!A$1:K$46,13,FALSE())</f>
        <v>#VALUE!</v>
      </c>
      <c r="F207" s="175" t="e">
        <f aca="false">VLOOKUP(H207,PersonelListesi!A$1:K$46,14,FALSE())</f>
        <v>#VALUE!</v>
      </c>
      <c r="G207" s="175" t="n">
        <v>1</v>
      </c>
      <c r="H207" s="166" t="s">
        <v>91</v>
      </c>
      <c r="I207" s="181" t="n">
        <f aca="false">VLOOKUP(H207,PersonelListesi!A$1:G$42,6,FALSE())</f>
        <v>34500</v>
      </c>
      <c r="J207" s="181" t="n">
        <f aca="false">VLOOKUP(H207,PersonelListesi!A$1:G$42,7,FALSE())</f>
        <v>1603</v>
      </c>
      <c r="K207" s="168" t="n">
        <f aca="false">I207-J207+bordro[[#This Row],[Eld. '[+/-']]]</f>
        <v>36397</v>
      </c>
      <c r="L207" s="185" t="n">
        <f aca="false">bordro[[#This Row],[E.]]+bordro[[#This Row],[SGK-BNK]]</f>
        <v>38000</v>
      </c>
      <c r="M207" s="181" t="n">
        <v>3500</v>
      </c>
      <c r="N207" s="182" t="s">
        <v>183</v>
      </c>
      <c r="O207" s="166"/>
    </row>
    <row r="208" customFormat="false" ht="15" hidden="false" customHeight="true" outlineLevel="0" collapsed="false">
      <c r="B208" s="162" t="n">
        <v>2025</v>
      </c>
      <c r="C208" s="163" t="n">
        <v>8</v>
      </c>
      <c r="D208" s="180" t="str">
        <f aca="false">VLOOKUP(H208,PersonelListesi!A$1:K$46,4,FALSE())</f>
        <v>_OPERATÖR</v>
      </c>
      <c r="E208" s="175" t="e">
        <f aca="false">VLOOKUP(H208,PersonelListesi!A$1:K$46,13,FALSE())</f>
        <v>#VALUE!</v>
      </c>
      <c r="F208" s="175" t="e">
        <f aca="false">VLOOKUP(H208,PersonelListesi!A$1:K$46,14,FALSE())</f>
        <v>#VALUE!</v>
      </c>
      <c r="G208" s="175" t="n">
        <v>1</v>
      </c>
      <c r="H208" s="166" t="s">
        <v>93</v>
      </c>
      <c r="I208" s="181" t="n">
        <f aca="false">VLOOKUP(H208,PersonelListesi!A$1:G$42,6,FALSE())</f>
        <v>46000</v>
      </c>
      <c r="J208" s="181" t="n">
        <f aca="false">VLOOKUP(H208,PersonelListesi!A$1:G$42,7,FALSE())</f>
        <v>2335</v>
      </c>
      <c r="K208" s="168" t="n">
        <f aca="false">I208-J208+bordro[[#This Row],[Eld. '[+/-']]]</f>
        <v>43665</v>
      </c>
      <c r="L208" s="185" t="n">
        <f aca="false">bordro[[#This Row],[E.]]+bordro[[#This Row],[SGK-BNK]]</f>
        <v>46000</v>
      </c>
      <c r="M208" s="181"/>
      <c r="N208" s="182"/>
      <c r="O208" s="166"/>
    </row>
    <row r="209" customFormat="false" ht="15" hidden="false" customHeight="true" outlineLevel="0" collapsed="false">
      <c r="B209" s="162" t="n">
        <v>2025</v>
      </c>
      <c r="C209" s="163" t="n">
        <v>8</v>
      </c>
      <c r="D209" s="180" t="str">
        <f aca="false">VLOOKUP(H209,PersonelListesi!A$1:K$46,4,FALSE())</f>
        <v>_ŞOFÖR</v>
      </c>
      <c r="E209" s="175" t="e">
        <f aca="false">VLOOKUP(H209,PersonelListesi!A$1:K$46,13,FALSE())</f>
        <v>#VALUE!</v>
      </c>
      <c r="F209" s="175" t="e">
        <f aca="false">VLOOKUP(H209,PersonelListesi!A$1:K$46,14,FALSE())</f>
        <v>#VALUE!</v>
      </c>
      <c r="G209" s="175" t="n">
        <v>1</v>
      </c>
      <c r="H209" s="166" t="s">
        <v>95</v>
      </c>
      <c r="I209" s="181" t="n">
        <f aca="false">VLOOKUP(H209,PersonelListesi!A$1:G$42,6,FALSE())</f>
        <v>43000</v>
      </c>
      <c r="J209" s="181" t="n">
        <f aca="false">VLOOKUP(H209,PersonelListesi!A$1:G$42,7,FALSE())</f>
        <v>2000</v>
      </c>
      <c r="K209" s="168" t="n">
        <f aca="false">I209-J209+bordro[[#This Row],[Eld. '[+/-']]]</f>
        <v>41000</v>
      </c>
      <c r="L209" s="185" t="n">
        <f aca="false">bordro[[#This Row],[E.]]+bordro[[#This Row],[SGK-BNK]]</f>
        <v>43000</v>
      </c>
      <c r="M209" s="181"/>
      <c r="N209" s="182"/>
      <c r="O209" s="166"/>
    </row>
    <row r="210" customFormat="false" ht="15" hidden="false" customHeight="true" outlineLevel="0" collapsed="false">
      <c r="B210" s="162" t="n">
        <v>2025</v>
      </c>
      <c r="C210" s="163" t="n">
        <v>8</v>
      </c>
      <c r="D210" s="180" t="str">
        <f aca="false">VLOOKUP(H210,PersonelListesi!A$1:K$46,4,FALSE())</f>
        <v>_MÜHNEDİS</v>
      </c>
      <c r="E210" s="175" t="e">
        <f aca="false">VLOOKUP(H210,PersonelListesi!A$1:K$46,13,FALSE())</f>
        <v>#VALUE!</v>
      </c>
      <c r="F210" s="175" t="e">
        <f aca="false">VLOOKUP(H210,PersonelListesi!A$1:K$46,14,FALSE())</f>
        <v>#VALUE!</v>
      </c>
      <c r="G210" s="175" t="n">
        <v>1</v>
      </c>
      <c r="H210" s="166" t="s">
        <v>97</v>
      </c>
      <c r="I210" s="181" t="n">
        <f aca="false">VLOOKUP(H210,PersonelListesi!A$1:G$42,6,FALSE())</f>
        <v>57500</v>
      </c>
      <c r="J210" s="181" t="n">
        <f aca="false">VLOOKUP(H210,PersonelListesi!A$1:G$42,7,FALSE())</f>
        <v>35000</v>
      </c>
      <c r="K210" s="168" t="n">
        <f aca="false">I210-J210+bordro[[#This Row],[Eld. '[+/-']]]</f>
        <v>22500</v>
      </c>
      <c r="L210" s="185" t="n">
        <f aca="false">bordro[[#This Row],[E.]]+bordro[[#This Row],[SGK-BNK]]</f>
        <v>57500</v>
      </c>
      <c r="M210" s="181"/>
      <c r="N210" s="182"/>
      <c r="O210" s="166"/>
    </row>
    <row r="211" customFormat="false" ht="15" hidden="false" customHeight="true" outlineLevel="0" collapsed="false">
      <c r="B211" s="162" t="n">
        <v>2025</v>
      </c>
      <c r="C211" s="163" t="n">
        <v>8</v>
      </c>
      <c r="D211" s="180" t="str">
        <f aca="false">VLOOKUP(H211,PersonelListesi!A$1:K$46,4,FALSE())</f>
        <v>_KANTAR</v>
      </c>
      <c r="E211" s="175" t="e">
        <f aca="false">VLOOKUP(H211,PersonelListesi!A$1:K$46,13,FALSE())</f>
        <v>#VALUE!</v>
      </c>
      <c r="F211" s="175" t="e">
        <f aca="false">VLOOKUP(H211,PersonelListesi!A$1:K$46,14,FALSE())</f>
        <v>#VALUE!</v>
      </c>
      <c r="G211" s="175" t="n">
        <v>1</v>
      </c>
      <c r="H211" s="166" t="s">
        <v>100</v>
      </c>
      <c r="I211" s="181" t="n">
        <f aca="false">VLOOKUP(H211,PersonelListesi!A$1:G$42,6,FALSE())</f>
        <v>40000</v>
      </c>
      <c r="J211" s="181" t="n">
        <f aca="false">VLOOKUP(H211,PersonelListesi!A$1:G$42,7,FALSE())</f>
        <v>33000</v>
      </c>
      <c r="K211" s="168" t="n">
        <f aca="false">I211-J211+bordro[[#This Row],[Eld. '[+/-']]]</f>
        <v>7000</v>
      </c>
      <c r="L211" s="185" t="n">
        <f aca="false">bordro[[#This Row],[E.]]+bordro[[#This Row],[SGK-BNK]]</f>
        <v>40000</v>
      </c>
      <c r="M211" s="181"/>
      <c r="N211" s="182"/>
      <c r="O211" s="166"/>
    </row>
    <row r="212" customFormat="false" ht="15" hidden="false" customHeight="true" outlineLevel="0" collapsed="false">
      <c r="B212" s="162" t="n">
        <v>2025</v>
      </c>
      <c r="C212" s="163" t="n">
        <v>8</v>
      </c>
      <c r="D212" s="180" t="str">
        <f aca="false">VLOOKUP(H212,PersonelListesi!A$1:K$46,4,FALSE())</f>
        <v>_ŞOFÖR</v>
      </c>
      <c r="E212" s="175" t="e">
        <f aca="false">VLOOKUP(H212,PersonelListesi!A$1:K$46,13,FALSE())</f>
        <v>#VALUE!</v>
      </c>
      <c r="F212" s="175" t="e">
        <f aca="false">VLOOKUP(H212,PersonelListesi!A$1:K$46,14,FALSE())</f>
        <v>#VALUE!</v>
      </c>
      <c r="G212" s="175" t="n">
        <v>1</v>
      </c>
      <c r="H212" s="166" t="s">
        <v>102</v>
      </c>
      <c r="I212" s="181" t="n">
        <f aca="false">VLOOKUP(H212,PersonelListesi!A$1:G$42,6,FALSE())</f>
        <v>40000</v>
      </c>
      <c r="J212" s="181" t="n">
        <f aca="false">VLOOKUP(H212,PersonelListesi!A$1:G$42,7,FALSE())</f>
        <v>0</v>
      </c>
      <c r="K212" s="168" t="n">
        <f aca="false">I212-J212+bordro[[#This Row],[Eld. '[+/-']]]</f>
        <v>40000</v>
      </c>
      <c r="L212" s="185" t="n">
        <f aca="false">bordro[[#This Row],[E.]]+bordro[[#This Row],[SGK-BNK]]</f>
        <v>40000</v>
      </c>
      <c r="M212" s="181"/>
      <c r="N212" s="182"/>
      <c r="O212" s="166"/>
    </row>
    <row r="213" customFormat="false" ht="15" hidden="false" customHeight="true" outlineLevel="0" collapsed="false">
      <c r="B213" s="162" t="n">
        <v>2025</v>
      </c>
      <c r="C213" s="163" t="n">
        <v>8</v>
      </c>
      <c r="D213" s="180" t="str">
        <f aca="false">VLOOKUP(H213,PersonelListesi!A$1:K$46,4,FALSE())</f>
        <v>_OPERATÖR</v>
      </c>
      <c r="E213" s="175" t="e">
        <f aca="false">VLOOKUP(H213,PersonelListesi!A$1:K$46,13,FALSE())</f>
        <v>#VALUE!</v>
      </c>
      <c r="F213" s="175" t="e">
        <f aca="false">VLOOKUP(H213,PersonelListesi!A$1:K$46,14,FALSE())</f>
        <v>#VALUE!</v>
      </c>
      <c r="G213" s="175" t="n">
        <v>1</v>
      </c>
      <c r="H213" s="166" t="s">
        <v>103</v>
      </c>
      <c r="I213" s="181" t="n">
        <f aca="false">VLOOKUP(H213,PersonelListesi!A$1:G$42,6,FALSE())</f>
        <v>50000</v>
      </c>
      <c r="J213" s="181" t="n">
        <f aca="false">VLOOKUP(H213,PersonelListesi!A$1:G$42,7,FALSE())</f>
        <v>2335</v>
      </c>
      <c r="K213" s="168" t="n">
        <f aca="false">I213-J213+bordro[[#This Row],[Eld. '[+/-']]]</f>
        <v>47665</v>
      </c>
      <c r="L213" s="185" t="n">
        <f aca="false">bordro[[#This Row],[E.]]+bordro[[#This Row],[SGK-BNK]]</f>
        <v>50000</v>
      </c>
      <c r="M213" s="181"/>
      <c r="N213" s="182"/>
      <c r="O213" s="166"/>
    </row>
    <row r="214" customFormat="false" ht="15" hidden="true" customHeight="true" outlineLevel="0" collapsed="false">
      <c r="B214" s="162" t="n">
        <v>2025</v>
      </c>
      <c r="C214" s="163" t="n">
        <v>8</v>
      </c>
      <c r="D214" s="180" t="str">
        <f aca="false">VLOOKUP(H214,PersonelListesi!A$1:K$46,4,FALSE())</f>
        <v>_OPERATÖR</v>
      </c>
      <c r="E214" s="175" t="e">
        <f aca="false">VLOOKUP(H214,PersonelListesi!A$1:K$46,13,FALSE())</f>
        <v>#VALUE!</v>
      </c>
      <c r="F214" s="175" t="e">
        <f aca="false">VLOOKUP(H214,PersonelListesi!A$1:K$46,14,FALSE())</f>
        <v>#VALUE!</v>
      </c>
      <c r="G214" s="175" t="n">
        <v>1</v>
      </c>
      <c r="H214" s="195" t="s">
        <v>123</v>
      </c>
      <c r="I214" s="181" t="n">
        <f aca="false">VLOOKUP(H214,PersonelListesi!A$1:G$42,6,FALSE())</f>
        <v>34500</v>
      </c>
      <c r="J214" s="181" t="n">
        <v>0</v>
      </c>
      <c r="K214" s="168" t="n">
        <v>4000</v>
      </c>
      <c r="L214" s="185" t="n">
        <f aca="false">bordro[[#This Row],[E.]]+bordro[[#This Row],[SGK-BNK]]</f>
        <v>4000</v>
      </c>
      <c r="M214" s="181"/>
      <c r="N214" s="182" t="s">
        <v>184</v>
      </c>
      <c r="O214" s="166"/>
    </row>
    <row r="215" customFormat="false" ht="15" hidden="false" customHeight="true" outlineLevel="0" collapsed="false">
      <c r="B215" s="162" t="n">
        <v>2025</v>
      </c>
      <c r="C215" s="163" t="n">
        <v>8</v>
      </c>
      <c r="D215" s="180" t="str">
        <f aca="false">VLOOKUP(H215,PersonelListesi!A$1:K$46,4,FALSE())</f>
        <v>_OPERATÖR</v>
      </c>
      <c r="E215" s="175" t="e">
        <f aca="false">VLOOKUP(H215,PersonelListesi!A$1:K$46,13,FALSE())</f>
        <v>#VALUE!</v>
      </c>
      <c r="F215" s="175" t="e">
        <f aca="false">VLOOKUP(H215,PersonelListesi!A$1:K$46,14,FALSE())</f>
        <v>#VALUE!</v>
      </c>
      <c r="G215" s="175" t="n">
        <v>1</v>
      </c>
      <c r="H215" s="195" t="s">
        <v>121</v>
      </c>
      <c r="I215" s="181" t="n">
        <f aca="false">VLOOKUP(H215,PersonelListesi!A$1:G$42,6,FALSE())</f>
        <v>50000</v>
      </c>
      <c r="J215" s="181" t="n">
        <f aca="false">VLOOKUP(H215,PersonelListesi!A$1:G$42,7,FALSE())</f>
        <v>0</v>
      </c>
      <c r="K215" s="168" t="n">
        <f aca="false">I215-J215+bordro[[#This Row],[Eld. '[+/-']]]</f>
        <v>45000</v>
      </c>
      <c r="L215" s="185" t="n">
        <f aca="false">bordro[[#This Row],[E.]]+bordro[[#This Row],[SGK-BNK]]</f>
        <v>45000</v>
      </c>
      <c r="M215" s="181" t="n">
        <v>-5000</v>
      </c>
      <c r="N215" s="182" t="s">
        <v>185</v>
      </c>
      <c r="O215" s="166"/>
    </row>
    <row r="216" customFormat="false" ht="15" hidden="true" customHeight="true" outlineLevel="0" collapsed="false">
      <c r="B216" s="162" t="n">
        <v>2025</v>
      </c>
      <c r="C216" s="163" t="n">
        <v>8</v>
      </c>
      <c r="D216" s="180" t="str">
        <f aca="false">VLOOKUP(H216,PersonelListesi!A$1:K$46,4,FALSE())</f>
        <v>_AİLE</v>
      </c>
      <c r="E216" s="175" t="e">
        <f aca="false">VLOOKUP(H216,PersonelListesi!A$1:K$46,13,FALSE())</f>
        <v>#VALUE!</v>
      </c>
      <c r="F216" s="175" t="e">
        <f aca="false">VLOOKUP(H216,PersonelListesi!A$1:K$46,14,FALSE())</f>
        <v>#VALUE!</v>
      </c>
      <c r="G216" s="175" t="n">
        <v>1</v>
      </c>
      <c r="H216" s="195" t="s">
        <v>126</v>
      </c>
      <c r="I216" s="181" t="n">
        <f aca="false">VLOOKUP(H216,PersonelListesi!A$1:G$42,6,FALSE())</f>
        <v>30000</v>
      </c>
      <c r="J216" s="181" t="n">
        <f aca="false">VLOOKUP(H216,PersonelListesi!A$1:G$42,7,FALSE())</f>
        <v>0</v>
      </c>
      <c r="K216" s="168" t="n">
        <f aca="false">I216-J216+bordro[[#This Row],[Eld. '[+/-']]]</f>
        <v>30000</v>
      </c>
      <c r="L216" s="185" t="n">
        <f aca="false">bordro[[#This Row],[E.]]+bordro[[#This Row],[SGK-BNK]]</f>
        <v>30000</v>
      </c>
      <c r="M216" s="181"/>
      <c r="N216" s="182" t="s">
        <v>170</v>
      </c>
      <c r="O216" s="166"/>
    </row>
    <row r="217" customFormat="false" ht="15" hidden="false" customHeight="true" outlineLevel="0" collapsed="false">
      <c r="B217" s="162" t="n">
        <v>2025</v>
      </c>
      <c r="C217" s="163" t="n">
        <v>8</v>
      </c>
      <c r="D217" s="180" t="str">
        <f aca="false">VLOOKUP(H217,PersonelListesi!A$1:K$46,4,FALSE())</f>
        <v>_MUTFAK</v>
      </c>
      <c r="E217" s="175" t="e">
        <f aca="false">VLOOKUP(H217,PersonelListesi!A$1:K$46,13,FALSE())</f>
        <v>#VALUE!</v>
      </c>
      <c r="F217" s="175" t="e">
        <f aca="false">VLOOKUP(H217,PersonelListesi!A$1:K$46,14,FALSE())</f>
        <v>#VALUE!</v>
      </c>
      <c r="G217" s="175" t="n">
        <v>1</v>
      </c>
      <c r="H217" s="166" t="s">
        <v>111</v>
      </c>
      <c r="I217" s="181" t="n">
        <f aca="false">VLOOKUP(H217,PersonelListesi!A$1:G$42,6,FALSE())</f>
        <v>30000</v>
      </c>
      <c r="J217" s="181" t="n">
        <f aca="false">VLOOKUP(H217,PersonelListesi!A$1:G$42,7,FALSE())</f>
        <v>25000</v>
      </c>
      <c r="K217" s="168" t="n">
        <f aca="false">I217-J217+bordro[[#This Row],[Eld. '[+/-']]]</f>
        <v>5000</v>
      </c>
      <c r="L217" s="185" t="n">
        <f aca="false">bordro[[#This Row],[E.]]+bordro[[#This Row],[SGK-BNK]]</f>
        <v>30000</v>
      </c>
      <c r="M217" s="181"/>
      <c r="N217" s="182"/>
      <c r="O217" s="166"/>
    </row>
    <row r="218" customFormat="false" ht="15" hidden="false" customHeight="true" outlineLevel="0" collapsed="false">
      <c r="B218" s="162" t="n">
        <v>2025</v>
      </c>
      <c r="C218" s="163" t="n">
        <v>8</v>
      </c>
      <c r="D218" s="180" t="str">
        <f aca="false">VLOOKUP(H218,PersonelListesi!A$1:K$46,4,FALSE())</f>
        <v>_BEKÇİ</v>
      </c>
      <c r="E218" s="175" t="e">
        <f aca="false">VLOOKUP(H218,PersonelListesi!A$1:K$46,13,FALSE())</f>
        <v>#VALUE!</v>
      </c>
      <c r="F218" s="175" t="e">
        <f aca="false">VLOOKUP(H218,PersonelListesi!A$1:K$46,14,FALSE())</f>
        <v>#VALUE!</v>
      </c>
      <c r="G218" s="175" t="n">
        <v>1</v>
      </c>
      <c r="H218" s="166" t="s">
        <v>115</v>
      </c>
      <c r="I218" s="181" t="n">
        <f aca="false">VLOOKUP(H218,PersonelListesi!A$1:G$42,6,FALSE())</f>
        <v>30000</v>
      </c>
      <c r="J218" s="181" t="n">
        <f aca="false">VLOOKUP(H218,PersonelListesi!A$1:G$42,7,FALSE())</f>
        <v>0</v>
      </c>
      <c r="K218" s="168" t="n">
        <f aca="false">I218-J218+bordro[[#This Row],[Eld. '[+/-']]]</f>
        <v>30000</v>
      </c>
      <c r="L218" s="185" t="n">
        <f aca="false">bordro[[#This Row],[E.]]+bordro[[#This Row],[SGK-BNK]]</f>
        <v>30000</v>
      </c>
      <c r="M218" s="181"/>
      <c r="N218" s="182"/>
      <c r="O218" s="166"/>
    </row>
    <row r="219" customFormat="false" ht="15" hidden="false" customHeight="true" outlineLevel="0" collapsed="false">
      <c r="B219" s="162" t="n">
        <v>2025</v>
      </c>
      <c r="C219" s="163" t="n">
        <v>8</v>
      </c>
      <c r="D219" s="180" t="str">
        <f aca="false">VLOOKUP(H219,PersonelListesi!A$1:K$46,4,FALSE())</f>
        <v>_ŞOFÖR</v>
      </c>
      <c r="E219" s="175" t="e">
        <f aca="false">VLOOKUP(H219,PersonelListesi!A$1:K$46,13,FALSE())</f>
        <v>#VALUE!</v>
      </c>
      <c r="F219" s="175" t="e">
        <f aca="false">VLOOKUP(H219,PersonelListesi!A$1:K$46,14,FALSE())</f>
        <v>#VALUE!</v>
      </c>
      <c r="G219" s="175" t="n">
        <v>1</v>
      </c>
      <c r="H219" s="166" t="s">
        <v>116</v>
      </c>
      <c r="I219" s="181" t="n">
        <f aca="false">VLOOKUP(H219,PersonelListesi!A$1:G$42,6,FALSE())</f>
        <v>43000</v>
      </c>
      <c r="J219" s="181" t="n">
        <f aca="false">VLOOKUP(H219,PersonelListesi!A$1:G$42,7,FALSE())</f>
        <v>1603</v>
      </c>
      <c r="K219" s="168" t="n">
        <f aca="false">I219-J219+bordro[[#This Row],[Eld. '[+/-']]]</f>
        <v>41397</v>
      </c>
      <c r="L219" s="185" t="n">
        <f aca="false">bordro[[#This Row],[E.]]+bordro[[#This Row],[SGK-BNK]]</f>
        <v>43000</v>
      </c>
      <c r="M219" s="181"/>
      <c r="N219" s="182"/>
      <c r="O219" s="166"/>
    </row>
    <row r="220" customFormat="false" ht="15" hidden="false" customHeight="true" outlineLevel="0" collapsed="false">
      <c r="B220" s="162" t="n">
        <v>2025</v>
      </c>
      <c r="C220" s="163" t="n">
        <v>8</v>
      </c>
      <c r="D220" s="180" t="str">
        <f aca="false">VLOOKUP(H220,PersonelListesi!A$1:K$46,4,FALSE())</f>
        <v>_OPERATÖR</v>
      </c>
      <c r="E220" s="175" t="e">
        <f aca="false">VLOOKUP(H220,PersonelListesi!A$1:K$46,13,FALSE())</f>
        <v>#VALUE!</v>
      </c>
      <c r="F220" s="175" t="e">
        <f aca="false">VLOOKUP(H220,PersonelListesi!A$1:K$46,14,FALSE())</f>
        <v>#VALUE!</v>
      </c>
      <c r="G220" s="175" t="n">
        <v>1</v>
      </c>
      <c r="H220" s="166" t="s">
        <v>107</v>
      </c>
      <c r="I220" s="181" t="n">
        <f aca="false">VLOOKUP(H220,PersonelListesi!A$1:G$42,6,FALSE())</f>
        <v>50000</v>
      </c>
      <c r="J220" s="181" t="n">
        <f aca="false">VLOOKUP(H220,PersonelListesi!A$1:G$42,7,FALSE())</f>
        <v>1603</v>
      </c>
      <c r="K220" s="168" t="n">
        <f aca="false">I220-J220+bordro[[#This Row],[Eld. '[+/-']]]</f>
        <v>48397</v>
      </c>
      <c r="L220" s="185" t="n">
        <f aca="false">bordro[[#This Row],[E.]]+bordro[[#This Row],[SGK-BNK]]</f>
        <v>50000</v>
      </c>
      <c r="M220" s="181"/>
      <c r="N220" s="182"/>
      <c r="O220" s="166"/>
    </row>
    <row r="221" customFormat="false" ht="15" hidden="false" customHeight="true" outlineLevel="0" collapsed="false">
      <c r="B221" s="162" t="n">
        <v>2025</v>
      </c>
      <c r="C221" s="163" t="n">
        <v>8</v>
      </c>
      <c r="D221" s="180" t="str">
        <f aca="false">VLOOKUP(H221,PersonelListesi!A$1:K$46,4,FALSE())</f>
        <v>_OPERATÖR</v>
      </c>
      <c r="E221" s="175" t="e">
        <f aca="false">VLOOKUP(H221,PersonelListesi!A$1:K$46,13,FALSE())</f>
        <v>#VALUE!</v>
      </c>
      <c r="F221" s="175" t="e">
        <f aca="false">VLOOKUP(H221,PersonelListesi!A$1:K$46,14,FALSE())</f>
        <v>#VALUE!</v>
      </c>
      <c r="G221" s="175" t="n">
        <v>1</v>
      </c>
      <c r="H221" s="166" t="s">
        <v>122</v>
      </c>
      <c r="I221" s="181" t="n">
        <f aca="false">VLOOKUP(H221,PersonelListesi!A$1:G$42,6,FALSE())</f>
        <v>50000</v>
      </c>
      <c r="J221" s="181" t="n">
        <f aca="false">VLOOKUP(H221,PersonelListesi!A$1:G$42,7,FALSE())</f>
        <v>2335</v>
      </c>
      <c r="K221" s="168" t="n">
        <f aca="false">I221-J221+bordro[[#This Row],[Eld. '[+/-']]]</f>
        <v>37665</v>
      </c>
      <c r="L221" s="185" t="n">
        <f aca="false">bordro[[#This Row],[E.]]+bordro[[#This Row],[SGK-BNK]]</f>
        <v>40000</v>
      </c>
      <c r="M221" s="181" t="n">
        <f aca="false">50000/30*-6</f>
        <v>-10000</v>
      </c>
      <c r="N221" s="182" t="s">
        <v>186</v>
      </c>
      <c r="O221" s="166"/>
    </row>
    <row r="222" customFormat="false" ht="15" hidden="false" customHeight="true" outlineLevel="0" collapsed="false">
      <c r="B222" s="162" t="n">
        <v>2025</v>
      </c>
      <c r="C222" s="163" t="n">
        <v>8</v>
      </c>
      <c r="D222" s="180" t="str">
        <f aca="false">VLOOKUP(H222,PersonelListesi!A$1:K$46,4,FALSE())</f>
        <v>_MUHASEBE</v>
      </c>
      <c r="E222" s="175" t="e">
        <f aca="false">VLOOKUP(H222,PersonelListesi!A$1:K$46,13,FALSE())</f>
        <v>#VALUE!</v>
      </c>
      <c r="F222" s="175" t="e">
        <f aca="false">VLOOKUP(H222,PersonelListesi!A$1:K$46,14,FALSE())</f>
        <v>#VALUE!</v>
      </c>
      <c r="G222" s="175" t="n">
        <v>1</v>
      </c>
      <c r="H222" s="166" t="s">
        <v>124</v>
      </c>
      <c r="I222" s="181" t="n">
        <f aca="false">VLOOKUP(H222,PersonelListesi!A$1:G$42,6,FALSE())</f>
        <v>45000</v>
      </c>
      <c r="J222" s="181" t="n">
        <f aca="false">VLOOKUP(H222,PersonelListesi!A$1:G$42,7,FALSE())</f>
        <v>0</v>
      </c>
      <c r="K222" s="168" t="n">
        <f aca="false">I222-J222+bordro[[#This Row],[Eld. '[+/-']]]</f>
        <v>45000</v>
      </c>
      <c r="L222" s="185" t="n">
        <f aca="false">bordro[[#This Row],[E.]]+bordro[[#This Row],[SGK-BNK]]</f>
        <v>45000</v>
      </c>
      <c r="M222" s="181"/>
      <c r="N222" s="182"/>
      <c r="O222" s="166"/>
    </row>
    <row r="223" customFormat="false" ht="15" hidden="true" customHeight="true" outlineLevel="0" collapsed="false">
      <c r="B223" s="162" t="n">
        <v>2025</v>
      </c>
      <c r="C223" s="163" t="n">
        <v>8</v>
      </c>
      <c r="D223" s="180" t="str">
        <f aca="false">VLOOKUP(H223,PersonelListesi!A$1:K$46,4,FALSE())</f>
        <v>_AİLE</v>
      </c>
      <c r="E223" s="175" t="e">
        <f aca="false">VLOOKUP(H223,PersonelListesi!A$1:K$46,13,FALSE())</f>
        <v>#VALUE!</v>
      </c>
      <c r="F223" s="175" t="e">
        <f aca="false">VLOOKUP(H223,PersonelListesi!A$1:K$46,14,FALSE())</f>
        <v>#VALUE!</v>
      </c>
      <c r="G223" s="175" t="n">
        <v>0</v>
      </c>
      <c r="H223" s="166" t="s">
        <v>131</v>
      </c>
      <c r="I223" s="181" t="n">
        <f aca="false">VLOOKUP(H223,PersonelListesi!A$1:G$42,6,FALSE())</f>
        <v>30000</v>
      </c>
      <c r="J223" s="181" t="n">
        <f aca="false">VLOOKUP(H223,PersonelListesi!A$1:G$42,7,FALSE())</f>
        <v>22104</v>
      </c>
      <c r="K223" s="168" t="n">
        <f aca="false">I223-J223+bordro[[#This Row],[Eld. '[+/-']]]</f>
        <v>10796</v>
      </c>
      <c r="L223" s="185" t="n">
        <f aca="false">bordro[[#This Row],[E.]]+bordro[[#This Row],[SGK-BNK]]</f>
        <v>32900</v>
      </c>
      <c r="M223" s="181" t="n">
        <v>2900</v>
      </c>
      <c r="N223" s="182" t="s">
        <v>187</v>
      </c>
      <c r="O223" s="166"/>
    </row>
    <row r="224" customFormat="false" ht="15" hidden="true" customHeight="true" outlineLevel="0" collapsed="false">
      <c r="B224" s="162" t="n">
        <v>2025</v>
      </c>
      <c r="C224" s="163" t="n">
        <v>8</v>
      </c>
      <c r="D224" s="180" t="s">
        <v>59</v>
      </c>
      <c r="E224" s="175" t="n">
        <v>0</v>
      </c>
      <c r="F224" s="175"/>
      <c r="G224" s="175" t="n">
        <v>0</v>
      </c>
      <c r="H224" s="166" t="s">
        <v>62</v>
      </c>
      <c r="I224" s="181" t="n">
        <f aca="false">VLOOKUP(H224,PersonelListesi!A$1:G$42,6,FALSE())</f>
        <v>30000</v>
      </c>
      <c r="J224" s="181" t="n">
        <f aca="false">VLOOKUP(H224,PersonelListesi!A$1:G$42,7,FALSE())</f>
        <v>0</v>
      </c>
      <c r="K224" s="168" t="n">
        <f aca="false">I224-J224+bordro[[#This Row],[Eld. '[+/-']]]</f>
        <v>30000</v>
      </c>
      <c r="L224" s="185" t="n">
        <f aca="false">bordro[[#This Row],[E.]]+bordro[[#This Row],[SGK-BNK]]</f>
        <v>30000</v>
      </c>
      <c r="M224" s="181"/>
      <c r="N224" s="182"/>
      <c r="O224" s="166"/>
    </row>
    <row r="225" customFormat="false" ht="15" hidden="true" customHeight="true" outlineLevel="0" collapsed="false">
      <c r="B225" s="162" t="n">
        <v>2025</v>
      </c>
      <c r="C225" s="163" t="n">
        <v>8</v>
      </c>
      <c r="D225" s="180" t="str">
        <f aca="false">VLOOKUP(H225,PersonelListesi!A$1:K$46,4,FALSE())</f>
        <v>_AİLE</v>
      </c>
      <c r="E225" s="175" t="e">
        <f aca="false">VLOOKUP(H225,PersonelListesi!A$1:K$46,13,FALSE())</f>
        <v>#VALUE!</v>
      </c>
      <c r="F225" s="175" t="e">
        <f aca="false">VLOOKUP(H225,PersonelListesi!A$1:K$46,14,FALSE())</f>
        <v>#VALUE!</v>
      </c>
      <c r="G225" s="175" t="n">
        <v>0</v>
      </c>
      <c r="H225" s="166" t="s">
        <v>129</v>
      </c>
      <c r="I225" s="181" t="n">
        <f aca="false">VLOOKUP(H225,PersonelListesi!A$1:G$42,6,FALSE())</f>
        <v>40000</v>
      </c>
      <c r="J225" s="181" t="n">
        <f aca="false">VLOOKUP(H225,PersonelListesi!A$1:G$42,7,FALSE())</f>
        <v>22104</v>
      </c>
      <c r="K225" s="168" t="n">
        <f aca="false">I225-J225+bordro[[#This Row],[Eld. '[+/-']]]</f>
        <v>20796</v>
      </c>
      <c r="L225" s="185" t="n">
        <f aca="false">bordro[[#This Row],[E.]]+bordro[[#This Row],[SGK-BNK]]</f>
        <v>42900</v>
      </c>
      <c r="M225" s="181" t="n">
        <v>2900</v>
      </c>
      <c r="N225" s="182" t="s">
        <v>187</v>
      </c>
      <c r="O225" s="166"/>
    </row>
    <row r="226" customFormat="false" ht="15" hidden="true" customHeight="true" outlineLevel="0" collapsed="false">
      <c r="B226" s="162" t="n">
        <v>2025</v>
      </c>
      <c r="C226" s="163" t="n">
        <v>8</v>
      </c>
      <c r="D226" s="180" t="str">
        <f aca="false">VLOOKUP(H226,PersonelListesi!A$1:K$46,4,FALSE())</f>
        <v>_AİLE</v>
      </c>
      <c r="E226" s="175" t="e">
        <f aca="false">VLOOKUP(H226,PersonelListesi!A$1:K$46,13,FALSE())</f>
        <v>#VALUE!</v>
      </c>
      <c r="F226" s="175" t="e">
        <f aca="false">VLOOKUP(H226,PersonelListesi!A$1:K$46,14,FALSE())</f>
        <v>#VALUE!</v>
      </c>
      <c r="G226" s="175" t="n">
        <v>0</v>
      </c>
      <c r="H226" s="166" t="s">
        <v>134</v>
      </c>
      <c r="I226" s="181" t="n">
        <f aca="false">VLOOKUP(H226,PersonelListesi!A$1:G$42,6,FALSE())</f>
        <v>30000</v>
      </c>
      <c r="J226" s="181" t="n">
        <f aca="false">VLOOKUP(H226,PersonelListesi!A$1:G$42,7,FALSE())</f>
        <v>0</v>
      </c>
      <c r="K226" s="168" t="n">
        <f aca="false">I226-J226+bordro[[#This Row],[Eld. '[+/-']]]</f>
        <v>30000</v>
      </c>
      <c r="L226" s="185" t="n">
        <f aca="false">bordro[[#This Row],[E.]]+bordro[[#This Row],[SGK-BNK]]</f>
        <v>30000</v>
      </c>
      <c r="M226" s="181"/>
      <c r="N226" s="182"/>
      <c r="O226" s="166"/>
    </row>
    <row r="227" customFormat="false" ht="15" hidden="true" customHeight="true" outlineLevel="0" collapsed="false">
      <c r="B227" s="162" t="n">
        <v>2025</v>
      </c>
      <c r="C227" s="163" t="n">
        <v>8</v>
      </c>
      <c r="D227" s="180" t="str">
        <f aca="false">VLOOKUP(H227,PersonelListesi!A$1:K$46,4,FALSE())</f>
        <v>_AİLE</v>
      </c>
      <c r="E227" s="175" t="e">
        <f aca="false">VLOOKUP(H227,PersonelListesi!A$1:K$46,13,FALSE())</f>
        <v>#VALUE!</v>
      </c>
      <c r="F227" s="175" t="e">
        <f aca="false">VLOOKUP(H227,PersonelListesi!A$1:K$46,14,FALSE())</f>
        <v>#VALUE!</v>
      </c>
      <c r="G227" s="175" t="n">
        <v>0</v>
      </c>
      <c r="H227" s="183" t="s">
        <v>133</v>
      </c>
      <c r="I227" s="181" t="n">
        <f aca="false">VLOOKUP(H227,PersonelListesi!A$1:G$42,6,FALSE())</f>
        <v>50000</v>
      </c>
      <c r="J227" s="181" t="n">
        <f aca="false">VLOOKUP(H227,PersonelListesi!A$1:G$42,7,FALSE())</f>
        <v>30000</v>
      </c>
      <c r="K227" s="168" t="n">
        <f aca="false">I227-J227+bordro[[#This Row],[Eld. '[+/-']]]</f>
        <v>20000</v>
      </c>
      <c r="L227" s="185" t="n">
        <f aca="false">bordro[[#This Row],[E.]]+bordro[[#This Row],[SGK-BNK]]</f>
        <v>50000</v>
      </c>
      <c r="M227" s="181"/>
      <c r="N227" s="182"/>
      <c r="O227" s="166"/>
    </row>
    <row r="228" customFormat="false" ht="15" hidden="true" customHeight="true" outlineLevel="0" collapsed="false">
      <c r="B228" s="162" t="n">
        <v>2025</v>
      </c>
      <c r="C228" s="163" t="n">
        <v>8</v>
      </c>
      <c r="D228" s="180" t="str">
        <f aca="false">VLOOKUP(H228,PersonelListesi!A$1:K$46,4,FALSE())</f>
        <v>_AİLE</v>
      </c>
      <c r="E228" s="175" t="e">
        <f aca="false">VLOOKUP(H228,PersonelListesi!A$1:K$46,13,FALSE())</f>
        <v>#VALUE!</v>
      </c>
      <c r="F228" s="175" t="e">
        <f aca="false">VLOOKUP(H228,PersonelListesi!A$1:K$46,14,FALSE())</f>
        <v>#VALUE!</v>
      </c>
      <c r="G228" s="175" t="n">
        <v>0</v>
      </c>
      <c r="H228" s="183" t="s">
        <v>55</v>
      </c>
      <c r="I228" s="181" t="n">
        <f aca="false">VLOOKUP(H228,PersonelListesi!A$1:G$42,6,FALSE())</f>
        <v>50000</v>
      </c>
      <c r="J228" s="181" t="n">
        <f aca="false">VLOOKUP(H228,PersonelListesi!A$1:G$42,7,FALSE())</f>
        <v>30000</v>
      </c>
      <c r="K228" s="168" t="n">
        <f aca="false">I228-J228+bordro[[#This Row],[Eld. '[+/-']]]</f>
        <v>20000</v>
      </c>
      <c r="L228" s="185" t="n">
        <f aca="false">bordro[[#This Row],[E.]]+bordro[[#This Row],[SGK-BNK]]</f>
        <v>50000</v>
      </c>
      <c r="M228" s="181"/>
      <c r="N228" s="182"/>
      <c r="O228" s="166"/>
    </row>
    <row r="229" customFormat="false" ht="16.5" hidden="true" customHeight="false" outlineLevel="0" collapsed="false">
      <c r="B229" s="198"/>
      <c r="C229" s="199"/>
      <c r="D229" s="200"/>
      <c r="E229" s="201"/>
      <c r="F229" s="201"/>
      <c r="G229" s="201"/>
      <c r="H229" s="195"/>
      <c r="I229" s="202"/>
      <c r="J229" s="202"/>
      <c r="K229" s="203"/>
      <c r="L229" s="204"/>
      <c r="M229" s="205"/>
      <c r="N229" s="206"/>
      <c r="O229" s="197"/>
    </row>
    <row r="230" customFormat="false" ht="16.5" hidden="true" customHeight="false" outlineLevel="0" collapsed="false">
      <c r="B230" s="198"/>
      <c r="C230" s="199"/>
      <c r="D230" s="200"/>
      <c r="E230" s="201"/>
      <c r="F230" s="201"/>
      <c r="G230" s="201"/>
      <c r="H230" s="195"/>
      <c r="I230" s="202"/>
      <c r="J230" s="202"/>
      <c r="K230" s="203"/>
      <c r="L230" s="204"/>
      <c r="M230" s="205"/>
      <c r="N230" s="206"/>
      <c r="O230" s="197"/>
    </row>
    <row r="231" customFormat="false" ht="16.5" hidden="true" customHeight="false" outlineLevel="0" collapsed="false">
      <c r="B231" s="198"/>
      <c r="C231" s="199"/>
      <c r="D231" s="200"/>
      <c r="E231" s="201"/>
      <c r="F231" s="201"/>
      <c r="G231" s="201"/>
      <c r="H231" s="195"/>
      <c r="I231" s="202"/>
      <c r="J231" s="202"/>
      <c r="K231" s="203"/>
      <c r="L231" s="204"/>
      <c r="M231" s="205"/>
      <c r="N231" s="206"/>
      <c r="O231" s="197"/>
    </row>
    <row r="232" customFormat="false" ht="16.5" hidden="true" customHeight="false" outlineLevel="0" collapsed="false">
      <c r="B232" s="198"/>
      <c r="C232" s="199"/>
      <c r="D232" s="200"/>
      <c r="E232" s="201"/>
      <c r="F232" s="201"/>
      <c r="G232" s="201"/>
      <c r="H232" s="195"/>
      <c r="I232" s="202"/>
      <c r="J232" s="202"/>
      <c r="K232" s="203"/>
      <c r="L232" s="204"/>
      <c r="M232" s="205"/>
      <c r="N232" s="206"/>
      <c r="O232" s="197"/>
    </row>
    <row r="233" customFormat="false" ht="16.5" hidden="true" customHeight="false" outlineLevel="0" collapsed="false">
      <c r="B233" s="198"/>
      <c r="C233" s="199"/>
      <c r="D233" s="200"/>
      <c r="E233" s="201"/>
      <c r="F233" s="201"/>
      <c r="G233" s="201"/>
      <c r="H233" s="195"/>
      <c r="I233" s="202"/>
      <c r="J233" s="202"/>
      <c r="K233" s="203"/>
      <c r="L233" s="204"/>
      <c r="M233" s="205"/>
      <c r="N233" s="206"/>
      <c r="O233" s="197"/>
    </row>
    <row r="234" customFormat="false" ht="16.5" hidden="true" customHeight="false" outlineLevel="0" collapsed="false">
      <c r="B234" s="198"/>
      <c r="C234" s="199"/>
      <c r="D234" s="200"/>
      <c r="E234" s="201"/>
      <c r="F234" s="201"/>
      <c r="G234" s="201"/>
      <c r="H234" s="195"/>
      <c r="I234" s="202"/>
      <c r="J234" s="202"/>
      <c r="K234" s="203"/>
      <c r="L234" s="204"/>
      <c r="M234" s="205"/>
      <c r="N234" s="206"/>
      <c r="O234" s="197"/>
    </row>
    <row r="235" customFormat="false" ht="16.5" hidden="true" customHeight="false" outlineLevel="0" collapsed="false">
      <c r="B235" s="198"/>
      <c r="C235" s="199"/>
      <c r="D235" s="200"/>
      <c r="E235" s="201"/>
      <c r="F235" s="201"/>
      <c r="G235" s="201"/>
      <c r="H235" s="195"/>
      <c r="I235" s="202"/>
      <c r="J235" s="202"/>
      <c r="K235" s="203"/>
      <c r="L235" s="204"/>
      <c r="M235" s="205"/>
      <c r="N235" s="206"/>
      <c r="O235" s="197"/>
    </row>
    <row r="236" customFormat="false" ht="16.5" hidden="true" customHeight="false" outlineLevel="0" collapsed="false">
      <c r="B236" s="198"/>
      <c r="C236" s="199"/>
      <c r="D236" s="200"/>
      <c r="E236" s="201"/>
      <c r="F236" s="201"/>
      <c r="G236" s="201"/>
      <c r="H236" s="195"/>
      <c r="I236" s="202"/>
      <c r="J236" s="202"/>
      <c r="K236" s="203"/>
      <c r="L236" s="204"/>
      <c r="M236" s="205"/>
      <c r="N236" s="206"/>
      <c r="O236" s="197"/>
    </row>
    <row r="237" customFormat="false" ht="16.5" hidden="false" customHeight="false" outlineLevel="0" collapsed="false">
      <c r="B237" s="198"/>
      <c r="C237" s="199"/>
      <c r="D237" s="200"/>
      <c r="E237" s="201"/>
      <c r="F237" s="201"/>
      <c r="G237" s="201"/>
      <c r="H237" s="195"/>
      <c r="I237" s="202"/>
      <c r="J237" s="202" t="n">
        <f aca="false">SUBTOTAL(109,bordro[SGK-BNK])</f>
        <v>167315</v>
      </c>
      <c r="K237" s="203" t="n">
        <f aca="false">SUBTOTAL(109,bordro[E.])</f>
        <v>466789</v>
      </c>
      <c r="L237" s="204" t="n">
        <f aca="false">SUBTOTAL(109,bordro[B+E])</f>
        <v>634104</v>
      </c>
      <c r="M237" s="205"/>
      <c r="N237" s="206"/>
      <c r="O237" s="197"/>
    </row>
  </sheetData>
  <dataValidations count="2">
    <dataValidation allowBlank="true" errorStyle="stop" operator="between" showDropDown="false" showErrorMessage="true" showInputMessage="true" sqref="H1" type="list">
      <formula1>#ref!</formula1>
      <formula2>0</formula2>
    </dataValidation>
    <dataValidation allowBlank="true" errorStyle="stop" operator="between" showDropDown="false" showErrorMessage="true" showInputMessage="true" sqref="H29:H228" type="list">
      <formula1>PersonelListesi!$A$2:$A$42</formula1>
      <formula2>0</formula2>
    </dataValidation>
  </dataValidations>
  <printOptions headings="false" gridLines="false" gridLinesSet="true" horizontalCentered="false" verticalCentered="false"/>
  <pageMargins left="0.629861111111111" right="0.240277777777778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true"/>
  </sheetPr>
  <dimension ref="B1:S32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90" zoomScalePageLayoutView="100" workbookViewId="0">
      <pane xSplit="0" ySplit="1" topLeftCell="A277" activePane="bottomLeft" state="frozen"/>
      <selection pane="topLeft" activeCell="A1" activeCellId="0" sqref="A1"/>
      <selection pane="bottomLeft" activeCell="K318" activeCellId="0" sqref="K318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207" width="2.71"/>
    <col collapsed="false" customWidth="true" hidden="false" outlineLevel="0" max="2" min="2" style="208" width="6.14"/>
    <col collapsed="false" customWidth="true" hidden="false" outlineLevel="0" max="3" min="3" style="209" width="6"/>
    <col collapsed="false" customWidth="true" hidden="false" outlineLevel="0" max="4" min="4" style="209" width="11.71"/>
    <col collapsed="false" customWidth="true" hidden="false" outlineLevel="0" max="5" min="5" style="209" width="13.86"/>
    <col collapsed="false" customWidth="true" hidden="false" outlineLevel="0" max="6" min="6" style="210" width="11"/>
    <col collapsed="false" customWidth="true" hidden="false" outlineLevel="0" max="7" min="7" style="211" width="9.86"/>
    <col collapsed="false" customWidth="true" hidden="false" outlineLevel="0" max="8" min="8" style="212" width="21.71"/>
    <col collapsed="false" customWidth="true" hidden="false" outlineLevel="0" max="9" min="9" style="212" width="11.43"/>
    <col collapsed="false" customWidth="true" hidden="false" outlineLevel="0" max="10" min="10" style="212" width="11.29"/>
    <col collapsed="false" customWidth="true" hidden="false" outlineLevel="0" max="11" min="11" style="213" width="13"/>
    <col collapsed="false" customWidth="true" hidden="false" outlineLevel="0" max="12" min="12" style="214" width="11.43"/>
    <col collapsed="false" customWidth="true" hidden="false" outlineLevel="0" max="13" min="13" style="213" width="11"/>
    <col collapsed="false" customWidth="true" hidden="false" outlineLevel="0" max="14" min="14" style="215" width="13.71"/>
    <col collapsed="false" customWidth="true" hidden="false" outlineLevel="0" max="15" min="15" style="216" width="6.43"/>
    <col collapsed="false" customWidth="true" hidden="false" outlineLevel="0" max="16" min="16" style="207" width="2.57"/>
    <col collapsed="false" customWidth="false" hidden="false" outlineLevel="0" max="16384" min="17" style="207" width="9.14"/>
  </cols>
  <sheetData>
    <row r="1" customFormat="false" ht="15" hidden="false" customHeight="false" outlineLevel="0" collapsed="false">
      <c r="B1" s="217" t="s">
        <v>136</v>
      </c>
      <c r="C1" s="218" t="s">
        <v>137</v>
      </c>
      <c r="D1" s="219" t="s">
        <v>28</v>
      </c>
      <c r="E1" s="220" t="s">
        <v>29</v>
      </c>
      <c r="F1" s="220" t="s">
        <v>30</v>
      </c>
      <c r="G1" s="221" t="s">
        <v>26</v>
      </c>
      <c r="H1" s="222" t="s">
        <v>138</v>
      </c>
      <c r="I1" s="223" t="s">
        <v>139</v>
      </c>
      <c r="J1" s="213" t="s">
        <v>140</v>
      </c>
      <c r="K1" s="223" t="s">
        <v>141</v>
      </c>
      <c r="L1" s="214" t="s">
        <v>142</v>
      </c>
      <c r="M1" s="213" t="s">
        <v>143</v>
      </c>
      <c r="N1" s="224" t="s">
        <v>144</v>
      </c>
      <c r="O1" s="225" t="s">
        <v>145</v>
      </c>
    </row>
    <row r="2" customFormat="false" ht="15" hidden="false" customHeight="true" outlineLevel="0" collapsed="false">
      <c r="B2" s="208" t="n">
        <v>2024</v>
      </c>
      <c r="C2" s="209" t="n">
        <v>1</v>
      </c>
      <c r="D2" s="226" t="s">
        <v>56</v>
      </c>
      <c r="E2" s="221" t="n">
        <v>28699369338</v>
      </c>
      <c r="F2" s="221" t="n">
        <v>96358353</v>
      </c>
      <c r="G2" s="221" t="n">
        <v>1</v>
      </c>
      <c r="H2" s="227" t="s">
        <v>79</v>
      </c>
      <c r="I2" s="228" t="n">
        <v>40000</v>
      </c>
      <c r="J2" s="228" t="n">
        <v>40000</v>
      </c>
      <c r="K2" s="214" t="n">
        <v>0</v>
      </c>
      <c r="L2" s="228" t="n">
        <v>40000</v>
      </c>
      <c r="N2" s="212"/>
      <c r="O2" s="212"/>
    </row>
    <row r="3" customFormat="false" ht="15" hidden="false" customHeight="true" outlineLevel="0" collapsed="false">
      <c r="B3" s="208" t="n">
        <v>2024</v>
      </c>
      <c r="C3" s="209" t="n">
        <v>1</v>
      </c>
      <c r="D3" s="226" t="s">
        <v>82</v>
      </c>
      <c r="E3" s="221" t="n">
        <v>36826974454</v>
      </c>
      <c r="F3" s="221" t="n">
        <v>95573006</v>
      </c>
      <c r="G3" s="221" t="n">
        <v>1</v>
      </c>
      <c r="H3" s="227" t="s">
        <v>188</v>
      </c>
      <c r="I3" s="228" t="n">
        <v>17002</v>
      </c>
      <c r="J3" s="228" t="n">
        <v>17002</v>
      </c>
      <c r="K3" s="214" t="n">
        <v>0</v>
      </c>
      <c r="L3" s="228" t="n">
        <v>17002</v>
      </c>
      <c r="N3" s="212"/>
      <c r="O3" s="212"/>
    </row>
    <row r="4" customFormat="false" ht="15" hidden="false" customHeight="true" outlineLevel="0" collapsed="false">
      <c r="B4" s="208" t="n">
        <v>2024</v>
      </c>
      <c r="C4" s="209" t="n">
        <v>1</v>
      </c>
      <c r="D4" s="226" t="s">
        <v>82</v>
      </c>
      <c r="E4" s="221" t="n">
        <v>17630785580</v>
      </c>
      <c r="F4" s="221" t="n">
        <v>95529415</v>
      </c>
      <c r="G4" s="221" t="n">
        <v>1</v>
      </c>
      <c r="H4" s="227" t="s">
        <v>81</v>
      </c>
      <c r="I4" s="228" t="n">
        <v>87000</v>
      </c>
      <c r="J4" s="228" t="n">
        <v>40000</v>
      </c>
      <c r="K4" s="214" t="n">
        <v>47000</v>
      </c>
      <c r="L4" s="228" t="n">
        <v>87000</v>
      </c>
      <c r="N4" s="212"/>
      <c r="O4" s="212"/>
    </row>
    <row r="5" customFormat="false" ht="15" hidden="false" customHeight="true" outlineLevel="0" collapsed="false">
      <c r="B5" s="208" t="n">
        <v>2024</v>
      </c>
      <c r="C5" s="209" t="n">
        <v>1</v>
      </c>
      <c r="D5" s="226" t="s">
        <v>56</v>
      </c>
      <c r="E5" s="221" t="n">
        <v>55186680706</v>
      </c>
      <c r="F5" s="221" t="n">
        <v>95787183</v>
      </c>
      <c r="G5" s="221" t="n">
        <v>1</v>
      </c>
      <c r="H5" s="227" t="s">
        <v>73</v>
      </c>
      <c r="I5" s="228" t="n">
        <v>17002</v>
      </c>
      <c r="J5" s="228" t="n">
        <v>17002</v>
      </c>
      <c r="K5" s="214" t="n">
        <v>0</v>
      </c>
      <c r="L5" s="228" t="n">
        <v>17002</v>
      </c>
      <c r="N5" s="212"/>
      <c r="O5" s="212"/>
    </row>
    <row r="6" customFormat="false" ht="15" hidden="false" customHeight="true" outlineLevel="0" collapsed="false">
      <c r="B6" s="208" t="n">
        <v>2024</v>
      </c>
      <c r="C6" s="209" t="n">
        <v>1</v>
      </c>
      <c r="D6" s="226" t="s">
        <v>82</v>
      </c>
      <c r="E6" s="221" t="n">
        <v>21242693324</v>
      </c>
      <c r="F6" s="221" t="n">
        <v>95532064</v>
      </c>
      <c r="G6" s="221" t="n">
        <v>1</v>
      </c>
      <c r="H6" s="227" t="s">
        <v>85</v>
      </c>
      <c r="I6" s="228" t="n">
        <v>25000</v>
      </c>
      <c r="J6" s="228" t="n">
        <v>25000</v>
      </c>
      <c r="K6" s="214" t="n">
        <v>0</v>
      </c>
      <c r="L6" s="228" t="n">
        <v>25000</v>
      </c>
      <c r="N6" s="212"/>
      <c r="O6" s="212"/>
    </row>
    <row r="7" customFormat="false" ht="15" hidden="false" customHeight="true" outlineLevel="0" collapsed="false">
      <c r="B7" s="208" t="n">
        <v>2024</v>
      </c>
      <c r="C7" s="209" t="n">
        <v>1</v>
      </c>
      <c r="D7" s="226" t="s">
        <v>82</v>
      </c>
      <c r="E7" s="221" t="n">
        <v>17159801204</v>
      </c>
      <c r="F7" s="221" t="n">
        <v>95532066</v>
      </c>
      <c r="G7" s="221" t="n">
        <v>1</v>
      </c>
      <c r="H7" s="227" t="s">
        <v>87</v>
      </c>
      <c r="I7" s="228" t="n">
        <v>35000</v>
      </c>
      <c r="J7" s="228" t="n">
        <v>35000</v>
      </c>
      <c r="K7" s="214" t="n">
        <v>0</v>
      </c>
      <c r="L7" s="228" t="n">
        <v>35000</v>
      </c>
      <c r="N7" s="212"/>
      <c r="O7" s="212"/>
    </row>
    <row r="8" customFormat="false" ht="15" hidden="false" customHeight="true" outlineLevel="0" collapsed="false">
      <c r="B8" s="208" t="n">
        <v>2024</v>
      </c>
      <c r="C8" s="209" t="n">
        <v>1</v>
      </c>
      <c r="D8" s="226" t="s">
        <v>69</v>
      </c>
      <c r="E8" s="221" t="n">
        <v>23764482950</v>
      </c>
      <c r="F8" s="221" t="n">
        <v>95532077</v>
      </c>
      <c r="G8" s="221" t="n">
        <v>1</v>
      </c>
      <c r="H8" s="227" t="s">
        <v>93</v>
      </c>
      <c r="I8" s="228" t="n">
        <v>25000</v>
      </c>
      <c r="J8" s="228" t="n">
        <v>25000</v>
      </c>
      <c r="K8" s="214" t="n">
        <v>0</v>
      </c>
      <c r="L8" s="228" t="n">
        <v>25000</v>
      </c>
      <c r="N8" s="212" t="s">
        <v>189</v>
      </c>
      <c r="O8" s="212"/>
    </row>
    <row r="9" customFormat="false" ht="15" hidden="false" customHeight="true" outlineLevel="0" collapsed="false">
      <c r="B9" s="208" t="n">
        <v>2024</v>
      </c>
      <c r="C9" s="209" t="n">
        <v>1</v>
      </c>
      <c r="D9" s="226" t="s">
        <v>34</v>
      </c>
      <c r="E9" s="221" t="n">
        <v>25672444846</v>
      </c>
      <c r="F9" s="221" t="n">
        <v>95693810</v>
      </c>
      <c r="G9" s="221" t="n">
        <v>1</v>
      </c>
      <c r="H9" s="227" t="s">
        <v>95</v>
      </c>
      <c r="I9" s="228" t="n">
        <v>30000</v>
      </c>
      <c r="J9" s="228" t="n">
        <v>30000</v>
      </c>
      <c r="K9" s="214" t="n">
        <v>0</v>
      </c>
      <c r="L9" s="228" t="n">
        <v>30000</v>
      </c>
      <c r="N9" s="212"/>
      <c r="O9" s="212"/>
    </row>
    <row r="10" customFormat="false" ht="15" hidden="false" customHeight="true" outlineLevel="0" collapsed="false">
      <c r="B10" s="208" t="n">
        <v>2024</v>
      </c>
      <c r="C10" s="209" t="n">
        <v>1</v>
      </c>
      <c r="D10" s="226" t="s">
        <v>69</v>
      </c>
      <c r="E10" s="221" t="n">
        <v>33853146700</v>
      </c>
      <c r="F10" s="221" t="n">
        <v>96959868</v>
      </c>
      <c r="G10" s="221" t="n">
        <v>1</v>
      </c>
      <c r="H10" s="227" t="s">
        <v>103</v>
      </c>
      <c r="I10" s="228" t="n">
        <v>35000</v>
      </c>
      <c r="J10" s="228" t="n">
        <v>35000</v>
      </c>
      <c r="K10" s="214" t="n">
        <v>0</v>
      </c>
      <c r="L10" s="228" t="n">
        <v>35000</v>
      </c>
      <c r="N10" s="212"/>
      <c r="O10" s="212"/>
    </row>
    <row r="11" customFormat="false" ht="15" hidden="false" customHeight="true" outlineLevel="0" collapsed="false">
      <c r="B11" s="208" t="n">
        <v>2024</v>
      </c>
      <c r="C11" s="209" t="n">
        <v>1</v>
      </c>
      <c r="D11" s="226" t="s">
        <v>98</v>
      </c>
      <c r="E11" s="221" t="n">
        <v>51994540164</v>
      </c>
      <c r="F11" s="221" t="n">
        <v>96900867</v>
      </c>
      <c r="G11" s="221" t="n">
        <v>1</v>
      </c>
      <c r="H11" s="227" t="s">
        <v>97</v>
      </c>
      <c r="I11" s="228" t="n">
        <v>35000</v>
      </c>
      <c r="J11" s="228" t="n">
        <v>35000</v>
      </c>
      <c r="K11" s="214" t="n">
        <v>0</v>
      </c>
      <c r="L11" s="228" t="n">
        <v>35000</v>
      </c>
      <c r="N11" s="212"/>
      <c r="O11" s="212"/>
    </row>
    <row r="12" customFormat="false" ht="15" hidden="false" customHeight="true" outlineLevel="0" collapsed="false">
      <c r="B12" s="208" t="n">
        <v>2024</v>
      </c>
      <c r="C12" s="209" t="n">
        <v>1</v>
      </c>
      <c r="D12" s="226" t="s">
        <v>51</v>
      </c>
      <c r="E12" s="221" t="n">
        <v>23713484608</v>
      </c>
      <c r="F12" s="221" t="n">
        <v>97189681</v>
      </c>
      <c r="G12" s="221" t="n">
        <v>1</v>
      </c>
      <c r="H12" s="227" t="s">
        <v>100</v>
      </c>
      <c r="I12" s="228" t="n">
        <v>30000</v>
      </c>
      <c r="J12" s="228" t="n">
        <v>30000</v>
      </c>
      <c r="K12" s="214" t="n">
        <v>0</v>
      </c>
      <c r="L12" s="228" t="n">
        <v>30000</v>
      </c>
      <c r="N12" s="212"/>
      <c r="O12" s="212"/>
    </row>
    <row r="13" customFormat="false" ht="15" hidden="false" customHeight="true" outlineLevel="0" collapsed="false">
      <c r="B13" s="208" t="n">
        <v>2024</v>
      </c>
      <c r="C13" s="209" t="n">
        <v>1</v>
      </c>
      <c r="D13" s="226" t="s">
        <v>82</v>
      </c>
      <c r="E13" s="221" t="n">
        <v>17891875174</v>
      </c>
      <c r="F13" s="221" t="n">
        <v>6214238</v>
      </c>
      <c r="G13" s="221" t="n">
        <v>1</v>
      </c>
      <c r="H13" s="227" t="s">
        <v>190</v>
      </c>
      <c r="I13" s="228" t="n">
        <v>17002</v>
      </c>
      <c r="J13" s="228" t="n">
        <v>17002</v>
      </c>
      <c r="K13" s="214" t="n">
        <v>0</v>
      </c>
      <c r="L13" s="228" t="n">
        <v>17002</v>
      </c>
      <c r="N13" s="212"/>
      <c r="O13" s="212"/>
    </row>
    <row r="14" customFormat="false" ht="15" hidden="false" customHeight="true" outlineLevel="0" collapsed="false">
      <c r="B14" s="208" t="n">
        <v>2024</v>
      </c>
      <c r="C14" s="209" t="n">
        <v>1</v>
      </c>
      <c r="D14" s="226" t="s">
        <v>69</v>
      </c>
      <c r="E14" s="221" t="n">
        <v>38233125580</v>
      </c>
      <c r="F14" s="221" t="n">
        <v>95532065</v>
      </c>
      <c r="G14" s="221" t="n">
        <v>1</v>
      </c>
      <c r="H14" s="227" t="s">
        <v>191</v>
      </c>
      <c r="I14" s="228" t="n">
        <v>37500</v>
      </c>
      <c r="J14" s="228" t="n">
        <v>37500</v>
      </c>
      <c r="K14" s="214" t="n">
        <v>0</v>
      </c>
      <c r="L14" s="228" t="n">
        <v>37500</v>
      </c>
      <c r="N14" s="212"/>
      <c r="O14" s="212"/>
    </row>
    <row r="15" customFormat="false" ht="15" hidden="false" customHeight="true" outlineLevel="0" collapsed="false">
      <c r="B15" s="208" t="n">
        <v>2024</v>
      </c>
      <c r="C15" s="209" t="n">
        <v>1</v>
      </c>
      <c r="D15" s="226" t="s">
        <v>59</v>
      </c>
      <c r="E15" s="221" t="n">
        <v>18736701092</v>
      </c>
      <c r="F15" s="221" t="n">
        <v>95547779</v>
      </c>
      <c r="G15" s="221" t="n">
        <v>1</v>
      </c>
      <c r="H15" s="227" t="s">
        <v>127</v>
      </c>
      <c r="I15" s="228" t="n">
        <v>30000</v>
      </c>
      <c r="J15" s="228" t="n">
        <v>17002</v>
      </c>
      <c r="K15" s="214" t="n">
        <v>12998</v>
      </c>
      <c r="L15" s="228" t="n">
        <v>30000</v>
      </c>
      <c r="N15" s="212"/>
      <c r="O15" s="212"/>
    </row>
    <row r="16" customFormat="false" ht="15" hidden="false" customHeight="true" outlineLevel="0" collapsed="false">
      <c r="B16" s="208" t="n">
        <v>2024</v>
      </c>
      <c r="C16" s="209" t="n">
        <v>1</v>
      </c>
      <c r="D16" s="226" t="s">
        <v>192</v>
      </c>
      <c r="E16" s="221" t="n">
        <v>0</v>
      </c>
      <c r="F16" s="221" t="n">
        <v>0</v>
      </c>
      <c r="G16" s="221" t="n">
        <v>0</v>
      </c>
      <c r="H16" s="227" t="s">
        <v>74</v>
      </c>
      <c r="I16" s="228" t="n">
        <v>18685</v>
      </c>
      <c r="J16" s="228" t="n">
        <v>0</v>
      </c>
      <c r="K16" s="214" t="n">
        <v>18685</v>
      </c>
      <c r="L16" s="228" t="n">
        <v>18685</v>
      </c>
      <c r="N16" s="212"/>
      <c r="O16" s="212"/>
    </row>
    <row r="17" customFormat="false" ht="15" hidden="false" customHeight="true" outlineLevel="0" collapsed="false">
      <c r="B17" s="208" t="n">
        <v>2024</v>
      </c>
      <c r="C17" s="209" t="n">
        <v>1</v>
      </c>
      <c r="D17" s="226" t="s">
        <v>34</v>
      </c>
      <c r="E17" s="221" t="n">
        <v>29107341298</v>
      </c>
      <c r="F17" s="221" t="n">
        <v>0</v>
      </c>
      <c r="G17" s="221" t="n">
        <v>0</v>
      </c>
      <c r="H17" s="227" t="s">
        <v>193</v>
      </c>
      <c r="I17" s="228" t="n">
        <v>29000</v>
      </c>
      <c r="J17" s="228" t="n">
        <v>0</v>
      </c>
      <c r="K17" s="214" t="n">
        <v>29000</v>
      </c>
      <c r="L17" s="228" t="n">
        <v>29000</v>
      </c>
      <c r="N17" s="212" t="s">
        <v>194</v>
      </c>
      <c r="O17" s="212"/>
    </row>
    <row r="18" customFormat="false" ht="15" hidden="false" customHeight="true" outlineLevel="0" collapsed="false">
      <c r="B18" s="208" t="n">
        <v>2024</v>
      </c>
      <c r="C18" s="209" t="n">
        <v>1</v>
      </c>
      <c r="D18" s="226" t="s">
        <v>34</v>
      </c>
      <c r="E18" s="221" t="n">
        <v>10459950610</v>
      </c>
      <c r="F18" s="221" t="n">
        <v>97226520</v>
      </c>
      <c r="G18" s="221" t="n">
        <v>1</v>
      </c>
      <c r="H18" s="229" t="s">
        <v>195</v>
      </c>
      <c r="I18" s="228" t="n">
        <v>30000</v>
      </c>
      <c r="J18" s="228" t="n">
        <v>30000</v>
      </c>
      <c r="K18" s="214" t="n">
        <v>0</v>
      </c>
      <c r="L18" s="228" t="n">
        <v>30000</v>
      </c>
      <c r="N18" s="212"/>
      <c r="O18" s="212"/>
    </row>
    <row r="19" customFormat="false" ht="15" hidden="false" customHeight="true" outlineLevel="0" collapsed="false">
      <c r="B19" s="208" t="n">
        <v>2024</v>
      </c>
      <c r="C19" s="209" t="n">
        <v>1</v>
      </c>
      <c r="D19" s="226" t="s">
        <v>69</v>
      </c>
      <c r="E19" s="221" t="n">
        <v>63097169876</v>
      </c>
      <c r="F19" s="221" t="n">
        <v>96843148</v>
      </c>
      <c r="G19" s="221" t="n">
        <v>1</v>
      </c>
      <c r="H19" s="229" t="s">
        <v>122</v>
      </c>
      <c r="I19" s="228" t="n">
        <v>35000</v>
      </c>
      <c r="J19" s="228" t="n">
        <v>35000</v>
      </c>
      <c r="K19" s="214" t="n">
        <v>0</v>
      </c>
      <c r="L19" s="228" t="n">
        <v>35000</v>
      </c>
      <c r="N19" s="212"/>
      <c r="O19" s="212"/>
    </row>
    <row r="20" customFormat="false" ht="15" hidden="false" customHeight="true" outlineLevel="0" collapsed="false">
      <c r="B20" s="208" t="n">
        <v>2024</v>
      </c>
      <c r="C20" s="209" t="n">
        <v>1</v>
      </c>
      <c r="D20" s="226" t="s">
        <v>43</v>
      </c>
      <c r="E20" s="221" t="n">
        <v>0</v>
      </c>
      <c r="F20" s="221" t="n">
        <v>0</v>
      </c>
      <c r="G20" s="221" t="n">
        <v>0</v>
      </c>
      <c r="H20" s="229" t="s">
        <v>196</v>
      </c>
      <c r="I20" s="228" t="n">
        <v>20000</v>
      </c>
      <c r="J20" s="228" t="n">
        <v>0</v>
      </c>
      <c r="K20" s="214" t="n">
        <v>15000</v>
      </c>
      <c r="L20" s="228" t="n">
        <v>15000</v>
      </c>
      <c r="M20" s="213" t="n">
        <v>-5000</v>
      </c>
      <c r="N20" s="212" t="s">
        <v>197</v>
      </c>
      <c r="O20" s="212"/>
    </row>
    <row r="21" customFormat="false" ht="15" hidden="false" customHeight="true" outlineLevel="0" collapsed="false">
      <c r="B21" s="208" t="n">
        <v>2024</v>
      </c>
      <c r="C21" s="209" t="n">
        <v>1</v>
      </c>
      <c r="D21" s="226" t="s">
        <v>56</v>
      </c>
      <c r="E21" s="221" t="n">
        <v>18727701384</v>
      </c>
      <c r="F21" s="221" t="n">
        <v>98682849</v>
      </c>
      <c r="G21" s="221" t="n">
        <v>1</v>
      </c>
      <c r="H21" s="229" t="s">
        <v>198</v>
      </c>
      <c r="I21" s="228" t="n">
        <v>32500</v>
      </c>
      <c r="J21" s="228" t="n">
        <v>32500</v>
      </c>
      <c r="K21" s="214" t="n">
        <v>0</v>
      </c>
      <c r="L21" s="228" t="n">
        <v>32500</v>
      </c>
      <c r="N21" s="212"/>
      <c r="O21" s="212"/>
    </row>
    <row r="22" customFormat="false" ht="15" hidden="false" customHeight="true" outlineLevel="0" collapsed="false">
      <c r="B22" s="208" t="n">
        <v>2024</v>
      </c>
      <c r="C22" s="209" t="n">
        <v>1</v>
      </c>
      <c r="D22" s="226" t="s">
        <v>56</v>
      </c>
      <c r="E22" s="221" t="n">
        <v>24293051488</v>
      </c>
      <c r="F22" s="221" t="n">
        <v>98751426</v>
      </c>
      <c r="G22" s="221" t="n">
        <v>1</v>
      </c>
      <c r="H22" s="229" t="s">
        <v>199</v>
      </c>
      <c r="I22" s="228" t="n">
        <v>6234</v>
      </c>
      <c r="J22" s="228" t="n">
        <v>6234</v>
      </c>
      <c r="K22" s="214" t="n">
        <v>0</v>
      </c>
      <c r="L22" s="228" t="n">
        <v>6234</v>
      </c>
      <c r="N22" s="212"/>
      <c r="O22" s="212"/>
    </row>
    <row r="23" customFormat="false" ht="15" hidden="false" customHeight="true" outlineLevel="0" collapsed="false">
      <c r="B23" s="208" t="n">
        <v>2024</v>
      </c>
      <c r="C23" s="209" t="n">
        <v>1</v>
      </c>
      <c r="D23" s="226" t="s">
        <v>34</v>
      </c>
      <c r="E23" s="221" t="n">
        <v>0</v>
      </c>
      <c r="F23" s="221" t="n">
        <v>0</v>
      </c>
      <c r="G23" s="221" t="n">
        <v>0</v>
      </c>
      <c r="H23" s="229" t="s">
        <v>102</v>
      </c>
      <c r="I23" s="228" t="n">
        <v>30000</v>
      </c>
      <c r="J23" s="228" t="n">
        <v>0</v>
      </c>
      <c r="K23" s="214" t="n">
        <v>30000</v>
      </c>
      <c r="L23" s="228" t="n">
        <v>30000</v>
      </c>
      <c r="N23" s="212"/>
      <c r="O23" s="212"/>
    </row>
    <row r="24" customFormat="false" ht="15" hidden="false" customHeight="true" outlineLevel="0" collapsed="false">
      <c r="B24" s="208" t="n">
        <v>2024</v>
      </c>
      <c r="C24" s="209" t="n">
        <v>1</v>
      </c>
      <c r="D24" s="226" t="s">
        <v>34</v>
      </c>
      <c r="E24" s="221" t="n">
        <v>0</v>
      </c>
      <c r="F24" s="221" t="n">
        <v>0</v>
      </c>
      <c r="G24" s="221" t="n">
        <v>0</v>
      </c>
      <c r="H24" s="229" t="s">
        <v>48</v>
      </c>
      <c r="I24" s="228" t="n">
        <v>30000</v>
      </c>
      <c r="J24" s="228" t="n">
        <v>0</v>
      </c>
      <c r="K24" s="214" t="n">
        <v>31000</v>
      </c>
      <c r="L24" s="228" t="n">
        <v>31000</v>
      </c>
      <c r="M24" s="213" t="n">
        <v>1000</v>
      </c>
      <c r="N24" s="212" t="s">
        <v>200</v>
      </c>
      <c r="O24" s="212"/>
    </row>
    <row r="25" customFormat="false" ht="15" hidden="false" customHeight="true" outlineLevel="0" collapsed="false">
      <c r="B25" s="208" t="n">
        <v>2024</v>
      </c>
      <c r="C25" s="209" t="n">
        <v>1</v>
      </c>
      <c r="D25" s="226" t="s">
        <v>105</v>
      </c>
      <c r="E25" s="221" t="n">
        <v>14188598600</v>
      </c>
      <c r="F25" s="221" t="n">
        <v>0</v>
      </c>
      <c r="G25" s="221" t="n">
        <v>0</v>
      </c>
      <c r="H25" s="229" t="s">
        <v>104</v>
      </c>
      <c r="I25" s="228" t="n">
        <v>35000</v>
      </c>
      <c r="J25" s="228" t="n">
        <v>0</v>
      </c>
      <c r="K25" s="214" t="n">
        <v>35000</v>
      </c>
      <c r="L25" s="228" t="n">
        <v>35000</v>
      </c>
      <c r="N25" s="212"/>
      <c r="O25" s="212"/>
    </row>
    <row r="26" customFormat="false" ht="15" hidden="false" customHeight="true" outlineLevel="0" collapsed="false">
      <c r="B26" s="208" t="n">
        <v>2024</v>
      </c>
      <c r="C26" s="209" t="n">
        <v>1</v>
      </c>
      <c r="D26" s="226" t="s">
        <v>69</v>
      </c>
      <c r="E26" s="221" t="n">
        <v>20743377542</v>
      </c>
      <c r="F26" s="221" t="n">
        <v>99029232</v>
      </c>
      <c r="G26" s="221" t="n">
        <v>1</v>
      </c>
      <c r="H26" s="229" t="s">
        <v>109</v>
      </c>
      <c r="I26" s="228" t="n">
        <v>36250</v>
      </c>
      <c r="J26" s="228" t="n">
        <v>36250</v>
      </c>
      <c r="K26" s="214" t="n">
        <v>0</v>
      </c>
      <c r="L26" s="228" t="n">
        <v>36250</v>
      </c>
      <c r="N26" s="212" t="s">
        <v>194</v>
      </c>
      <c r="O26" s="212"/>
    </row>
    <row r="27" customFormat="false" ht="15" hidden="false" customHeight="true" outlineLevel="0" collapsed="false">
      <c r="B27" s="208" t="n">
        <v>2024</v>
      </c>
      <c r="C27" s="209" t="n">
        <v>1</v>
      </c>
      <c r="D27" s="226" t="s">
        <v>59</v>
      </c>
      <c r="E27" s="221" t="n">
        <v>74524099796</v>
      </c>
      <c r="F27" s="221" t="n">
        <v>98127163</v>
      </c>
      <c r="G27" s="221" t="n">
        <v>1</v>
      </c>
      <c r="H27" s="229" t="s">
        <v>129</v>
      </c>
      <c r="I27" s="228" t="n">
        <v>30000</v>
      </c>
      <c r="J27" s="228" t="n">
        <v>17002</v>
      </c>
      <c r="K27" s="214" t="n">
        <v>12998</v>
      </c>
      <c r="L27" s="228" t="n">
        <v>30000</v>
      </c>
      <c r="N27" s="212"/>
      <c r="O27" s="212"/>
    </row>
    <row r="28" customFormat="false" ht="15" hidden="false" customHeight="true" outlineLevel="0" collapsed="false">
      <c r="B28" s="208" t="n">
        <v>2024</v>
      </c>
      <c r="C28" s="209" t="n">
        <v>1</v>
      </c>
      <c r="D28" s="226" t="s">
        <v>59</v>
      </c>
      <c r="E28" s="221" t="n">
        <v>22093575890</v>
      </c>
      <c r="F28" s="221" t="n">
        <v>96260905</v>
      </c>
      <c r="G28" s="221" t="n">
        <v>1</v>
      </c>
      <c r="H28" s="229" t="s">
        <v>133</v>
      </c>
      <c r="I28" s="228" t="n">
        <v>30000</v>
      </c>
      <c r="J28" s="228" t="n">
        <v>30000</v>
      </c>
      <c r="K28" s="214" t="n">
        <v>0</v>
      </c>
      <c r="L28" s="228" t="n">
        <v>30000</v>
      </c>
      <c r="N28" s="212"/>
      <c r="O28" s="212"/>
    </row>
    <row r="29" customFormat="false" ht="15" hidden="false" customHeight="true" outlineLevel="0" collapsed="false">
      <c r="B29" s="208" t="n">
        <v>2024</v>
      </c>
      <c r="C29" s="209" t="n">
        <v>1</v>
      </c>
      <c r="D29" s="226" t="s">
        <v>59</v>
      </c>
      <c r="E29" s="221" t="n">
        <v>30148302742</v>
      </c>
      <c r="F29" s="221" t="n">
        <v>97726066</v>
      </c>
      <c r="G29" s="221" t="n">
        <v>1</v>
      </c>
      <c r="H29" s="229" t="s">
        <v>62</v>
      </c>
      <c r="I29" s="228" t="n">
        <v>17002</v>
      </c>
      <c r="J29" s="228" t="n">
        <v>17002</v>
      </c>
      <c r="K29" s="214" t="n">
        <v>0</v>
      </c>
      <c r="L29" s="228" t="n">
        <v>17002</v>
      </c>
      <c r="N29" s="212"/>
      <c r="O29" s="212"/>
    </row>
    <row r="30" customFormat="false" ht="15" hidden="false" customHeight="true" outlineLevel="0" collapsed="false">
      <c r="B30" s="208" t="n">
        <v>2024</v>
      </c>
      <c r="C30" s="209" t="n">
        <v>1</v>
      </c>
      <c r="D30" s="226" t="s">
        <v>59</v>
      </c>
      <c r="E30" s="221" t="n">
        <v>64996156028</v>
      </c>
      <c r="F30" s="221" t="n">
        <v>95539771</v>
      </c>
      <c r="G30" s="221" t="n">
        <v>1</v>
      </c>
      <c r="H30" s="227" t="s">
        <v>55</v>
      </c>
      <c r="I30" s="228" t="n">
        <v>30000</v>
      </c>
      <c r="J30" s="228" t="n">
        <v>30000</v>
      </c>
      <c r="K30" s="214" t="n">
        <v>0</v>
      </c>
      <c r="L30" s="228" t="n">
        <v>30000</v>
      </c>
      <c r="M30" s="228"/>
      <c r="N30" s="212"/>
      <c r="O30" s="212"/>
    </row>
    <row r="31" customFormat="false" ht="15" hidden="false" customHeight="true" outlineLevel="0" collapsed="false">
      <c r="B31" s="208" t="n">
        <v>2024</v>
      </c>
      <c r="C31" s="209" t="n">
        <v>1</v>
      </c>
      <c r="D31" s="226" t="s">
        <v>59</v>
      </c>
      <c r="E31" s="221" t="n">
        <v>0</v>
      </c>
      <c r="F31" s="221" t="n">
        <v>0</v>
      </c>
      <c r="G31" s="221" t="n">
        <v>0</v>
      </c>
      <c r="H31" s="229" t="s">
        <v>134</v>
      </c>
      <c r="I31" s="228" t="n">
        <v>15000</v>
      </c>
      <c r="J31" s="228" t="n">
        <v>0</v>
      </c>
      <c r="K31" s="214" t="n">
        <v>15000</v>
      </c>
      <c r="L31" s="228" t="n">
        <v>15000</v>
      </c>
      <c r="M31" s="228"/>
      <c r="N31" s="212"/>
      <c r="O31" s="212"/>
    </row>
    <row r="32" customFormat="false" ht="15" hidden="false" customHeight="true" outlineLevel="0" collapsed="false">
      <c r="B32" s="208" t="n">
        <v>2024</v>
      </c>
      <c r="C32" s="209" t="n">
        <v>1</v>
      </c>
      <c r="D32" s="230" t="s">
        <v>59</v>
      </c>
      <c r="E32" s="231" t="n">
        <v>0</v>
      </c>
      <c r="F32" s="231" t="n">
        <v>0</v>
      </c>
      <c r="G32" s="232" t="n">
        <v>0</v>
      </c>
      <c r="H32" s="229" t="s">
        <v>135</v>
      </c>
      <c r="I32" s="228" t="n">
        <v>20000</v>
      </c>
      <c r="J32" s="228" t="n">
        <v>0</v>
      </c>
      <c r="K32" s="214" t="n">
        <v>20000</v>
      </c>
      <c r="L32" s="228" t="n">
        <v>11000</v>
      </c>
      <c r="M32" s="228"/>
      <c r="N32" s="212"/>
      <c r="O32" s="212"/>
    </row>
    <row r="33" customFormat="false" ht="15" hidden="false" customHeight="true" outlineLevel="0" collapsed="false">
      <c r="B33" s="208" t="n">
        <v>2024</v>
      </c>
      <c r="C33" s="209" t="n">
        <v>2</v>
      </c>
      <c r="D33" s="226" t="s">
        <v>56</v>
      </c>
      <c r="E33" s="221" t="n">
        <v>28699369338</v>
      </c>
      <c r="F33" s="221" t="n">
        <v>96358353</v>
      </c>
      <c r="G33" s="221" t="n">
        <v>1</v>
      </c>
      <c r="H33" s="227" t="s">
        <v>79</v>
      </c>
      <c r="I33" s="228" t="n">
        <v>40000</v>
      </c>
      <c r="J33" s="228" t="n">
        <v>40000</v>
      </c>
      <c r="K33" s="214" t="n">
        <v>0</v>
      </c>
      <c r="L33" s="228" t="n">
        <v>40000</v>
      </c>
      <c r="N33" s="212"/>
      <c r="O33" s="212"/>
    </row>
    <row r="34" customFormat="false" ht="15" hidden="false" customHeight="true" outlineLevel="0" collapsed="false">
      <c r="B34" s="208" t="n">
        <v>2024</v>
      </c>
      <c r="C34" s="209" t="n">
        <v>2</v>
      </c>
      <c r="D34" s="226" t="s">
        <v>82</v>
      </c>
      <c r="E34" s="221" t="n">
        <v>36826974454</v>
      </c>
      <c r="F34" s="221" t="n">
        <v>95573006</v>
      </c>
      <c r="G34" s="221" t="n">
        <v>1</v>
      </c>
      <c r="H34" s="227" t="s">
        <v>188</v>
      </c>
      <c r="I34" s="228" t="n">
        <v>17002</v>
      </c>
      <c r="J34" s="228" t="n">
        <v>17002</v>
      </c>
      <c r="K34" s="214" t="n">
        <v>0</v>
      </c>
      <c r="L34" s="228" t="n">
        <v>17002</v>
      </c>
      <c r="N34" s="212"/>
      <c r="O34" s="212"/>
    </row>
    <row r="35" customFormat="false" ht="15" hidden="false" customHeight="true" outlineLevel="0" collapsed="false">
      <c r="B35" s="208" t="n">
        <v>2024</v>
      </c>
      <c r="C35" s="209" t="n">
        <v>2</v>
      </c>
      <c r="D35" s="226" t="s">
        <v>82</v>
      </c>
      <c r="E35" s="221" t="n">
        <v>17630785580</v>
      </c>
      <c r="F35" s="221" t="n">
        <v>95529415</v>
      </c>
      <c r="G35" s="221" t="n">
        <v>1</v>
      </c>
      <c r="H35" s="227" t="s">
        <v>81</v>
      </c>
      <c r="I35" s="228" t="n">
        <v>87000</v>
      </c>
      <c r="J35" s="228" t="n">
        <v>40000</v>
      </c>
      <c r="K35" s="214" t="n">
        <v>47000</v>
      </c>
      <c r="L35" s="228" t="n">
        <v>87000</v>
      </c>
      <c r="N35" s="212"/>
      <c r="O35" s="212"/>
    </row>
    <row r="36" customFormat="false" ht="15" hidden="false" customHeight="true" outlineLevel="0" collapsed="false">
      <c r="B36" s="208" t="n">
        <v>2024</v>
      </c>
      <c r="C36" s="209" t="n">
        <v>2</v>
      </c>
      <c r="D36" s="226" t="s">
        <v>56</v>
      </c>
      <c r="E36" s="221" t="n">
        <v>55186680706</v>
      </c>
      <c r="F36" s="221" t="n">
        <v>95787183</v>
      </c>
      <c r="G36" s="221" t="n">
        <v>1</v>
      </c>
      <c r="H36" s="227" t="s">
        <v>73</v>
      </c>
      <c r="I36" s="228" t="n">
        <v>17002</v>
      </c>
      <c r="J36" s="228" t="n">
        <v>17002</v>
      </c>
      <c r="K36" s="214" t="n">
        <v>0</v>
      </c>
      <c r="L36" s="228" t="n">
        <v>17002</v>
      </c>
      <c r="N36" s="212"/>
      <c r="O36" s="212"/>
    </row>
    <row r="37" customFormat="false" ht="15" hidden="false" customHeight="true" outlineLevel="0" collapsed="false">
      <c r="B37" s="208" t="n">
        <v>2024</v>
      </c>
      <c r="C37" s="209" t="n">
        <v>2</v>
      </c>
      <c r="D37" s="226" t="s">
        <v>82</v>
      </c>
      <c r="E37" s="221" t="n">
        <v>21242693324</v>
      </c>
      <c r="F37" s="221" t="n">
        <v>95532064</v>
      </c>
      <c r="G37" s="221" t="n">
        <v>1</v>
      </c>
      <c r="H37" s="227" t="s">
        <v>85</v>
      </c>
      <c r="I37" s="228" t="n">
        <v>25000</v>
      </c>
      <c r="J37" s="228" t="n">
        <v>25000</v>
      </c>
      <c r="K37" s="214" t="n">
        <v>0</v>
      </c>
      <c r="L37" s="228" t="n">
        <v>25000</v>
      </c>
      <c r="N37" s="212"/>
      <c r="O37" s="212"/>
    </row>
    <row r="38" customFormat="false" ht="15" hidden="false" customHeight="true" outlineLevel="0" collapsed="false">
      <c r="B38" s="208" t="n">
        <v>2024</v>
      </c>
      <c r="C38" s="209" t="n">
        <v>2</v>
      </c>
      <c r="D38" s="226" t="s">
        <v>82</v>
      </c>
      <c r="E38" s="221" t="n">
        <v>17159801204</v>
      </c>
      <c r="F38" s="221" t="n">
        <v>95532066</v>
      </c>
      <c r="G38" s="221" t="n">
        <v>1</v>
      </c>
      <c r="H38" s="227" t="s">
        <v>87</v>
      </c>
      <c r="I38" s="228" t="n">
        <v>35000</v>
      </c>
      <c r="J38" s="228" t="n">
        <v>35000</v>
      </c>
      <c r="K38" s="214" t="n">
        <v>0</v>
      </c>
      <c r="L38" s="228" t="n">
        <v>35000</v>
      </c>
      <c r="N38" s="212"/>
      <c r="O38" s="212"/>
    </row>
    <row r="39" customFormat="false" ht="15" hidden="false" customHeight="true" outlineLevel="0" collapsed="false">
      <c r="B39" s="208" t="n">
        <v>2024</v>
      </c>
      <c r="C39" s="209" t="n">
        <v>2</v>
      </c>
      <c r="D39" s="226" t="s">
        <v>69</v>
      </c>
      <c r="E39" s="221" t="n">
        <v>23764482950</v>
      </c>
      <c r="F39" s="221" t="n">
        <v>95532077</v>
      </c>
      <c r="G39" s="221" t="n">
        <v>1</v>
      </c>
      <c r="H39" s="227" t="s">
        <v>93</v>
      </c>
      <c r="I39" s="228" t="n">
        <v>25000</v>
      </c>
      <c r="J39" s="228" t="n">
        <v>25000</v>
      </c>
      <c r="K39" s="214" t="n">
        <v>0</v>
      </c>
      <c r="L39" s="228" t="n">
        <v>25000</v>
      </c>
      <c r="N39" s="212" t="s">
        <v>201</v>
      </c>
      <c r="O39" s="212"/>
    </row>
    <row r="40" customFormat="false" ht="15" hidden="false" customHeight="true" outlineLevel="0" collapsed="false">
      <c r="B40" s="208" t="n">
        <v>2024</v>
      </c>
      <c r="C40" s="209" t="n">
        <v>2</v>
      </c>
      <c r="D40" s="226" t="s">
        <v>34</v>
      </c>
      <c r="E40" s="221" t="n">
        <v>25672444846</v>
      </c>
      <c r="F40" s="221" t="n">
        <v>95693810</v>
      </c>
      <c r="G40" s="221" t="n">
        <v>1</v>
      </c>
      <c r="H40" s="227" t="s">
        <v>95</v>
      </c>
      <c r="I40" s="228" t="n">
        <v>28000</v>
      </c>
      <c r="J40" s="228" t="n">
        <v>28000</v>
      </c>
      <c r="K40" s="214" t="n">
        <v>0</v>
      </c>
      <c r="L40" s="228" t="n">
        <v>28000</v>
      </c>
      <c r="N40" s="212"/>
      <c r="O40" s="212"/>
    </row>
    <row r="41" customFormat="false" ht="15" hidden="false" customHeight="true" outlineLevel="0" collapsed="false">
      <c r="B41" s="208" t="n">
        <v>2024</v>
      </c>
      <c r="C41" s="209" t="n">
        <v>2</v>
      </c>
      <c r="D41" s="226" t="s">
        <v>69</v>
      </c>
      <c r="E41" s="221" t="n">
        <v>33853146700</v>
      </c>
      <c r="F41" s="221" t="n">
        <v>96959868</v>
      </c>
      <c r="G41" s="221" t="n">
        <v>1</v>
      </c>
      <c r="H41" s="227" t="s">
        <v>103</v>
      </c>
      <c r="I41" s="228" t="n">
        <v>33834.34</v>
      </c>
      <c r="J41" s="228" t="n">
        <v>33834.34</v>
      </c>
      <c r="K41" s="214" t="n">
        <v>0</v>
      </c>
      <c r="L41" s="228" t="n">
        <v>33834.34</v>
      </c>
      <c r="N41" s="212"/>
      <c r="O41" s="212"/>
    </row>
    <row r="42" customFormat="false" ht="15" hidden="false" customHeight="true" outlineLevel="0" collapsed="false">
      <c r="B42" s="208" t="n">
        <v>2024</v>
      </c>
      <c r="C42" s="209" t="n">
        <v>2</v>
      </c>
      <c r="D42" s="226" t="s">
        <v>98</v>
      </c>
      <c r="E42" s="221" t="n">
        <v>51994540164</v>
      </c>
      <c r="F42" s="221" t="n">
        <v>96900867</v>
      </c>
      <c r="G42" s="221" t="n">
        <v>1</v>
      </c>
      <c r="H42" s="227" t="s">
        <v>97</v>
      </c>
      <c r="I42" s="228" t="n">
        <v>40000</v>
      </c>
      <c r="J42" s="228" t="n">
        <v>40000</v>
      </c>
      <c r="K42" s="214" t="n">
        <v>0</v>
      </c>
      <c r="L42" s="228" t="n">
        <v>40000</v>
      </c>
      <c r="N42" s="212"/>
      <c r="O42" s="212"/>
    </row>
    <row r="43" customFormat="false" ht="15" hidden="false" customHeight="true" outlineLevel="0" collapsed="false">
      <c r="B43" s="208" t="n">
        <v>2024</v>
      </c>
      <c r="C43" s="209" t="n">
        <v>2</v>
      </c>
      <c r="D43" s="226" t="s">
        <v>51</v>
      </c>
      <c r="E43" s="221" t="n">
        <v>23713484608</v>
      </c>
      <c r="F43" s="221" t="n">
        <v>97189681</v>
      </c>
      <c r="G43" s="221" t="n">
        <v>1</v>
      </c>
      <c r="H43" s="227" t="s">
        <v>100</v>
      </c>
      <c r="I43" s="228" t="n">
        <v>30000</v>
      </c>
      <c r="J43" s="228" t="n">
        <v>30000</v>
      </c>
      <c r="K43" s="214" t="n">
        <v>0</v>
      </c>
      <c r="L43" s="228" t="n">
        <v>30000</v>
      </c>
      <c r="N43" s="212"/>
      <c r="O43" s="212"/>
    </row>
    <row r="44" customFormat="false" ht="15" hidden="false" customHeight="true" outlineLevel="0" collapsed="false">
      <c r="B44" s="208" t="n">
        <v>2024</v>
      </c>
      <c r="C44" s="209" t="n">
        <v>2</v>
      </c>
      <c r="D44" s="226" t="s">
        <v>82</v>
      </c>
      <c r="E44" s="221" t="n">
        <v>17891875174</v>
      </c>
      <c r="F44" s="221" t="n">
        <v>6214238</v>
      </c>
      <c r="G44" s="221" t="n">
        <v>1</v>
      </c>
      <c r="H44" s="227" t="s">
        <v>190</v>
      </c>
      <c r="I44" s="228" t="n">
        <v>17002</v>
      </c>
      <c r="J44" s="228" t="n">
        <v>17002</v>
      </c>
      <c r="K44" s="214" t="n">
        <v>0</v>
      </c>
      <c r="L44" s="228" t="n">
        <v>17002</v>
      </c>
      <c r="N44" s="212"/>
      <c r="O44" s="212"/>
    </row>
    <row r="45" customFormat="false" ht="15" hidden="false" customHeight="true" outlineLevel="0" collapsed="false">
      <c r="B45" s="208" t="n">
        <v>2024</v>
      </c>
      <c r="C45" s="209" t="n">
        <v>2</v>
      </c>
      <c r="D45" s="226" t="s">
        <v>69</v>
      </c>
      <c r="E45" s="221" t="n">
        <v>38233125580</v>
      </c>
      <c r="F45" s="221" t="n">
        <v>95532065</v>
      </c>
      <c r="G45" s="221" t="n">
        <v>1</v>
      </c>
      <c r="H45" s="227" t="s">
        <v>191</v>
      </c>
      <c r="I45" s="228" t="n">
        <v>36250</v>
      </c>
      <c r="J45" s="228" t="n">
        <v>36250</v>
      </c>
      <c r="K45" s="214" t="n">
        <v>0</v>
      </c>
      <c r="L45" s="228" t="n">
        <v>36250</v>
      </c>
      <c r="N45" s="212"/>
      <c r="O45" s="212"/>
    </row>
    <row r="46" customFormat="false" ht="15" hidden="false" customHeight="true" outlineLevel="0" collapsed="false">
      <c r="B46" s="208" t="n">
        <v>2024</v>
      </c>
      <c r="C46" s="209" t="n">
        <v>2</v>
      </c>
      <c r="D46" s="226" t="s">
        <v>59</v>
      </c>
      <c r="E46" s="221" t="n">
        <v>18736701092</v>
      </c>
      <c r="F46" s="221" t="n">
        <v>95547779</v>
      </c>
      <c r="G46" s="221" t="n">
        <v>1</v>
      </c>
      <c r="H46" s="227" t="s">
        <v>127</v>
      </c>
      <c r="I46" s="228" t="n">
        <v>30000</v>
      </c>
      <c r="J46" s="228" t="n">
        <v>17002</v>
      </c>
      <c r="K46" s="214" t="n">
        <v>12998</v>
      </c>
      <c r="L46" s="228" t="n">
        <v>30000</v>
      </c>
      <c r="N46" s="212"/>
      <c r="O46" s="212"/>
    </row>
    <row r="47" customFormat="false" ht="15" hidden="false" customHeight="true" outlineLevel="0" collapsed="false">
      <c r="B47" s="208" t="n">
        <v>2024</v>
      </c>
      <c r="C47" s="209" t="n">
        <v>2</v>
      </c>
      <c r="D47" s="226" t="s">
        <v>192</v>
      </c>
      <c r="E47" s="221" t="n">
        <v>0</v>
      </c>
      <c r="F47" s="221" t="n">
        <v>0</v>
      </c>
      <c r="G47" s="221" t="n">
        <v>0</v>
      </c>
      <c r="H47" s="227" t="s">
        <v>74</v>
      </c>
      <c r="I47" s="228" t="n">
        <v>18685</v>
      </c>
      <c r="J47" s="228" t="n">
        <v>18685</v>
      </c>
      <c r="K47" s="214" t="n">
        <v>0</v>
      </c>
      <c r="L47" s="228" t="n">
        <v>18685</v>
      </c>
      <c r="N47" s="212" t="s">
        <v>202</v>
      </c>
      <c r="O47" s="212"/>
    </row>
    <row r="48" customFormat="false" ht="15" hidden="false" customHeight="true" outlineLevel="0" collapsed="false">
      <c r="B48" s="208" t="n">
        <v>2024</v>
      </c>
      <c r="C48" s="209" t="n">
        <v>2</v>
      </c>
      <c r="D48" s="226" t="s">
        <v>34</v>
      </c>
      <c r="E48" s="221" t="n">
        <v>29107341298</v>
      </c>
      <c r="F48" s="221" t="n">
        <v>0</v>
      </c>
      <c r="G48" s="221" t="n">
        <v>0</v>
      </c>
      <c r="H48" s="227" t="s">
        <v>193</v>
      </c>
      <c r="I48" s="228" t="n">
        <v>30000</v>
      </c>
      <c r="J48" s="228" t="n">
        <v>0</v>
      </c>
      <c r="K48" s="214" t="n">
        <v>30000</v>
      </c>
      <c r="L48" s="228" t="n">
        <v>30000</v>
      </c>
      <c r="N48" s="212"/>
      <c r="O48" s="212"/>
    </row>
    <row r="49" customFormat="false" ht="15" hidden="false" customHeight="true" outlineLevel="0" collapsed="false">
      <c r="B49" s="208" t="n">
        <v>2024</v>
      </c>
      <c r="C49" s="209" t="n">
        <v>2</v>
      </c>
      <c r="D49" s="226" t="s">
        <v>34</v>
      </c>
      <c r="E49" s="221" t="n">
        <v>10459950610</v>
      </c>
      <c r="F49" s="221" t="n">
        <v>97226520</v>
      </c>
      <c r="G49" s="221" t="n">
        <v>1</v>
      </c>
      <c r="H49" s="229" t="s">
        <v>195</v>
      </c>
      <c r="I49" s="228" t="n">
        <v>30000</v>
      </c>
      <c r="J49" s="228" t="n">
        <v>30000</v>
      </c>
      <c r="K49" s="214" t="n">
        <v>0</v>
      </c>
      <c r="L49" s="228" t="n">
        <v>30000</v>
      </c>
      <c r="N49" s="212"/>
      <c r="O49" s="212"/>
    </row>
    <row r="50" customFormat="false" ht="15" hidden="false" customHeight="true" outlineLevel="0" collapsed="false">
      <c r="B50" s="208" t="n">
        <v>2024</v>
      </c>
      <c r="C50" s="209" t="n">
        <v>2</v>
      </c>
      <c r="D50" s="226" t="s">
        <v>69</v>
      </c>
      <c r="E50" s="221" t="n">
        <v>63097169876</v>
      </c>
      <c r="F50" s="221" t="n">
        <v>96843148</v>
      </c>
      <c r="G50" s="221" t="n">
        <v>1</v>
      </c>
      <c r="H50" s="229" t="s">
        <v>122</v>
      </c>
      <c r="I50" s="228" t="n">
        <v>35000</v>
      </c>
      <c r="J50" s="228" t="n">
        <v>35000</v>
      </c>
      <c r="K50" s="214" t="n">
        <v>0</v>
      </c>
      <c r="L50" s="228" t="n">
        <v>35000</v>
      </c>
      <c r="N50" s="212"/>
      <c r="O50" s="212"/>
    </row>
    <row r="51" customFormat="false" ht="15" hidden="false" customHeight="true" outlineLevel="0" collapsed="false">
      <c r="B51" s="208" t="n">
        <v>2024</v>
      </c>
      <c r="C51" s="209" t="n">
        <v>2</v>
      </c>
      <c r="D51" s="226" t="s">
        <v>43</v>
      </c>
      <c r="E51" s="221" t="n">
        <v>0</v>
      </c>
      <c r="F51" s="221" t="n">
        <v>0</v>
      </c>
      <c r="G51" s="221" t="n">
        <v>0</v>
      </c>
      <c r="H51" s="229" t="s">
        <v>196</v>
      </c>
      <c r="I51" s="228" t="n">
        <v>20000</v>
      </c>
      <c r="J51" s="228" t="n">
        <v>0</v>
      </c>
      <c r="K51" s="214" t="n">
        <v>15000</v>
      </c>
      <c r="L51" s="228" t="n">
        <v>15000</v>
      </c>
      <c r="M51" s="213" t="n">
        <v>-5000</v>
      </c>
      <c r="N51" s="212" t="s">
        <v>159</v>
      </c>
      <c r="O51" s="212"/>
    </row>
    <row r="52" customFormat="false" ht="15" hidden="false" customHeight="true" outlineLevel="0" collapsed="false">
      <c r="B52" s="208" t="n">
        <v>2024</v>
      </c>
      <c r="C52" s="209" t="n">
        <v>2</v>
      </c>
      <c r="D52" s="226" t="s">
        <v>56</v>
      </c>
      <c r="E52" s="221" t="n">
        <v>18727701384</v>
      </c>
      <c r="F52" s="221" t="n">
        <v>98682849</v>
      </c>
      <c r="G52" s="221" t="n">
        <v>1</v>
      </c>
      <c r="H52" s="229" t="s">
        <v>198</v>
      </c>
      <c r="I52" s="228" t="n">
        <v>32500</v>
      </c>
      <c r="J52" s="228" t="n">
        <v>32500</v>
      </c>
      <c r="K52" s="214" t="n">
        <v>0</v>
      </c>
      <c r="L52" s="228" t="n">
        <v>32500</v>
      </c>
      <c r="N52" s="212"/>
      <c r="O52" s="212"/>
    </row>
    <row r="53" customFormat="false" ht="15" hidden="false" customHeight="true" outlineLevel="0" collapsed="false">
      <c r="B53" s="208" t="n">
        <v>2024</v>
      </c>
      <c r="C53" s="209" t="n">
        <v>2</v>
      </c>
      <c r="D53" s="226" t="s">
        <v>34</v>
      </c>
      <c r="E53" s="221" t="n">
        <v>0</v>
      </c>
      <c r="F53" s="221" t="n">
        <v>0</v>
      </c>
      <c r="G53" s="221" t="n">
        <v>0</v>
      </c>
      <c r="H53" s="229" t="s">
        <v>102</v>
      </c>
      <c r="I53" s="228" t="n">
        <v>30000</v>
      </c>
      <c r="J53" s="228" t="n">
        <v>0</v>
      </c>
      <c r="K53" s="214" t="n">
        <v>30000</v>
      </c>
      <c r="L53" s="228" t="n">
        <v>30000</v>
      </c>
      <c r="N53" s="212"/>
      <c r="O53" s="212"/>
    </row>
    <row r="54" customFormat="false" ht="15" hidden="false" customHeight="true" outlineLevel="0" collapsed="false">
      <c r="B54" s="208" t="n">
        <v>2024</v>
      </c>
      <c r="C54" s="209" t="n">
        <v>2</v>
      </c>
      <c r="D54" s="226" t="s">
        <v>34</v>
      </c>
      <c r="E54" s="221" t="n">
        <v>0</v>
      </c>
      <c r="F54" s="221" t="n">
        <v>0</v>
      </c>
      <c r="G54" s="221" t="n">
        <v>0</v>
      </c>
      <c r="H54" s="229" t="s">
        <v>48</v>
      </c>
      <c r="I54" s="228" t="n">
        <v>30000</v>
      </c>
      <c r="J54" s="228" t="n">
        <v>0</v>
      </c>
      <c r="K54" s="214" t="n">
        <v>30000</v>
      </c>
      <c r="L54" s="228" t="n">
        <v>30000</v>
      </c>
      <c r="N54" s="212"/>
      <c r="O54" s="212"/>
    </row>
    <row r="55" customFormat="false" ht="15" hidden="false" customHeight="true" outlineLevel="0" collapsed="false">
      <c r="B55" s="208" t="n">
        <v>2024</v>
      </c>
      <c r="C55" s="209" t="n">
        <v>2</v>
      </c>
      <c r="D55" s="226" t="s">
        <v>105</v>
      </c>
      <c r="E55" s="221" t="n">
        <v>14188598600</v>
      </c>
      <c r="F55" s="221" t="n">
        <v>0</v>
      </c>
      <c r="G55" s="221" t="n">
        <v>0</v>
      </c>
      <c r="H55" s="229" t="s">
        <v>104</v>
      </c>
      <c r="I55" s="228" t="n">
        <v>35000</v>
      </c>
      <c r="J55" s="228" t="n">
        <v>0</v>
      </c>
      <c r="K55" s="214" t="n">
        <v>30000</v>
      </c>
      <c r="L55" s="228" t="n">
        <v>30000</v>
      </c>
      <c r="M55" s="213" t="n">
        <v>-5000</v>
      </c>
      <c r="N55" s="212" t="s">
        <v>159</v>
      </c>
      <c r="O55" s="212"/>
    </row>
    <row r="56" customFormat="false" ht="15" hidden="false" customHeight="true" outlineLevel="0" collapsed="false">
      <c r="B56" s="208" t="n">
        <v>2024</v>
      </c>
      <c r="C56" s="209" t="n">
        <v>2</v>
      </c>
      <c r="D56" s="226" t="s">
        <v>69</v>
      </c>
      <c r="E56" s="221" t="n">
        <v>20743377542</v>
      </c>
      <c r="F56" s="221" t="n">
        <v>99029232</v>
      </c>
      <c r="G56" s="221" t="n">
        <v>1</v>
      </c>
      <c r="H56" s="229" t="s">
        <v>109</v>
      </c>
      <c r="I56" s="228" t="n">
        <v>36250</v>
      </c>
      <c r="J56" s="228" t="n">
        <v>36250</v>
      </c>
      <c r="K56" s="214" t="n">
        <v>0</v>
      </c>
      <c r="L56" s="228" t="n">
        <v>36250</v>
      </c>
      <c r="N56" s="212"/>
      <c r="O56" s="212"/>
    </row>
    <row r="57" customFormat="false" ht="15" hidden="false" customHeight="true" outlineLevel="0" collapsed="false">
      <c r="B57" s="208" t="n">
        <v>2024</v>
      </c>
      <c r="C57" s="209" t="n">
        <v>2</v>
      </c>
      <c r="D57" s="226" t="s">
        <v>59</v>
      </c>
      <c r="E57" s="221" t="n">
        <v>74524099796</v>
      </c>
      <c r="F57" s="221" t="n">
        <v>98127163</v>
      </c>
      <c r="G57" s="221" t="n">
        <v>1</v>
      </c>
      <c r="H57" s="229" t="s">
        <v>129</v>
      </c>
      <c r="I57" s="228" t="n">
        <v>30000</v>
      </c>
      <c r="J57" s="228" t="n">
        <v>17002</v>
      </c>
      <c r="K57" s="214" t="n">
        <v>12998</v>
      </c>
      <c r="L57" s="228" t="n">
        <v>30000</v>
      </c>
      <c r="N57" s="212"/>
      <c r="O57" s="212"/>
    </row>
    <row r="58" customFormat="false" ht="15" hidden="false" customHeight="true" outlineLevel="0" collapsed="false">
      <c r="B58" s="208" t="n">
        <v>2024</v>
      </c>
      <c r="C58" s="209" t="n">
        <v>2</v>
      </c>
      <c r="D58" s="226" t="s">
        <v>59</v>
      </c>
      <c r="E58" s="221" t="n">
        <v>22093575890</v>
      </c>
      <c r="F58" s="221" t="n">
        <v>96260905</v>
      </c>
      <c r="G58" s="221" t="n">
        <v>1</v>
      </c>
      <c r="H58" s="229" t="s">
        <v>133</v>
      </c>
      <c r="I58" s="228" t="n">
        <v>30000</v>
      </c>
      <c r="J58" s="228" t="n">
        <v>30000</v>
      </c>
      <c r="K58" s="214" t="n">
        <v>0</v>
      </c>
      <c r="L58" s="228" t="n">
        <v>30000</v>
      </c>
      <c r="N58" s="212"/>
      <c r="O58" s="212"/>
    </row>
    <row r="59" customFormat="false" ht="15" hidden="false" customHeight="true" outlineLevel="0" collapsed="false">
      <c r="B59" s="208" t="n">
        <v>2024</v>
      </c>
      <c r="C59" s="209" t="n">
        <v>2</v>
      </c>
      <c r="D59" s="226" t="s">
        <v>59</v>
      </c>
      <c r="E59" s="221" t="n">
        <v>30148302742</v>
      </c>
      <c r="F59" s="221" t="n">
        <v>97726066</v>
      </c>
      <c r="G59" s="221" t="n">
        <v>1</v>
      </c>
      <c r="H59" s="229" t="s">
        <v>62</v>
      </c>
      <c r="I59" s="228" t="n">
        <v>17002</v>
      </c>
      <c r="J59" s="228" t="n">
        <v>17002</v>
      </c>
      <c r="K59" s="214" t="n">
        <v>0</v>
      </c>
      <c r="L59" s="228" t="n">
        <v>17002</v>
      </c>
      <c r="N59" s="212"/>
      <c r="O59" s="212"/>
    </row>
    <row r="60" customFormat="false" ht="15" hidden="false" customHeight="true" outlineLevel="0" collapsed="false">
      <c r="B60" s="208" t="n">
        <v>2024</v>
      </c>
      <c r="C60" s="209" t="n">
        <v>2</v>
      </c>
      <c r="D60" s="226" t="s">
        <v>59</v>
      </c>
      <c r="E60" s="221" t="n">
        <v>64996156028</v>
      </c>
      <c r="F60" s="221" t="n">
        <v>95539771</v>
      </c>
      <c r="G60" s="221" t="n">
        <v>1</v>
      </c>
      <c r="H60" s="227" t="s">
        <v>55</v>
      </c>
      <c r="I60" s="228" t="n">
        <v>30000</v>
      </c>
      <c r="J60" s="228" t="n">
        <v>30000</v>
      </c>
      <c r="K60" s="214" t="n">
        <v>0</v>
      </c>
      <c r="L60" s="228" t="n">
        <v>30000</v>
      </c>
      <c r="M60" s="228"/>
      <c r="N60" s="212"/>
      <c r="O60" s="212"/>
    </row>
    <row r="61" customFormat="false" ht="15" hidden="false" customHeight="true" outlineLevel="0" collapsed="false">
      <c r="B61" s="208" t="n">
        <v>2024</v>
      </c>
      <c r="C61" s="209" t="n">
        <v>2</v>
      </c>
      <c r="D61" s="226" t="s">
        <v>59</v>
      </c>
      <c r="E61" s="221" t="n">
        <v>0</v>
      </c>
      <c r="F61" s="221" t="n">
        <v>0</v>
      </c>
      <c r="G61" s="221" t="n">
        <v>0</v>
      </c>
      <c r="H61" s="229" t="s">
        <v>134</v>
      </c>
      <c r="I61" s="228" t="n">
        <v>15000</v>
      </c>
      <c r="J61" s="228" t="n">
        <v>0</v>
      </c>
      <c r="K61" s="214" t="n">
        <v>15000</v>
      </c>
      <c r="L61" s="228" t="n">
        <v>15000</v>
      </c>
      <c r="M61" s="228"/>
      <c r="N61" s="212"/>
      <c r="O61" s="212"/>
    </row>
    <row r="62" customFormat="false" ht="15" hidden="false" customHeight="true" outlineLevel="0" collapsed="false">
      <c r="B62" s="208" t="n">
        <v>2024</v>
      </c>
      <c r="C62" s="209" t="n">
        <v>2</v>
      </c>
      <c r="D62" s="230" t="s">
        <v>59</v>
      </c>
      <c r="E62" s="231" t="n">
        <v>0</v>
      </c>
      <c r="F62" s="231" t="n">
        <v>0</v>
      </c>
      <c r="G62" s="232" t="n">
        <v>0</v>
      </c>
      <c r="H62" s="229" t="s">
        <v>135</v>
      </c>
      <c r="I62" s="228" t="n">
        <v>20000</v>
      </c>
      <c r="J62" s="228" t="n">
        <v>0</v>
      </c>
      <c r="K62" s="214" t="n">
        <v>20000</v>
      </c>
      <c r="L62" s="228" t="n">
        <v>20000</v>
      </c>
      <c r="M62" s="228"/>
      <c r="N62" s="212"/>
      <c r="O62" s="212"/>
    </row>
    <row r="63" customFormat="false" ht="15" hidden="false" customHeight="true" outlineLevel="0" collapsed="false">
      <c r="B63" s="208" t="n">
        <v>2024</v>
      </c>
      <c r="C63" s="209" t="n">
        <v>3</v>
      </c>
      <c r="D63" s="226" t="s">
        <v>56</v>
      </c>
      <c r="E63" s="221" t="s">
        <v>80</v>
      </c>
      <c r="F63" s="221" t="n">
        <v>96358353</v>
      </c>
      <c r="G63" s="221" t="s">
        <v>203</v>
      </c>
      <c r="H63" s="227" t="s">
        <v>79</v>
      </c>
      <c r="I63" s="228" t="n">
        <v>40000</v>
      </c>
      <c r="J63" s="228" t="n">
        <v>40000</v>
      </c>
      <c r="K63" s="214" t="n">
        <v>0</v>
      </c>
      <c r="L63" s="228" t="n">
        <v>40000</v>
      </c>
      <c r="N63" s="212"/>
      <c r="O63" s="212"/>
    </row>
    <row r="64" customFormat="false" ht="15" hidden="false" customHeight="true" outlineLevel="0" collapsed="false">
      <c r="B64" s="208" t="n">
        <v>2024</v>
      </c>
      <c r="C64" s="209" t="n">
        <v>3</v>
      </c>
      <c r="D64" s="226" t="s">
        <v>82</v>
      </c>
      <c r="E64" s="221" t="s">
        <v>204</v>
      </c>
      <c r="F64" s="221" t="n">
        <v>95573006</v>
      </c>
      <c r="G64" s="221" t="s">
        <v>203</v>
      </c>
      <c r="H64" s="227" t="s">
        <v>188</v>
      </c>
      <c r="I64" s="228" t="n">
        <v>17002</v>
      </c>
      <c r="J64" s="228" t="n">
        <v>17002</v>
      </c>
      <c r="K64" s="214" t="n">
        <v>0</v>
      </c>
      <c r="L64" s="228" t="n">
        <v>17002</v>
      </c>
      <c r="N64" s="212"/>
      <c r="O64" s="212"/>
    </row>
    <row r="65" customFormat="false" ht="15" hidden="false" customHeight="true" outlineLevel="0" collapsed="false">
      <c r="B65" s="208" t="n">
        <v>2024</v>
      </c>
      <c r="C65" s="209" t="n">
        <v>3</v>
      </c>
      <c r="D65" s="226" t="s">
        <v>82</v>
      </c>
      <c r="E65" s="221" t="s">
        <v>83</v>
      </c>
      <c r="F65" s="221" t="n">
        <v>95529415</v>
      </c>
      <c r="G65" s="221" t="s">
        <v>203</v>
      </c>
      <c r="H65" s="227" t="s">
        <v>81</v>
      </c>
      <c r="I65" s="228" t="n">
        <v>87000</v>
      </c>
      <c r="J65" s="228" t="n">
        <v>40000</v>
      </c>
      <c r="K65" s="214" t="n">
        <v>47000</v>
      </c>
      <c r="L65" s="228" t="n">
        <v>87000</v>
      </c>
      <c r="N65" s="212"/>
      <c r="O65" s="212"/>
    </row>
    <row r="66" customFormat="false" ht="15" hidden="false" customHeight="true" outlineLevel="0" collapsed="false">
      <c r="B66" s="208" t="n">
        <v>2024</v>
      </c>
      <c r="C66" s="209" t="n">
        <v>3</v>
      </c>
      <c r="D66" s="226" t="s">
        <v>56</v>
      </c>
      <c r="E66" s="221" t="s">
        <v>84</v>
      </c>
      <c r="F66" s="221" t="n">
        <v>95787183</v>
      </c>
      <c r="G66" s="221" t="s">
        <v>203</v>
      </c>
      <c r="H66" s="227" t="s">
        <v>73</v>
      </c>
      <c r="I66" s="228" t="n">
        <v>17002</v>
      </c>
      <c r="J66" s="228" t="n">
        <v>17002</v>
      </c>
      <c r="K66" s="214" t="n">
        <v>0</v>
      </c>
      <c r="L66" s="228" t="n">
        <v>17002</v>
      </c>
      <c r="N66" s="212"/>
      <c r="O66" s="212"/>
    </row>
    <row r="67" customFormat="false" ht="15" hidden="false" customHeight="true" outlineLevel="0" collapsed="false">
      <c r="B67" s="208" t="n">
        <v>2024</v>
      </c>
      <c r="C67" s="209" t="n">
        <v>3</v>
      </c>
      <c r="D67" s="226" t="s">
        <v>82</v>
      </c>
      <c r="E67" s="221" t="s">
        <v>86</v>
      </c>
      <c r="F67" s="221" t="n">
        <v>95532064</v>
      </c>
      <c r="G67" s="221" t="s">
        <v>203</v>
      </c>
      <c r="H67" s="227" t="s">
        <v>85</v>
      </c>
      <c r="I67" s="228" t="n">
        <v>25000</v>
      </c>
      <c r="J67" s="228" t="n">
        <v>25000</v>
      </c>
      <c r="K67" s="214" t="n">
        <v>0</v>
      </c>
      <c r="L67" s="228" t="n">
        <v>25000</v>
      </c>
      <c r="N67" s="212"/>
      <c r="O67" s="212"/>
    </row>
    <row r="68" customFormat="false" ht="15" hidden="false" customHeight="true" outlineLevel="0" collapsed="false">
      <c r="B68" s="208" t="n">
        <v>2024</v>
      </c>
      <c r="C68" s="209" t="n">
        <v>3</v>
      </c>
      <c r="D68" s="226" t="s">
        <v>82</v>
      </c>
      <c r="E68" s="221" t="s">
        <v>88</v>
      </c>
      <c r="F68" s="221" t="n">
        <v>95532066</v>
      </c>
      <c r="G68" s="221" t="s">
        <v>203</v>
      </c>
      <c r="H68" s="227" t="s">
        <v>87</v>
      </c>
      <c r="I68" s="228" t="n">
        <v>35000</v>
      </c>
      <c r="J68" s="228" t="n">
        <v>35000</v>
      </c>
      <c r="K68" s="214" t="n">
        <v>0</v>
      </c>
      <c r="L68" s="228" t="n">
        <v>35000</v>
      </c>
      <c r="N68" s="212"/>
      <c r="O68" s="212"/>
    </row>
    <row r="69" customFormat="false" ht="15" hidden="false" customHeight="true" outlineLevel="0" collapsed="false">
      <c r="B69" s="208" t="n">
        <v>2024</v>
      </c>
      <c r="C69" s="209" t="n">
        <v>3</v>
      </c>
      <c r="D69" s="226" t="s">
        <v>69</v>
      </c>
      <c r="E69" s="221" t="s">
        <v>94</v>
      </c>
      <c r="F69" s="221" t="n">
        <v>95532077</v>
      </c>
      <c r="G69" s="221" t="s">
        <v>203</v>
      </c>
      <c r="H69" s="227" t="s">
        <v>93</v>
      </c>
      <c r="I69" s="228" t="n">
        <v>35000</v>
      </c>
      <c r="J69" s="228" t="n">
        <v>25000</v>
      </c>
      <c r="K69" s="214" t="n">
        <v>0</v>
      </c>
      <c r="L69" s="228" t="n">
        <v>25000</v>
      </c>
      <c r="M69" s="213" t="n">
        <v>-10000</v>
      </c>
      <c r="N69" s="212" t="s">
        <v>201</v>
      </c>
      <c r="O69" s="212"/>
    </row>
    <row r="70" customFormat="false" ht="15" hidden="false" customHeight="true" outlineLevel="0" collapsed="false">
      <c r="B70" s="208" t="n">
        <v>2024</v>
      </c>
      <c r="C70" s="209" t="n">
        <v>3</v>
      </c>
      <c r="D70" s="226" t="s">
        <v>34</v>
      </c>
      <c r="E70" s="221" t="s">
        <v>96</v>
      </c>
      <c r="F70" s="221" t="n">
        <v>95693810</v>
      </c>
      <c r="G70" s="221" t="s">
        <v>203</v>
      </c>
      <c r="H70" s="227" t="s">
        <v>95</v>
      </c>
      <c r="I70" s="228" t="n">
        <v>30000</v>
      </c>
      <c r="J70" s="228" t="n">
        <v>27000</v>
      </c>
      <c r="K70" s="214" t="n">
        <v>0</v>
      </c>
      <c r="L70" s="228" t="n">
        <v>27000</v>
      </c>
      <c r="M70" s="213" t="n">
        <v>-3000</v>
      </c>
      <c r="N70" s="212" t="s">
        <v>205</v>
      </c>
      <c r="O70" s="212"/>
    </row>
    <row r="71" customFormat="false" ht="15" hidden="false" customHeight="true" outlineLevel="0" collapsed="false">
      <c r="B71" s="208" t="n">
        <v>2024</v>
      </c>
      <c r="C71" s="209" t="n">
        <v>3</v>
      </c>
      <c r="D71" s="226" t="s">
        <v>69</v>
      </c>
      <c r="E71" s="221" t="s">
        <v>206</v>
      </c>
      <c r="F71" s="221" t="s">
        <v>207</v>
      </c>
      <c r="G71" s="221" t="s">
        <v>208</v>
      </c>
      <c r="H71" s="227" t="s">
        <v>103</v>
      </c>
      <c r="I71" s="228" t="n">
        <v>35000</v>
      </c>
      <c r="J71" s="228" t="n">
        <v>35000</v>
      </c>
      <c r="K71" s="214" t="n">
        <v>0</v>
      </c>
      <c r="L71" s="228" t="n">
        <v>35000</v>
      </c>
      <c r="N71" s="212"/>
      <c r="O71" s="212"/>
    </row>
    <row r="72" customFormat="false" ht="15" hidden="false" customHeight="true" outlineLevel="0" collapsed="false">
      <c r="B72" s="208" t="n">
        <v>2024</v>
      </c>
      <c r="C72" s="209" t="n">
        <v>3</v>
      </c>
      <c r="D72" s="226" t="s">
        <v>98</v>
      </c>
      <c r="E72" s="221" t="s">
        <v>99</v>
      </c>
      <c r="F72" s="221" t="s">
        <v>148</v>
      </c>
      <c r="G72" s="221" t="s">
        <v>203</v>
      </c>
      <c r="H72" s="227" t="s">
        <v>97</v>
      </c>
      <c r="I72" s="228" t="n">
        <v>40000</v>
      </c>
      <c r="J72" s="228" t="n">
        <v>40000</v>
      </c>
      <c r="K72" s="214" t="n">
        <v>0</v>
      </c>
      <c r="L72" s="228" t="n">
        <v>40000</v>
      </c>
      <c r="N72" s="212"/>
      <c r="O72" s="212"/>
    </row>
    <row r="73" customFormat="false" ht="15" hidden="false" customHeight="true" outlineLevel="0" collapsed="false">
      <c r="B73" s="208" t="n">
        <v>2024</v>
      </c>
      <c r="C73" s="209" t="n">
        <v>3</v>
      </c>
      <c r="D73" s="226" t="s">
        <v>51</v>
      </c>
      <c r="E73" s="221" t="s">
        <v>101</v>
      </c>
      <c r="F73" s="221" t="n">
        <v>97189681</v>
      </c>
      <c r="G73" s="221" t="s">
        <v>203</v>
      </c>
      <c r="H73" s="227" t="s">
        <v>100</v>
      </c>
      <c r="I73" s="228" t="n">
        <v>30000</v>
      </c>
      <c r="J73" s="228" t="n">
        <v>30000</v>
      </c>
      <c r="K73" s="214" t="n">
        <v>0</v>
      </c>
      <c r="L73" s="228" t="n">
        <v>30000</v>
      </c>
      <c r="N73" s="212"/>
      <c r="O73" s="212"/>
    </row>
    <row r="74" customFormat="false" ht="15" hidden="false" customHeight="true" outlineLevel="0" collapsed="false">
      <c r="B74" s="208" t="n">
        <v>2024</v>
      </c>
      <c r="C74" s="209" t="n">
        <v>3</v>
      </c>
      <c r="D74" s="226" t="s">
        <v>82</v>
      </c>
      <c r="E74" s="221" t="s">
        <v>209</v>
      </c>
      <c r="F74" s="221" t="n">
        <v>6214238</v>
      </c>
      <c r="G74" s="221" t="s">
        <v>203</v>
      </c>
      <c r="H74" s="227" t="s">
        <v>190</v>
      </c>
      <c r="I74" s="228" t="n">
        <v>17002</v>
      </c>
      <c r="J74" s="228" t="n">
        <v>17002</v>
      </c>
      <c r="K74" s="214" t="n">
        <v>0</v>
      </c>
      <c r="L74" s="228" t="n">
        <v>17002</v>
      </c>
      <c r="N74" s="212"/>
      <c r="O74" s="212"/>
    </row>
    <row r="75" customFormat="false" ht="15" hidden="false" customHeight="true" outlineLevel="0" collapsed="false">
      <c r="B75" s="208" t="n">
        <v>2024</v>
      </c>
      <c r="C75" s="209" t="n">
        <v>3</v>
      </c>
      <c r="D75" s="226" t="s">
        <v>69</v>
      </c>
      <c r="E75" s="221" t="s">
        <v>210</v>
      </c>
      <c r="F75" s="221" t="s">
        <v>211</v>
      </c>
      <c r="G75" s="221" t="s">
        <v>203</v>
      </c>
      <c r="H75" s="227" t="s">
        <v>191</v>
      </c>
      <c r="I75" s="228" t="n">
        <v>37500</v>
      </c>
      <c r="J75" s="228" t="n">
        <v>37500</v>
      </c>
      <c r="K75" s="214" t="n">
        <v>0</v>
      </c>
      <c r="L75" s="228" t="n">
        <v>37500</v>
      </c>
      <c r="N75" s="212"/>
      <c r="O75" s="212"/>
    </row>
    <row r="76" customFormat="false" ht="15" hidden="false" customHeight="true" outlineLevel="0" collapsed="false">
      <c r="B76" s="208" t="n">
        <v>2024</v>
      </c>
      <c r="C76" s="209" t="n">
        <v>3</v>
      </c>
      <c r="D76" s="226" t="s">
        <v>59</v>
      </c>
      <c r="E76" s="221" t="s">
        <v>132</v>
      </c>
      <c r="F76" s="221" t="s">
        <v>151</v>
      </c>
      <c r="G76" s="221" t="s">
        <v>203</v>
      </c>
      <c r="H76" s="227" t="s">
        <v>127</v>
      </c>
      <c r="I76" s="228" t="n">
        <v>30000</v>
      </c>
      <c r="J76" s="228" t="n">
        <v>17002</v>
      </c>
      <c r="K76" s="214" t="n">
        <v>12998</v>
      </c>
      <c r="L76" s="228" t="n">
        <v>30000</v>
      </c>
      <c r="N76" s="212"/>
      <c r="O76" s="212"/>
    </row>
    <row r="77" customFormat="false" ht="15" hidden="false" customHeight="true" outlineLevel="0" collapsed="false">
      <c r="B77" s="208" t="n">
        <v>2024</v>
      </c>
      <c r="C77" s="209" t="n">
        <v>3</v>
      </c>
      <c r="D77" s="226" t="s">
        <v>34</v>
      </c>
      <c r="E77" s="221" t="s">
        <v>212</v>
      </c>
      <c r="F77" s="221" t="n">
        <v>0</v>
      </c>
      <c r="G77" s="221" t="s">
        <v>203</v>
      </c>
      <c r="H77" s="227" t="s">
        <v>193</v>
      </c>
      <c r="I77" s="228" t="n">
        <v>30000</v>
      </c>
      <c r="J77" s="228" t="n">
        <v>30000</v>
      </c>
      <c r="K77" s="214" t="n">
        <v>0</v>
      </c>
      <c r="L77" s="228" t="n">
        <v>30000</v>
      </c>
      <c r="N77" s="212"/>
      <c r="O77" s="212"/>
    </row>
    <row r="78" customFormat="false" ht="15" hidden="false" customHeight="true" outlineLevel="0" collapsed="false">
      <c r="B78" s="208" t="n">
        <v>2024</v>
      </c>
      <c r="C78" s="209" t="n">
        <v>3</v>
      </c>
      <c r="D78" s="226" t="s">
        <v>34</v>
      </c>
      <c r="E78" s="221" t="n">
        <v>10459950610</v>
      </c>
      <c r="F78" s="221" t="n">
        <v>97226520</v>
      </c>
      <c r="G78" s="221" t="s">
        <v>203</v>
      </c>
      <c r="H78" s="229" t="s">
        <v>195</v>
      </c>
      <c r="I78" s="228" t="n">
        <v>30000</v>
      </c>
      <c r="J78" s="228" t="n">
        <v>28000</v>
      </c>
      <c r="K78" s="214" t="n">
        <v>0</v>
      </c>
      <c r="L78" s="228" t="n">
        <v>28000</v>
      </c>
      <c r="M78" s="213" t="n">
        <v>-2000</v>
      </c>
      <c r="N78" s="212" t="s">
        <v>213</v>
      </c>
      <c r="O78" s="212"/>
    </row>
    <row r="79" customFormat="false" ht="15" hidden="false" customHeight="true" outlineLevel="0" collapsed="false">
      <c r="B79" s="208" t="n">
        <v>2024</v>
      </c>
      <c r="C79" s="209" t="n">
        <v>3</v>
      </c>
      <c r="D79" s="226" t="s">
        <v>69</v>
      </c>
      <c r="E79" s="221" t="s">
        <v>214</v>
      </c>
      <c r="F79" s="221" t="s">
        <v>215</v>
      </c>
      <c r="G79" s="221" t="s">
        <v>203</v>
      </c>
      <c r="H79" s="229" t="s">
        <v>122</v>
      </c>
      <c r="I79" s="228" t="n">
        <v>35000</v>
      </c>
      <c r="J79" s="228" t="n">
        <v>35000</v>
      </c>
      <c r="K79" s="214" t="n">
        <v>0</v>
      </c>
      <c r="L79" s="228" t="n">
        <v>35000</v>
      </c>
      <c r="N79" s="212"/>
      <c r="O79" s="212"/>
    </row>
    <row r="80" customFormat="false" ht="15" hidden="false" customHeight="true" outlineLevel="0" collapsed="false">
      <c r="B80" s="208" t="n">
        <v>2024</v>
      </c>
      <c r="C80" s="209" t="n">
        <v>3</v>
      </c>
      <c r="D80" s="226" t="s">
        <v>43</v>
      </c>
      <c r="E80" s="221" t="n">
        <v>0</v>
      </c>
      <c r="F80" s="221" t="n">
        <v>0</v>
      </c>
      <c r="G80" s="221"/>
      <c r="H80" s="229" t="s">
        <v>196</v>
      </c>
      <c r="I80" s="228" t="n">
        <v>20000</v>
      </c>
      <c r="J80" s="228" t="n">
        <v>0</v>
      </c>
      <c r="K80" s="214" t="n">
        <v>20000</v>
      </c>
      <c r="L80" s="228" t="n">
        <v>20000</v>
      </c>
      <c r="N80" s="212"/>
      <c r="O80" s="212"/>
    </row>
    <row r="81" customFormat="false" ht="15" hidden="false" customHeight="true" outlineLevel="0" collapsed="false">
      <c r="B81" s="208" t="n">
        <v>2024</v>
      </c>
      <c r="C81" s="209" t="n">
        <v>3</v>
      </c>
      <c r="D81" s="226" t="s">
        <v>56</v>
      </c>
      <c r="E81" s="221" t="s">
        <v>216</v>
      </c>
      <c r="F81" s="221" t="s">
        <v>217</v>
      </c>
      <c r="G81" s="221" t="s">
        <v>203</v>
      </c>
      <c r="H81" s="229" t="s">
        <v>198</v>
      </c>
      <c r="I81" s="228" t="n">
        <v>32500</v>
      </c>
      <c r="J81" s="228" t="n">
        <v>32500</v>
      </c>
      <c r="K81" s="214" t="n">
        <v>0</v>
      </c>
      <c r="L81" s="228" t="n">
        <v>32500</v>
      </c>
      <c r="N81" s="212"/>
      <c r="O81" s="212"/>
    </row>
    <row r="82" customFormat="false" ht="15" hidden="false" customHeight="true" outlineLevel="0" collapsed="false">
      <c r="B82" s="208" t="n">
        <v>2024</v>
      </c>
      <c r="C82" s="209" t="n">
        <v>3</v>
      </c>
      <c r="D82" s="226" t="s">
        <v>34</v>
      </c>
      <c r="E82" s="221" t="n">
        <v>0</v>
      </c>
      <c r="F82" s="221" t="n">
        <v>0</v>
      </c>
      <c r="G82" s="221" t="s">
        <v>218</v>
      </c>
      <c r="H82" s="229" t="s">
        <v>102</v>
      </c>
      <c r="I82" s="228" t="n">
        <v>30000</v>
      </c>
      <c r="J82" s="228" t="n">
        <v>30000</v>
      </c>
      <c r="K82" s="214" t="n">
        <v>0</v>
      </c>
      <c r="L82" s="228" t="n">
        <v>30000</v>
      </c>
      <c r="N82" s="212"/>
      <c r="O82" s="212"/>
    </row>
    <row r="83" customFormat="false" ht="15" hidden="false" customHeight="true" outlineLevel="0" collapsed="false">
      <c r="B83" s="208" t="n">
        <v>2024</v>
      </c>
      <c r="C83" s="209" t="n">
        <v>3</v>
      </c>
      <c r="D83" s="226" t="s">
        <v>34</v>
      </c>
      <c r="E83" s="221" t="n">
        <v>0</v>
      </c>
      <c r="F83" s="221" t="n">
        <v>0</v>
      </c>
      <c r="G83" s="221" t="s">
        <v>203</v>
      </c>
      <c r="H83" s="229" t="s">
        <v>48</v>
      </c>
      <c r="I83" s="228" t="n">
        <v>30000</v>
      </c>
      <c r="J83" s="228" t="n">
        <v>30000</v>
      </c>
      <c r="K83" s="214" t="n">
        <v>0</v>
      </c>
      <c r="L83" s="228" t="n">
        <v>30000</v>
      </c>
      <c r="N83" s="212"/>
      <c r="O83" s="212"/>
    </row>
    <row r="84" customFormat="false" ht="15" hidden="false" customHeight="true" outlineLevel="0" collapsed="false">
      <c r="B84" s="208" t="n">
        <v>2024</v>
      </c>
      <c r="C84" s="209" t="n">
        <v>3</v>
      </c>
      <c r="D84" s="226" t="s">
        <v>105</v>
      </c>
      <c r="E84" s="221" t="s">
        <v>106</v>
      </c>
      <c r="F84" s="221" t="n">
        <v>0</v>
      </c>
      <c r="G84" s="221" t="s">
        <v>203</v>
      </c>
      <c r="H84" s="229" t="s">
        <v>104</v>
      </c>
      <c r="I84" s="228" t="n">
        <v>35000</v>
      </c>
      <c r="J84" s="228" t="n">
        <v>35000</v>
      </c>
      <c r="K84" s="214" t="n">
        <v>0</v>
      </c>
      <c r="L84" s="228" t="n">
        <v>35000</v>
      </c>
      <c r="N84" s="212"/>
      <c r="O84" s="212"/>
    </row>
    <row r="85" customFormat="false" ht="15" hidden="false" customHeight="true" outlineLevel="0" collapsed="false">
      <c r="B85" s="208" t="n">
        <v>2024</v>
      </c>
      <c r="C85" s="209" t="n">
        <v>3</v>
      </c>
      <c r="D85" s="226" t="s">
        <v>69</v>
      </c>
      <c r="E85" s="221" t="s">
        <v>110</v>
      </c>
      <c r="F85" s="221" t="s">
        <v>149</v>
      </c>
      <c r="G85" s="221" t="s">
        <v>203</v>
      </c>
      <c r="H85" s="229" t="s">
        <v>109</v>
      </c>
      <c r="I85" s="228" t="n">
        <v>37500</v>
      </c>
      <c r="J85" s="228" t="n">
        <v>37500</v>
      </c>
      <c r="K85" s="214" t="n">
        <v>0</v>
      </c>
      <c r="L85" s="228" t="n">
        <v>37500</v>
      </c>
      <c r="N85" s="212"/>
      <c r="O85" s="212"/>
    </row>
    <row r="86" customFormat="false" ht="15" hidden="false" customHeight="true" outlineLevel="0" collapsed="false">
      <c r="B86" s="208" t="n">
        <v>2024</v>
      </c>
      <c r="C86" s="209" t="n">
        <v>3</v>
      </c>
      <c r="D86" s="226" t="s">
        <v>69</v>
      </c>
      <c r="E86" s="221" t="s">
        <v>219</v>
      </c>
      <c r="F86" s="221" t="n">
        <v>0</v>
      </c>
      <c r="G86" s="221" t="s">
        <v>203</v>
      </c>
      <c r="H86" s="229" t="s">
        <v>220</v>
      </c>
      <c r="I86" s="228" t="n">
        <v>26833.33</v>
      </c>
      <c r="J86" s="228" t="n">
        <v>26833.33</v>
      </c>
      <c r="K86" s="214" t="n">
        <v>0</v>
      </c>
      <c r="L86" s="228" t="n">
        <v>26833.33</v>
      </c>
      <c r="N86" s="212"/>
      <c r="O86" s="212"/>
    </row>
    <row r="87" customFormat="false" ht="15" hidden="false" customHeight="true" outlineLevel="0" collapsed="false">
      <c r="B87" s="208" t="n">
        <v>2024</v>
      </c>
      <c r="C87" s="209" t="n">
        <v>3</v>
      </c>
      <c r="D87" s="226" t="s">
        <v>112</v>
      </c>
      <c r="E87" s="221" t="s">
        <v>113</v>
      </c>
      <c r="F87" s="221" t="n">
        <v>0</v>
      </c>
      <c r="G87" s="221" t="s">
        <v>203</v>
      </c>
      <c r="H87" s="229" t="s">
        <v>111</v>
      </c>
      <c r="I87" s="228" t="n">
        <v>23000</v>
      </c>
      <c r="J87" s="228" t="n">
        <v>23000</v>
      </c>
      <c r="K87" s="214" t="n">
        <v>0</v>
      </c>
      <c r="L87" s="228" t="n">
        <v>23000</v>
      </c>
      <c r="N87" s="212"/>
      <c r="O87" s="212"/>
    </row>
    <row r="88" customFormat="false" ht="15" hidden="false" customHeight="true" outlineLevel="0" collapsed="false">
      <c r="B88" s="208" t="n">
        <v>2024</v>
      </c>
      <c r="C88" s="209" t="n">
        <v>3</v>
      </c>
      <c r="D88" s="226" t="s">
        <v>59</v>
      </c>
      <c r="E88" s="221" t="s">
        <v>130</v>
      </c>
      <c r="F88" s="221" t="s">
        <v>152</v>
      </c>
      <c r="G88" s="221" t="s">
        <v>208</v>
      </c>
      <c r="H88" s="229" t="s">
        <v>129</v>
      </c>
      <c r="I88" s="228" t="n">
        <v>30000</v>
      </c>
      <c r="J88" s="228" t="n">
        <v>17002</v>
      </c>
      <c r="K88" s="214" t="n">
        <v>12998</v>
      </c>
      <c r="L88" s="228" t="n">
        <v>30000</v>
      </c>
      <c r="N88" s="212"/>
      <c r="O88" s="212"/>
    </row>
    <row r="89" customFormat="false" ht="15" hidden="false" customHeight="true" outlineLevel="0" collapsed="false">
      <c r="B89" s="208" t="n">
        <v>2024</v>
      </c>
      <c r="C89" s="209" t="n">
        <v>3</v>
      </c>
      <c r="D89" s="226" t="s">
        <v>59</v>
      </c>
      <c r="E89" s="221" t="s">
        <v>60</v>
      </c>
      <c r="F89" s="221" t="s">
        <v>61</v>
      </c>
      <c r="G89" s="221" t="s">
        <v>208</v>
      </c>
      <c r="H89" s="229" t="s">
        <v>133</v>
      </c>
      <c r="I89" s="228" t="n">
        <v>30000</v>
      </c>
      <c r="J89" s="228" t="n">
        <v>30000</v>
      </c>
      <c r="K89" s="214" t="n">
        <v>0</v>
      </c>
      <c r="L89" s="228" t="n">
        <v>30000</v>
      </c>
      <c r="N89" s="212"/>
      <c r="O89" s="212"/>
    </row>
    <row r="90" customFormat="false" ht="15" hidden="false" customHeight="true" outlineLevel="0" collapsed="false">
      <c r="B90" s="208" t="n">
        <v>2024</v>
      </c>
      <c r="C90" s="209" t="n">
        <v>3</v>
      </c>
      <c r="D90" s="226" t="s">
        <v>59</v>
      </c>
      <c r="E90" s="221" t="n">
        <v>30148302742</v>
      </c>
      <c r="F90" s="221" t="n">
        <v>97726066</v>
      </c>
      <c r="G90" s="221" t="s">
        <v>208</v>
      </c>
      <c r="H90" s="229" t="s">
        <v>62</v>
      </c>
      <c r="I90" s="228" t="n">
        <v>17002</v>
      </c>
      <c r="J90" s="228" t="n">
        <v>17002</v>
      </c>
      <c r="K90" s="214" t="n">
        <v>0</v>
      </c>
      <c r="L90" s="228" t="n">
        <v>17002</v>
      </c>
      <c r="N90" s="212"/>
      <c r="O90" s="212"/>
    </row>
    <row r="91" customFormat="false" ht="15" hidden="false" customHeight="true" outlineLevel="0" collapsed="false">
      <c r="B91" s="208" t="n">
        <v>2024</v>
      </c>
      <c r="C91" s="209" t="n">
        <v>3</v>
      </c>
      <c r="D91" s="226" t="s">
        <v>59</v>
      </c>
      <c r="E91" s="221" t="s">
        <v>57</v>
      </c>
      <c r="F91" s="221" t="s">
        <v>153</v>
      </c>
      <c r="G91" s="221" t="s">
        <v>208</v>
      </c>
      <c r="H91" s="227" t="s">
        <v>55</v>
      </c>
      <c r="I91" s="228" t="n">
        <v>30000</v>
      </c>
      <c r="J91" s="228" t="n">
        <v>30000</v>
      </c>
      <c r="K91" s="214" t="n">
        <v>0</v>
      </c>
      <c r="L91" s="228" t="n">
        <v>30000</v>
      </c>
      <c r="M91" s="228"/>
      <c r="N91" s="212"/>
      <c r="O91" s="212"/>
    </row>
    <row r="92" customFormat="false" ht="15" hidden="false" customHeight="true" outlineLevel="0" collapsed="false">
      <c r="B92" s="208" t="n">
        <v>2024</v>
      </c>
      <c r="C92" s="209" t="n">
        <v>3</v>
      </c>
      <c r="D92" s="226" t="s">
        <v>59</v>
      </c>
      <c r="E92" s="221" t="n">
        <v>0</v>
      </c>
      <c r="F92" s="221" t="n">
        <v>0</v>
      </c>
      <c r="G92" s="221"/>
      <c r="H92" s="229" t="s">
        <v>134</v>
      </c>
      <c r="I92" s="228" t="n">
        <v>15000</v>
      </c>
      <c r="J92" s="228" t="n">
        <v>0</v>
      </c>
      <c r="K92" s="214" t="n">
        <v>15000</v>
      </c>
      <c r="L92" s="228" t="n">
        <v>15000</v>
      </c>
      <c r="M92" s="228"/>
      <c r="N92" s="212"/>
      <c r="O92" s="212"/>
    </row>
    <row r="93" customFormat="false" ht="15" hidden="false" customHeight="true" outlineLevel="0" collapsed="false">
      <c r="B93" s="208" t="n">
        <v>2024</v>
      </c>
      <c r="C93" s="209" t="n">
        <v>3</v>
      </c>
      <c r="D93" s="230" t="s">
        <v>59</v>
      </c>
      <c r="E93" s="231" t="n">
        <v>0</v>
      </c>
      <c r="F93" s="231" t="n">
        <v>0</v>
      </c>
      <c r="G93" s="232"/>
      <c r="H93" s="229" t="s">
        <v>135</v>
      </c>
      <c r="I93" s="228" t="n">
        <v>20000</v>
      </c>
      <c r="J93" s="228" t="n">
        <v>0</v>
      </c>
      <c r="K93" s="214" t="n">
        <v>20000</v>
      </c>
      <c r="L93" s="228" t="n">
        <v>20000</v>
      </c>
      <c r="M93" s="228"/>
      <c r="N93" s="212"/>
      <c r="O93" s="212"/>
    </row>
    <row r="94" customFormat="false" ht="15" hidden="false" customHeight="true" outlineLevel="0" collapsed="false">
      <c r="B94" s="208" t="n">
        <v>2024</v>
      </c>
      <c r="C94" s="209" t="n">
        <v>4</v>
      </c>
      <c r="D94" s="226" t="s">
        <v>56</v>
      </c>
      <c r="E94" s="221" t="s">
        <v>80</v>
      </c>
      <c r="F94" s="221" t="n">
        <v>96358353</v>
      </c>
      <c r="G94" s="221" t="s">
        <v>203</v>
      </c>
      <c r="H94" s="227" t="s">
        <v>79</v>
      </c>
      <c r="I94" s="228" t="n">
        <v>40000</v>
      </c>
      <c r="J94" s="228" t="n">
        <v>40000</v>
      </c>
      <c r="K94" s="214" t="n">
        <v>0</v>
      </c>
      <c r="L94" s="228" t="n">
        <v>40000</v>
      </c>
      <c r="N94" s="212"/>
      <c r="O94" s="212"/>
    </row>
    <row r="95" customFormat="false" ht="15" hidden="false" customHeight="true" outlineLevel="0" collapsed="false">
      <c r="B95" s="208" t="n">
        <v>2024</v>
      </c>
      <c r="C95" s="209" t="n">
        <v>4</v>
      </c>
      <c r="D95" s="226" t="s">
        <v>82</v>
      </c>
      <c r="E95" s="221" t="s">
        <v>204</v>
      </c>
      <c r="F95" s="221" t="n">
        <v>95573006</v>
      </c>
      <c r="G95" s="221"/>
      <c r="H95" s="227" t="s">
        <v>188</v>
      </c>
      <c r="I95" s="228" t="n">
        <v>17002</v>
      </c>
      <c r="J95" s="228" t="n">
        <v>17002</v>
      </c>
      <c r="K95" s="214" t="n">
        <v>0</v>
      </c>
      <c r="L95" s="228" t="n">
        <v>17002</v>
      </c>
      <c r="N95" s="212"/>
      <c r="O95" s="212"/>
    </row>
    <row r="96" customFormat="false" ht="15" hidden="false" customHeight="true" outlineLevel="0" collapsed="false">
      <c r="B96" s="208" t="n">
        <v>2024</v>
      </c>
      <c r="C96" s="209" t="n">
        <v>4</v>
      </c>
      <c r="D96" s="226" t="s">
        <v>82</v>
      </c>
      <c r="E96" s="221" t="s">
        <v>83</v>
      </c>
      <c r="F96" s="221" t="n">
        <v>95529415</v>
      </c>
      <c r="G96" s="221" t="s">
        <v>203</v>
      </c>
      <c r="H96" s="227" t="s">
        <v>81</v>
      </c>
      <c r="I96" s="228" t="n">
        <v>87000</v>
      </c>
      <c r="J96" s="228" t="n">
        <v>2666.7</v>
      </c>
      <c r="K96" s="214" t="n">
        <v>84333.3</v>
      </c>
      <c r="L96" s="228" t="n">
        <v>87000</v>
      </c>
      <c r="N96" s="212"/>
      <c r="O96" s="212"/>
    </row>
    <row r="97" customFormat="false" ht="15" hidden="false" customHeight="true" outlineLevel="0" collapsed="false">
      <c r="B97" s="208" t="n">
        <v>2024</v>
      </c>
      <c r="C97" s="209" t="n">
        <v>4</v>
      </c>
      <c r="D97" s="226" t="s">
        <v>56</v>
      </c>
      <c r="E97" s="221" t="s">
        <v>84</v>
      </c>
      <c r="F97" s="221" t="n">
        <v>95787183</v>
      </c>
      <c r="G97" s="221" t="s">
        <v>203</v>
      </c>
      <c r="H97" s="227" t="s">
        <v>73</v>
      </c>
      <c r="I97" s="228" t="n">
        <v>17002</v>
      </c>
      <c r="J97" s="228" t="n">
        <v>17002</v>
      </c>
      <c r="K97" s="214" t="n">
        <v>0</v>
      </c>
      <c r="L97" s="228" t="n">
        <v>17002</v>
      </c>
      <c r="N97" s="212"/>
      <c r="O97" s="212"/>
    </row>
    <row r="98" customFormat="false" ht="15" hidden="false" customHeight="true" outlineLevel="0" collapsed="false">
      <c r="B98" s="208" t="n">
        <v>2024</v>
      </c>
      <c r="C98" s="209" t="n">
        <v>4</v>
      </c>
      <c r="D98" s="226" t="s">
        <v>82</v>
      </c>
      <c r="E98" s="221" t="s">
        <v>86</v>
      </c>
      <c r="F98" s="221" t="n">
        <v>95532064</v>
      </c>
      <c r="G98" s="221" t="s">
        <v>203</v>
      </c>
      <c r="H98" s="227" t="s">
        <v>85</v>
      </c>
      <c r="I98" s="228" t="n">
        <v>25000</v>
      </c>
      <c r="J98" s="228" t="n">
        <v>1666.8</v>
      </c>
      <c r="K98" s="214" t="n">
        <v>23333.2</v>
      </c>
      <c r="L98" s="228" t="n">
        <v>25000</v>
      </c>
      <c r="N98" s="212"/>
      <c r="O98" s="212"/>
    </row>
    <row r="99" customFormat="false" ht="15" hidden="false" customHeight="true" outlineLevel="0" collapsed="false">
      <c r="B99" s="208" t="n">
        <v>2024</v>
      </c>
      <c r="C99" s="209" t="n">
        <v>4</v>
      </c>
      <c r="D99" s="226" t="s">
        <v>82</v>
      </c>
      <c r="E99" s="221" t="s">
        <v>88</v>
      </c>
      <c r="F99" s="221" t="n">
        <v>95532066</v>
      </c>
      <c r="G99" s="221" t="s">
        <v>203</v>
      </c>
      <c r="H99" s="227" t="s">
        <v>87</v>
      </c>
      <c r="I99" s="228" t="n">
        <v>35000</v>
      </c>
      <c r="J99" s="228" t="n">
        <v>35000</v>
      </c>
      <c r="K99" s="214" t="n">
        <v>0</v>
      </c>
      <c r="L99" s="228" t="n">
        <v>35000</v>
      </c>
      <c r="N99" s="212"/>
      <c r="O99" s="212"/>
    </row>
    <row r="100" customFormat="false" ht="15" hidden="false" customHeight="true" outlineLevel="0" collapsed="false">
      <c r="B100" s="208" t="n">
        <v>2024</v>
      </c>
      <c r="C100" s="209" t="n">
        <v>4</v>
      </c>
      <c r="D100" s="226" t="s">
        <v>69</v>
      </c>
      <c r="E100" s="221" t="s">
        <v>94</v>
      </c>
      <c r="F100" s="221" t="n">
        <v>95532077</v>
      </c>
      <c r="G100" s="221" t="s">
        <v>203</v>
      </c>
      <c r="H100" s="227" t="s">
        <v>93</v>
      </c>
      <c r="I100" s="228" t="n">
        <v>35000</v>
      </c>
      <c r="J100" s="228" t="n">
        <v>2333</v>
      </c>
      <c r="K100" s="214" t="n">
        <v>32667</v>
      </c>
      <c r="L100" s="228" t="n">
        <v>35000</v>
      </c>
      <c r="N100" s="212"/>
      <c r="O100" s="212"/>
    </row>
    <row r="101" customFormat="false" ht="15" hidden="false" customHeight="true" outlineLevel="0" collapsed="false">
      <c r="B101" s="208" t="n">
        <v>2024</v>
      </c>
      <c r="C101" s="209" t="n">
        <v>4</v>
      </c>
      <c r="D101" s="226" t="s">
        <v>34</v>
      </c>
      <c r="E101" s="221" t="s">
        <v>96</v>
      </c>
      <c r="F101" s="221" t="n">
        <v>95693810</v>
      </c>
      <c r="G101" s="221" t="s">
        <v>203</v>
      </c>
      <c r="H101" s="227" t="s">
        <v>95</v>
      </c>
      <c r="I101" s="228" t="n">
        <v>30000</v>
      </c>
      <c r="J101" s="228" t="n">
        <v>2000</v>
      </c>
      <c r="K101" s="214" t="n">
        <v>28000</v>
      </c>
      <c r="L101" s="228" t="n">
        <v>30000</v>
      </c>
      <c r="N101" s="212"/>
      <c r="O101" s="212"/>
    </row>
    <row r="102" customFormat="false" ht="15" hidden="false" customHeight="true" outlineLevel="0" collapsed="false">
      <c r="B102" s="208" t="n">
        <v>2024</v>
      </c>
      <c r="C102" s="209" t="n">
        <v>4</v>
      </c>
      <c r="D102" s="226" t="s">
        <v>69</v>
      </c>
      <c r="E102" s="221" t="s">
        <v>206</v>
      </c>
      <c r="F102" s="221" t="s">
        <v>207</v>
      </c>
      <c r="G102" s="221"/>
      <c r="H102" s="227" t="s">
        <v>103</v>
      </c>
      <c r="I102" s="228" t="n">
        <v>35000</v>
      </c>
      <c r="J102" s="228" t="n">
        <v>35000</v>
      </c>
      <c r="K102" s="214" t="n">
        <v>0</v>
      </c>
      <c r="L102" s="228" t="n">
        <v>35000</v>
      </c>
      <c r="N102" s="212"/>
      <c r="O102" s="212"/>
    </row>
    <row r="103" customFormat="false" ht="15" hidden="false" customHeight="true" outlineLevel="0" collapsed="false">
      <c r="B103" s="208" t="n">
        <v>2024</v>
      </c>
      <c r="C103" s="209" t="n">
        <v>4</v>
      </c>
      <c r="D103" s="226" t="s">
        <v>98</v>
      </c>
      <c r="E103" s="221" t="s">
        <v>99</v>
      </c>
      <c r="F103" s="221" t="s">
        <v>148</v>
      </c>
      <c r="G103" s="221" t="s">
        <v>203</v>
      </c>
      <c r="H103" s="227" t="s">
        <v>97</v>
      </c>
      <c r="I103" s="228" t="n">
        <v>40000</v>
      </c>
      <c r="J103" s="228" t="n">
        <v>35000</v>
      </c>
      <c r="K103" s="214" t="n">
        <v>5000</v>
      </c>
      <c r="L103" s="228" t="n">
        <v>40000</v>
      </c>
      <c r="N103" s="212"/>
      <c r="O103" s="212"/>
    </row>
    <row r="104" customFormat="false" ht="15" hidden="false" customHeight="true" outlineLevel="0" collapsed="false">
      <c r="B104" s="208" t="n">
        <v>2024</v>
      </c>
      <c r="C104" s="209" t="n">
        <v>4</v>
      </c>
      <c r="D104" s="226" t="s">
        <v>51</v>
      </c>
      <c r="E104" s="221" t="s">
        <v>101</v>
      </c>
      <c r="F104" s="221" t="n">
        <v>97189681</v>
      </c>
      <c r="G104" s="221" t="s">
        <v>203</v>
      </c>
      <c r="H104" s="227" t="s">
        <v>100</v>
      </c>
      <c r="I104" s="228" t="n">
        <v>30000</v>
      </c>
      <c r="J104" s="228" t="n">
        <v>30000</v>
      </c>
      <c r="K104" s="214" t="n">
        <v>0</v>
      </c>
      <c r="L104" s="228" t="n">
        <v>30000</v>
      </c>
      <c r="N104" s="212"/>
      <c r="O104" s="212"/>
    </row>
    <row r="105" customFormat="false" ht="15" hidden="false" customHeight="true" outlineLevel="0" collapsed="false">
      <c r="B105" s="208" t="n">
        <v>2024</v>
      </c>
      <c r="C105" s="209" t="n">
        <v>4</v>
      </c>
      <c r="D105" s="226" t="s">
        <v>82</v>
      </c>
      <c r="E105" s="221" t="s">
        <v>209</v>
      </c>
      <c r="F105" s="221" t="n">
        <v>6214238</v>
      </c>
      <c r="G105" s="221" t="s">
        <v>203</v>
      </c>
      <c r="H105" s="227" t="s">
        <v>190</v>
      </c>
      <c r="I105" s="228" t="n">
        <v>17002</v>
      </c>
      <c r="J105" s="228" t="n">
        <v>17002</v>
      </c>
      <c r="K105" s="214" t="n">
        <v>0</v>
      </c>
      <c r="L105" s="228" t="n">
        <v>17002</v>
      </c>
      <c r="N105" s="212"/>
      <c r="O105" s="212"/>
    </row>
    <row r="106" customFormat="false" ht="15" hidden="false" customHeight="true" outlineLevel="0" collapsed="false">
      <c r="B106" s="208" t="n">
        <v>2024</v>
      </c>
      <c r="C106" s="209" t="n">
        <v>4</v>
      </c>
      <c r="D106" s="226" t="s">
        <v>69</v>
      </c>
      <c r="E106" s="221" t="s">
        <v>210</v>
      </c>
      <c r="F106" s="221" t="s">
        <v>211</v>
      </c>
      <c r="G106" s="221" t="s">
        <v>203</v>
      </c>
      <c r="H106" s="227" t="s">
        <v>191</v>
      </c>
      <c r="I106" s="228" t="n">
        <v>37500</v>
      </c>
      <c r="J106" s="228" t="n">
        <v>37500</v>
      </c>
      <c r="K106" s="214" t="n">
        <v>0</v>
      </c>
      <c r="L106" s="228" t="n">
        <v>37500</v>
      </c>
      <c r="N106" s="212"/>
      <c r="O106" s="212"/>
    </row>
    <row r="107" customFormat="false" ht="15" hidden="false" customHeight="true" outlineLevel="0" collapsed="false">
      <c r="B107" s="208" t="n">
        <v>2024</v>
      </c>
      <c r="C107" s="209" t="n">
        <v>4</v>
      </c>
      <c r="D107" s="226" t="s">
        <v>59</v>
      </c>
      <c r="E107" s="221" t="s">
        <v>132</v>
      </c>
      <c r="F107" s="221" t="s">
        <v>151</v>
      </c>
      <c r="G107" s="221" t="s">
        <v>203</v>
      </c>
      <c r="H107" s="227" t="s">
        <v>127</v>
      </c>
      <c r="I107" s="228" t="n">
        <v>30000</v>
      </c>
      <c r="J107" s="228" t="n">
        <v>17002</v>
      </c>
      <c r="K107" s="214" t="n">
        <v>12998</v>
      </c>
      <c r="L107" s="228" t="n">
        <v>30000</v>
      </c>
      <c r="N107" s="212"/>
      <c r="O107" s="212"/>
    </row>
    <row r="108" customFormat="false" ht="15" hidden="false" customHeight="true" outlineLevel="0" collapsed="false">
      <c r="B108" s="208" t="n">
        <v>2024</v>
      </c>
      <c r="C108" s="209" t="n">
        <v>4</v>
      </c>
      <c r="D108" s="226" t="s">
        <v>34</v>
      </c>
      <c r="E108" s="221" t="s">
        <v>212</v>
      </c>
      <c r="F108" s="221" t="n">
        <v>0</v>
      </c>
      <c r="G108" s="221" t="s">
        <v>203</v>
      </c>
      <c r="H108" s="227" t="s">
        <v>193</v>
      </c>
      <c r="I108" s="228" t="n">
        <v>30000</v>
      </c>
      <c r="J108" s="228" t="n">
        <v>2000</v>
      </c>
      <c r="K108" s="214" t="n">
        <v>28000</v>
      </c>
      <c r="L108" s="228" t="n">
        <v>30000</v>
      </c>
      <c r="N108" s="212"/>
      <c r="O108" s="212"/>
    </row>
    <row r="109" customFormat="false" ht="15" hidden="false" customHeight="true" outlineLevel="0" collapsed="false">
      <c r="B109" s="208" t="n">
        <v>2024</v>
      </c>
      <c r="C109" s="209" t="n">
        <v>4</v>
      </c>
      <c r="D109" s="226" t="s">
        <v>34</v>
      </c>
      <c r="E109" s="221" t="n">
        <v>10459950610</v>
      </c>
      <c r="F109" s="221" t="n">
        <v>97226520</v>
      </c>
      <c r="G109" s="221"/>
      <c r="H109" s="229" t="s">
        <v>195</v>
      </c>
      <c r="I109" s="228" t="n">
        <v>30000</v>
      </c>
      <c r="J109" s="228" t="n">
        <v>28000</v>
      </c>
      <c r="K109" s="214" t="n">
        <v>0</v>
      </c>
      <c r="L109" s="228" t="n">
        <v>28000</v>
      </c>
      <c r="M109" s="213" t="n">
        <v>-2000</v>
      </c>
      <c r="N109" s="212" t="s">
        <v>213</v>
      </c>
      <c r="O109" s="212"/>
    </row>
    <row r="110" customFormat="false" ht="15" hidden="false" customHeight="true" outlineLevel="0" collapsed="false">
      <c r="B110" s="208" t="n">
        <v>2024</v>
      </c>
      <c r="C110" s="209" t="n">
        <v>4</v>
      </c>
      <c r="D110" s="226" t="s">
        <v>69</v>
      </c>
      <c r="E110" s="221" t="s">
        <v>214</v>
      </c>
      <c r="F110" s="221" t="s">
        <v>215</v>
      </c>
      <c r="G110" s="221"/>
      <c r="H110" s="229" t="s">
        <v>122</v>
      </c>
      <c r="I110" s="228" t="n">
        <v>35000</v>
      </c>
      <c r="J110" s="228" t="n">
        <v>35000</v>
      </c>
      <c r="K110" s="214" t="n">
        <v>0</v>
      </c>
      <c r="L110" s="228" t="n">
        <v>35000</v>
      </c>
      <c r="N110" s="212"/>
      <c r="O110" s="212"/>
    </row>
    <row r="111" customFormat="false" ht="15" hidden="false" customHeight="true" outlineLevel="0" collapsed="false">
      <c r="B111" s="208" t="n">
        <v>2024</v>
      </c>
      <c r="C111" s="209" t="n">
        <v>4</v>
      </c>
      <c r="D111" s="226" t="s">
        <v>43</v>
      </c>
      <c r="E111" s="221" t="n">
        <v>0</v>
      </c>
      <c r="F111" s="221" t="n">
        <v>0</v>
      </c>
      <c r="G111" s="221"/>
      <c r="H111" s="229" t="s">
        <v>196</v>
      </c>
      <c r="I111" s="228" t="n">
        <v>20000</v>
      </c>
      <c r="J111" s="228" t="n">
        <v>0</v>
      </c>
      <c r="K111" s="214" t="n">
        <v>20000</v>
      </c>
      <c r="L111" s="228" t="n">
        <v>20000</v>
      </c>
      <c r="N111" s="212"/>
      <c r="O111" s="212"/>
    </row>
    <row r="112" customFormat="false" ht="15" hidden="false" customHeight="true" outlineLevel="0" collapsed="false">
      <c r="B112" s="208" t="n">
        <v>2024</v>
      </c>
      <c r="C112" s="209" t="n">
        <v>4</v>
      </c>
      <c r="D112" s="226" t="s">
        <v>56</v>
      </c>
      <c r="E112" s="221" t="s">
        <v>216</v>
      </c>
      <c r="F112" s="221" t="s">
        <v>217</v>
      </c>
      <c r="G112" s="221"/>
      <c r="H112" s="229" t="s">
        <v>198</v>
      </c>
      <c r="I112" s="228" t="n">
        <v>32500</v>
      </c>
      <c r="J112" s="228" t="n">
        <v>32500</v>
      </c>
      <c r="K112" s="214" t="n">
        <v>0</v>
      </c>
      <c r="L112" s="228" t="n">
        <v>32500</v>
      </c>
      <c r="N112" s="212"/>
      <c r="O112" s="212"/>
    </row>
    <row r="113" customFormat="false" ht="15" hidden="false" customHeight="true" outlineLevel="0" collapsed="false">
      <c r="B113" s="208" t="n">
        <v>2024</v>
      </c>
      <c r="C113" s="209" t="n">
        <v>4</v>
      </c>
      <c r="D113" s="226" t="s">
        <v>34</v>
      </c>
      <c r="E113" s="221" t="n">
        <v>0</v>
      </c>
      <c r="F113" s="221" t="n">
        <v>0</v>
      </c>
      <c r="G113" s="221"/>
      <c r="H113" s="229" t="s">
        <v>102</v>
      </c>
      <c r="I113" s="228" t="n">
        <v>30000</v>
      </c>
      <c r="J113" s="228" t="n">
        <v>30000</v>
      </c>
      <c r="K113" s="214" t="n">
        <v>0</v>
      </c>
      <c r="L113" s="228" t="n">
        <v>30000</v>
      </c>
      <c r="N113" s="212"/>
      <c r="O113" s="212"/>
    </row>
    <row r="114" customFormat="false" ht="15" hidden="false" customHeight="true" outlineLevel="0" collapsed="false">
      <c r="B114" s="208" t="n">
        <v>2024</v>
      </c>
      <c r="C114" s="209" t="n">
        <v>4</v>
      </c>
      <c r="D114" s="226" t="s">
        <v>34</v>
      </c>
      <c r="E114" s="221" t="n">
        <v>0</v>
      </c>
      <c r="F114" s="221" t="n">
        <v>0</v>
      </c>
      <c r="G114" s="221"/>
      <c r="H114" s="229" t="s">
        <v>48</v>
      </c>
      <c r="I114" s="228" t="n">
        <v>30000</v>
      </c>
      <c r="J114" s="228" t="n">
        <v>30000</v>
      </c>
      <c r="K114" s="214" t="n">
        <v>0</v>
      </c>
      <c r="L114" s="228" t="n">
        <v>30000</v>
      </c>
      <c r="N114" s="212"/>
      <c r="O114" s="212"/>
    </row>
    <row r="115" customFormat="false" ht="15" hidden="false" customHeight="true" outlineLevel="0" collapsed="false">
      <c r="B115" s="208" t="n">
        <v>2024</v>
      </c>
      <c r="C115" s="209" t="n">
        <v>4</v>
      </c>
      <c r="D115" s="226" t="s">
        <v>105</v>
      </c>
      <c r="E115" s="221" t="s">
        <v>106</v>
      </c>
      <c r="F115" s="221" t="n">
        <v>0</v>
      </c>
      <c r="G115" s="221" t="s">
        <v>203</v>
      </c>
      <c r="H115" s="229" t="s">
        <v>104</v>
      </c>
      <c r="I115" s="228" t="n">
        <v>35000</v>
      </c>
      <c r="J115" s="228" t="n">
        <v>35000</v>
      </c>
      <c r="K115" s="214" t="n">
        <v>0</v>
      </c>
      <c r="L115" s="228" t="n">
        <v>35000</v>
      </c>
      <c r="N115" s="212"/>
      <c r="O115" s="212"/>
    </row>
    <row r="116" customFormat="false" ht="15" hidden="false" customHeight="true" outlineLevel="0" collapsed="false">
      <c r="B116" s="208" t="n">
        <v>2024</v>
      </c>
      <c r="C116" s="209" t="n">
        <v>4</v>
      </c>
      <c r="D116" s="226" t="s">
        <v>69</v>
      </c>
      <c r="E116" s="221" t="s">
        <v>110</v>
      </c>
      <c r="F116" s="221" t="s">
        <v>149</v>
      </c>
      <c r="G116" s="221" t="s">
        <v>203</v>
      </c>
      <c r="H116" s="229" t="s">
        <v>109</v>
      </c>
      <c r="I116" s="228" t="n">
        <v>37500</v>
      </c>
      <c r="J116" s="228" t="n">
        <v>37500</v>
      </c>
      <c r="K116" s="214" t="n">
        <v>0</v>
      </c>
      <c r="L116" s="228" t="n">
        <v>37500</v>
      </c>
      <c r="N116" s="212"/>
      <c r="O116" s="212"/>
    </row>
    <row r="117" customFormat="false" ht="15" hidden="false" customHeight="true" outlineLevel="0" collapsed="false">
      <c r="B117" s="208" t="n">
        <v>2024</v>
      </c>
      <c r="C117" s="209" t="n">
        <v>4</v>
      </c>
      <c r="D117" s="226" t="s">
        <v>69</v>
      </c>
      <c r="E117" s="221" t="s">
        <v>219</v>
      </c>
      <c r="F117" s="221" t="n">
        <v>0</v>
      </c>
      <c r="G117" s="221" t="s">
        <v>203</v>
      </c>
      <c r="H117" s="229" t="s">
        <v>220</v>
      </c>
      <c r="I117" s="228" t="n">
        <v>26833.33</v>
      </c>
      <c r="J117" s="228" t="n">
        <v>26833.33</v>
      </c>
      <c r="K117" s="214" t="n">
        <v>0</v>
      </c>
      <c r="L117" s="228" t="n">
        <v>26833.33</v>
      </c>
      <c r="N117" s="212"/>
      <c r="O117" s="212"/>
    </row>
    <row r="118" customFormat="false" ht="15" hidden="false" customHeight="true" outlineLevel="0" collapsed="false">
      <c r="B118" s="208" t="n">
        <v>2024</v>
      </c>
      <c r="C118" s="209" t="n">
        <v>4</v>
      </c>
      <c r="D118" s="226" t="s">
        <v>112</v>
      </c>
      <c r="E118" s="221" t="s">
        <v>113</v>
      </c>
      <c r="F118" s="221" t="n">
        <v>0</v>
      </c>
      <c r="G118" s="221" t="s">
        <v>203</v>
      </c>
      <c r="H118" s="229" t="s">
        <v>111</v>
      </c>
      <c r="I118" s="228" t="n">
        <v>23000</v>
      </c>
      <c r="J118" s="228" t="n">
        <v>23000</v>
      </c>
      <c r="K118" s="214" t="n">
        <v>0</v>
      </c>
      <c r="L118" s="228" t="n">
        <v>23000</v>
      </c>
      <c r="N118" s="212"/>
      <c r="O118" s="212"/>
    </row>
    <row r="119" customFormat="false" ht="15" hidden="false" customHeight="true" outlineLevel="0" collapsed="false">
      <c r="B119" s="208" t="n">
        <v>2024</v>
      </c>
      <c r="C119" s="209" t="n">
        <v>4</v>
      </c>
      <c r="D119" s="226" t="s">
        <v>59</v>
      </c>
      <c r="E119" s="221" t="s">
        <v>130</v>
      </c>
      <c r="F119" s="221" t="s">
        <v>152</v>
      </c>
      <c r="G119" s="221"/>
      <c r="H119" s="229" t="s">
        <v>129</v>
      </c>
      <c r="I119" s="228" t="n">
        <v>30000</v>
      </c>
      <c r="J119" s="228" t="n">
        <v>17002</v>
      </c>
      <c r="K119" s="214" t="n">
        <v>12998</v>
      </c>
      <c r="L119" s="228" t="n">
        <v>30000</v>
      </c>
      <c r="N119" s="212"/>
      <c r="O119" s="212"/>
    </row>
    <row r="120" customFormat="false" ht="15" hidden="false" customHeight="true" outlineLevel="0" collapsed="false">
      <c r="B120" s="208" t="n">
        <v>2024</v>
      </c>
      <c r="C120" s="209" t="n">
        <v>4</v>
      </c>
      <c r="D120" s="226" t="s">
        <v>59</v>
      </c>
      <c r="E120" s="221" t="s">
        <v>60</v>
      </c>
      <c r="F120" s="221" t="s">
        <v>61</v>
      </c>
      <c r="G120" s="221"/>
      <c r="H120" s="229" t="s">
        <v>133</v>
      </c>
      <c r="I120" s="228" t="n">
        <v>30000</v>
      </c>
      <c r="J120" s="228" t="n">
        <v>30000</v>
      </c>
      <c r="K120" s="214" t="n">
        <v>0</v>
      </c>
      <c r="L120" s="228" t="n">
        <v>30000</v>
      </c>
      <c r="N120" s="212"/>
      <c r="O120" s="212"/>
    </row>
    <row r="121" customFormat="false" ht="15" hidden="false" customHeight="true" outlineLevel="0" collapsed="false">
      <c r="B121" s="208" t="n">
        <v>2024</v>
      </c>
      <c r="C121" s="209" t="n">
        <v>4</v>
      </c>
      <c r="D121" s="226" t="s">
        <v>59</v>
      </c>
      <c r="E121" s="221" t="n">
        <v>30148302742</v>
      </c>
      <c r="F121" s="221" t="n">
        <v>97726066</v>
      </c>
      <c r="G121" s="221"/>
      <c r="H121" s="229" t="s">
        <v>62</v>
      </c>
      <c r="I121" s="228" t="n">
        <v>17002</v>
      </c>
      <c r="J121" s="228" t="n">
        <v>17002</v>
      </c>
      <c r="K121" s="214" t="n">
        <v>0</v>
      </c>
      <c r="L121" s="228" t="n">
        <v>17002</v>
      </c>
      <c r="N121" s="212"/>
      <c r="O121" s="212"/>
    </row>
    <row r="122" customFormat="false" ht="15" hidden="false" customHeight="true" outlineLevel="0" collapsed="false">
      <c r="B122" s="208" t="n">
        <v>2024</v>
      </c>
      <c r="C122" s="209" t="n">
        <v>4</v>
      </c>
      <c r="D122" s="226" t="s">
        <v>59</v>
      </c>
      <c r="E122" s="221" t="s">
        <v>57</v>
      </c>
      <c r="F122" s="221" t="s">
        <v>153</v>
      </c>
      <c r="G122" s="221"/>
      <c r="H122" s="227" t="s">
        <v>55</v>
      </c>
      <c r="I122" s="228" t="n">
        <v>30000</v>
      </c>
      <c r="J122" s="228" t="n">
        <v>30000</v>
      </c>
      <c r="K122" s="214" t="n">
        <v>0</v>
      </c>
      <c r="L122" s="228" t="n">
        <v>30000</v>
      </c>
      <c r="M122" s="228"/>
      <c r="N122" s="212"/>
      <c r="O122" s="212"/>
    </row>
    <row r="123" customFormat="false" ht="15" hidden="false" customHeight="true" outlineLevel="0" collapsed="false">
      <c r="B123" s="208" t="n">
        <v>2024</v>
      </c>
      <c r="C123" s="209" t="n">
        <v>4</v>
      </c>
      <c r="D123" s="226" t="s">
        <v>59</v>
      </c>
      <c r="E123" s="221" t="n">
        <v>0</v>
      </c>
      <c r="F123" s="221" t="n">
        <v>0</v>
      </c>
      <c r="G123" s="221"/>
      <c r="H123" s="229" t="s">
        <v>134</v>
      </c>
      <c r="I123" s="228" t="n">
        <v>15000</v>
      </c>
      <c r="J123" s="228" t="n">
        <v>0</v>
      </c>
      <c r="K123" s="214" t="n">
        <v>15000</v>
      </c>
      <c r="L123" s="228" t="n">
        <v>15000</v>
      </c>
      <c r="M123" s="228"/>
      <c r="N123" s="212"/>
      <c r="O123" s="212"/>
    </row>
    <row r="124" customFormat="false" ht="15" hidden="false" customHeight="true" outlineLevel="0" collapsed="false">
      <c r="B124" s="208" t="n">
        <v>2024</v>
      </c>
      <c r="C124" s="209" t="n">
        <v>4</v>
      </c>
      <c r="D124" s="230" t="s">
        <v>59</v>
      </c>
      <c r="E124" s="231" t="n">
        <v>0</v>
      </c>
      <c r="F124" s="231" t="n">
        <v>0</v>
      </c>
      <c r="G124" s="232"/>
      <c r="H124" s="229" t="s">
        <v>135</v>
      </c>
      <c r="I124" s="228" t="n">
        <v>20000</v>
      </c>
      <c r="J124" s="228" t="n">
        <v>0</v>
      </c>
      <c r="K124" s="214" t="n">
        <v>20000</v>
      </c>
      <c r="L124" s="228" t="n">
        <v>20000</v>
      </c>
      <c r="M124" s="228"/>
      <c r="N124" s="212"/>
      <c r="O124" s="212"/>
    </row>
    <row r="125" customFormat="false" ht="15" hidden="false" customHeight="true" outlineLevel="0" collapsed="false">
      <c r="B125" s="208" t="n">
        <v>2024</v>
      </c>
      <c r="C125" s="209" t="n">
        <v>5</v>
      </c>
      <c r="D125" s="226" t="s">
        <v>56</v>
      </c>
      <c r="E125" s="221" t="n">
        <v>28699369338</v>
      </c>
      <c r="F125" s="221" t="n">
        <v>96358353</v>
      </c>
      <c r="G125" s="221" t="s">
        <v>203</v>
      </c>
      <c r="H125" s="227" t="s">
        <v>79</v>
      </c>
      <c r="I125" s="228" t="n">
        <v>40000</v>
      </c>
      <c r="J125" s="228" t="n">
        <v>40000</v>
      </c>
      <c r="K125" s="214" t="n">
        <v>0</v>
      </c>
      <c r="L125" s="228" t="n">
        <v>40000</v>
      </c>
      <c r="N125" s="212"/>
      <c r="O125" s="212"/>
    </row>
    <row r="126" customFormat="false" ht="15" hidden="false" customHeight="true" outlineLevel="0" collapsed="false">
      <c r="B126" s="208" t="n">
        <v>2024</v>
      </c>
      <c r="C126" s="209" t="n">
        <v>5</v>
      </c>
      <c r="D126" s="226" t="s">
        <v>82</v>
      </c>
      <c r="E126" s="221" t="n">
        <v>17630785580</v>
      </c>
      <c r="F126" s="221" t="n">
        <v>95529415</v>
      </c>
      <c r="G126" s="221" t="s">
        <v>203</v>
      </c>
      <c r="H126" s="227" t="s">
        <v>81</v>
      </c>
      <c r="I126" s="228" t="n">
        <v>87000</v>
      </c>
      <c r="J126" s="228" t="n">
        <v>2666.7</v>
      </c>
      <c r="K126" s="214" t="n">
        <v>84333.3</v>
      </c>
      <c r="L126" s="228" t="n">
        <v>87000</v>
      </c>
      <c r="N126" s="212"/>
      <c r="O126" s="212"/>
    </row>
    <row r="127" customFormat="false" ht="15" hidden="false" customHeight="true" outlineLevel="0" collapsed="false">
      <c r="B127" s="208" t="n">
        <v>2024</v>
      </c>
      <c r="C127" s="209" t="n">
        <v>5</v>
      </c>
      <c r="D127" s="226" t="s">
        <v>56</v>
      </c>
      <c r="E127" s="221" t="n">
        <v>55186680706</v>
      </c>
      <c r="F127" s="221" t="n">
        <v>95787183</v>
      </c>
      <c r="G127" s="221" t="s">
        <v>203</v>
      </c>
      <c r="H127" s="227" t="s">
        <v>73</v>
      </c>
      <c r="I127" s="228" t="n">
        <v>17002</v>
      </c>
      <c r="J127" s="228" t="n">
        <v>12002</v>
      </c>
      <c r="K127" s="214" t="n">
        <v>0</v>
      </c>
      <c r="L127" s="228" t="n">
        <v>12002</v>
      </c>
      <c r="M127" s="213" t="n">
        <v>-5000</v>
      </c>
      <c r="N127" s="212" t="s">
        <v>173</v>
      </c>
      <c r="O127" s="212"/>
    </row>
    <row r="128" customFormat="false" ht="15" hidden="false" customHeight="true" outlineLevel="0" collapsed="false">
      <c r="B128" s="208" t="n">
        <v>2024</v>
      </c>
      <c r="C128" s="209" t="n">
        <v>5</v>
      </c>
      <c r="D128" s="226" t="s">
        <v>82</v>
      </c>
      <c r="E128" s="221" t="n">
        <v>21242693324</v>
      </c>
      <c r="F128" s="221" t="n">
        <v>95532064</v>
      </c>
      <c r="G128" s="221" t="s">
        <v>203</v>
      </c>
      <c r="H128" s="227" t="s">
        <v>85</v>
      </c>
      <c r="I128" s="228" t="n">
        <v>25000</v>
      </c>
      <c r="J128" s="228" t="n">
        <v>1666.8</v>
      </c>
      <c r="K128" s="214" t="n">
        <v>23333.2</v>
      </c>
      <c r="L128" s="228" t="n">
        <v>25000</v>
      </c>
      <c r="N128" s="212"/>
      <c r="O128" s="212"/>
    </row>
    <row r="129" customFormat="false" ht="15" hidden="false" customHeight="true" outlineLevel="0" collapsed="false">
      <c r="B129" s="208" t="n">
        <v>2024</v>
      </c>
      <c r="C129" s="209" t="n">
        <v>5</v>
      </c>
      <c r="D129" s="226" t="s">
        <v>82</v>
      </c>
      <c r="E129" s="221" t="n">
        <v>17159801204</v>
      </c>
      <c r="F129" s="221" t="n">
        <v>95532066</v>
      </c>
      <c r="G129" s="221" t="s">
        <v>203</v>
      </c>
      <c r="H129" s="227" t="s">
        <v>87</v>
      </c>
      <c r="I129" s="228" t="n">
        <v>35000</v>
      </c>
      <c r="J129" s="228" t="n">
        <v>35000</v>
      </c>
      <c r="K129" s="214" t="n">
        <v>0</v>
      </c>
      <c r="L129" s="228" t="n">
        <v>35000</v>
      </c>
      <c r="N129" s="212"/>
      <c r="O129" s="212"/>
    </row>
    <row r="130" customFormat="false" ht="15" hidden="false" customHeight="true" outlineLevel="0" collapsed="false">
      <c r="B130" s="208" t="n">
        <v>2024</v>
      </c>
      <c r="C130" s="209" t="n">
        <v>5</v>
      </c>
      <c r="D130" s="226" t="s">
        <v>69</v>
      </c>
      <c r="E130" s="221" t="n">
        <v>23764482950</v>
      </c>
      <c r="F130" s="221" t="n">
        <v>95532077</v>
      </c>
      <c r="G130" s="221" t="s">
        <v>203</v>
      </c>
      <c r="H130" s="227" t="s">
        <v>93</v>
      </c>
      <c r="I130" s="228" t="n">
        <v>35000</v>
      </c>
      <c r="J130" s="228" t="n">
        <v>2333</v>
      </c>
      <c r="K130" s="214" t="n">
        <v>32667</v>
      </c>
      <c r="L130" s="228" t="n">
        <v>35000</v>
      </c>
      <c r="N130" s="212" t="s">
        <v>221</v>
      </c>
      <c r="O130" s="212" t="n">
        <v>10</v>
      </c>
    </row>
    <row r="131" customFormat="false" ht="15" hidden="false" customHeight="true" outlineLevel="0" collapsed="false">
      <c r="B131" s="208" t="n">
        <v>2024</v>
      </c>
      <c r="C131" s="209" t="n">
        <v>5</v>
      </c>
      <c r="D131" s="226" t="s">
        <v>34</v>
      </c>
      <c r="E131" s="221" t="n">
        <v>25672444846</v>
      </c>
      <c r="F131" s="221" t="n">
        <v>95693810</v>
      </c>
      <c r="G131" s="221" t="s">
        <v>203</v>
      </c>
      <c r="H131" s="227" t="s">
        <v>95</v>
      </c>
      <c r="I131" s="228" t="n">
        <v>30000</v>
      </c>
      <c r="J131" s="228" t="n">
        <v>2000</v>
      </c>
      <c r="K131" s="214" t="n">
        <v>28000</v>
      </c>
      <c r="L131" s="228" t="n">
        <v>30000</v>
      </c>
      <c r="N131" s="212"/>
      <c r="O131" s="212"/>
    </row>
    <row r="132" customFormat="false" ht="15" hidden="false" customHeight="true" outlineLevel="0" collapsed="false">
      <c r="B132" s="208" t="n">
        <v>2024</v>
      </c>
      <c r="C132" s="209" t="n">
        <v>5</v>
      </c>
      <c r="D132" s="226" t="s">
        <v>98</v>
      </c>
      <c r="E132" s="221" t="n">
        <v>51994540164</v>
      </c>
      <c r="F132" s="221" t="n">
        <v>96900867</v>
      </c>
      <c r="G132" s="221" t="s">
        <v>203</v>
      </c>
      <c r="H132" s="227" t="s">
        <v>97</v>
      </c>
      <c r="I132" s="228" t="n">
        <v>40000</v>
      </c>
      <c r="J132" s="228" t="n">
        <v>35000</v>
      </c>
      <c r="K132" s="214" t="n">
        <v>5000</v>
      </c>
      <c r="L132" s="228" t="n">
        <v>40000</v>
      </c>
      <c r="N132" s="212"/>
      <c r="O132" s="212"/>
    </row>
    <row r="133" customFormat="false" ht="15" hidden="false" customHeight="true" outlineLevel="0" collapsed="false">
      <c r="B133" s="208" t="n">
        <v>2024</v>
      </c>
      <c r="C133" s="209" t="n">
        <v>5</v>
      </c>
      <c r="D133" s="226" t="s">
        <v>51</v>
      </c>
      <c r="E133" s="221" t="n">
        <v>23713484608</v>
      </c>
      <c r="F133" s="221" t="n">
        <v>97189681</v>
      </c>
      <c r="G133" s="221" t="s">
        <v>203</v>
      </c>
      <c r="H133" s="227" t="s">
        <v>100</v>
      </c>
      <c r="I133" s="228" t="n">
        <v>30000</v>
      </c>
      <c r="J133" s="228" t="n">
        <v>30000</v>
      </c>
      <c r="K133" s="214" t="n">
        <v>0</v>
      </c>
      <c r="L133" s="228" t="n">
        <v>30000</v>
      </c>
      <c r="N133" s="212"/>
      <c r="O133" s="212"/>
    </row>
    <row r="134" customFormat="false" ht="15" hidden="false" customHeight="true" outlineLevel="0" collapsed="false">
      <c r="B134" s="208" t="n">
        <v>2024</v>
      </c>
      <c r="C134" s="209" t="n">
        <v>5</v>
      </c>
      <c r="D134" s="226" t="s">
        <v>82</v>
      </c>
      <c r="E134" s="221" t="n">
        <v>17891875174</v>
      </c>
      <c r="F134" s="221" t="n">
        <v>6214238</v>
      </c>
      <c r="G134" s="221" t="s">
        <v>203</v>
      </c>
      <c r="H134" s="227" t="s">
        <v>190</v>
      </c>
      <c r="I134" s="228" t="n">
        <v>4533.87</v>
      </c>
      <c r="J134" s="228" t="n">
        <v>4533.87</v>
      </c>
      <c r="K134" s="214" t="n">
        <v>0</v>
      </c>
      <c r="L134" s="228" t="n">
        <v>4533.87</v>
      </c>
      <c r="N134" s="212"/>
      <c r="O134" s="212"/>
    </row>
    <row r="135" customFormat="false" ht="15" hidden="false" customHeight="true" outlineLevel="0" collapsed="false">
      <c r="B135" s="208" t="n">
        <v>2024</v>
      </c>
      <c r="C135" s="209" t="n">
        <v>5</v>
      </c>
      <c r="D135" s="226" t="s">
        <v>69</v>
      </c>
      <c r="E135" s="221" t="n">
        <v>38233125580</v>
      </c>
      <c r="F135" s="221" t="n">
        <v>95532065</v>
      </c>
      <c r="G135" s="221" t="s">
        <v>203</v>
      </c>
      <c r="H135" s="227" t="s">
        <v>191</v>
      </c>
      <c r="I135" s="228" t="n">
        <v>37500</v>
      </c>
      <c r="J135" s="228" t="n">
        <v>37500</v>
      </c>
      <c r="K135" s="214" t="n">
        <v>0</v>
      </c>
      <c r="L135" s="228" t="n">
        <v>37500</v>
      </c>
      <c r="N135" s="212" t="s">
        <v>221</v>
      </c>
      <c r="O135" s="212" t="n">
        <v>6</v>
      </c>
    </row>
    <row r="136" customFormat="false" ht="15" hidden="false" customHeight="true" outlineLevel="0" collapsed="false">
      <c r="B136" s="208" t="n">
        <v>2024</v>
      </c>
      <c r="C136" s="209" t="n">
        <v>5</v>
      </c>
      <c r="D136" s="226" t="s">
        <v>59</v>
      </c>
      <c r="E136" s="221" t="n">
        <v>18736701092</v>
      </c>
      <c r="F136" s="221" t="n">
        <v>95547779</v>
      </c>
      <c r="G136" s="221" t="s">
        <v>203</v>
      </c>
      <c r="H136" s="227" t="s">
        <v>127</v>
      </c>
      <c r="I136" s="228" t="n">
        <v>30000</v>
      </c>
      <c r="J136" s="228" t="n">
        <v>17002</v>
      </c>
      <c r="K136" s="214" t="n">
        <v>12998</v>
      </c>
      <c r="L136" s="228" t="n">
        <v>30000</v>
      </c>
      <c r="N136" s="212"/>
      <c r="O136" s="212"/>
    </row>
    <row r="137" customFormat="false" ht="15" hidden="false" customHeight="true" outlineLevel="0" collapsed="false">
      <c r="B137" s="208" t="n">
        <v>2024</v>
      </c>
      <c r="C137" s="209" t="n">
        <v>5</v>
      </c>
      <c r="D137" s="226" t="s">
        <v>34</v>
      </c>
      <c r="E137" s="221" t="n">
        <v>29107341298</v>
      </c>
      <c r="F137" s="221" t="n">
        <v>0</v>
      </c>
      <c r="G137" s="221" t="s">
        <v>203</v>
      </c>
      <c r="H137" s="227" t="s">
        <v>193</v>
      </c>
      <c r="I137" s="228" t="n">
        <v>30000</v>
      </c>
      <c r="J137" s="228" t="n">
        <v>2000</v>
      </c>
      <c r="K137" s="214" t="n">
        <v>28000</v>
      </c>
      <c r="L137" s="228" t="n">
        <v>30000</v>
      </c>
      <c r="N137" s="212"/>
      <c r="O137" s="212"/>
    </row>
    <row r="138" customFormat="false" ht="15" hidden="false" customHeight="true" outlineLevel="0" collapsed="false">
      <c r="B138" s="208" t="n">
        <v>2024</v>
      </c>
      <c r="C138" s="209" t="n">
        <v>5</v>
      </c>
      <c r="D138" s="226" t="s">
        <v>105</v>
      </c>
      <c r="E138" s="221" t="n">
        <v>14188598600</v>
      </c>
      <c r="F138" s="221" t="n">
        <v>0</v>
      </c>
      <c r="G138" s="221" t="s">
        <v>203</v>
      </c>
      <c r="H138" s="229" t="s">
        <v>104</v>
      </c>
      <c r="I138" s="228" t="n">
        <v>35000</v>
      </c>
      <c r="J138" s="228" t="n">
        <v>32000</v>
      </c>
      <c r="K138" s="214" t="n">
        <v>0</v>
      </c>
      <c r="L138" s="228" t="n">
        <v>32000</v>
      </c>
      <c r="M138" s="213" t="n">
        <v>-3000</v>
      </c>
      <c r="N138" s="212" t="s">
        <v>173</v>
      </c>
      <c r="O138" s="212"/>
    </row>
    <row r="139" customFormat="false" ht="15" hidden="false" customHeight="true" outlineLevel="0" collapsed="false">
      <c r="B139" s="208" t="n">
        <v>2024</v>
      </c>
      <c r="C139" s="209" t="n">
        <v>5</v>
      </c>
      <c r="D139" s="226" t="s">
        <v>69</v>
      </c>
      <c r="E139" s="221" t="n">
        <v>20743377542</v>
      </c>
      <c r="F139" s="221" t="n">
        <v>99029232</v>
      </c>
      <c r="G139" s="221" t="s">
        <v>203</v>
      </c>
      <c r="H139" s="229" t="s">
        <v>109</v>
      </c>
      <c r="I139" s="228" t="n">
        <v>37500</v>
      </c>
      <c r="J139" s="228" t="n">
        <v>37500</v>
      </c>
      <c r="K139" s="214" t="n">
        <v>0</v>
      </c>
      <c r="L139" s="228" t="n">
        <v>37500</v>
      </c>
      <c r="N139" s="212"/>
      <c r="O139" s="212"/>
    </row>
    <row r="140" customFormat="false" ht="15" hidden="false" customHeight="true" outlineLevel="0" collapsed="false">
      <c r="B140" s="208" t="n">
        <v>2024</v>
      </c>
      <c r="C140" s="209" t="n">
        <v>5</v>
      </c>
      <c r="D140" s="226" t="s">
        <v>69</v>
      </c>
      <c r="E140" s="221" t="n">
        <v>42622163084</v>
      </c>
      <c r="F140" s="221" t="n">
        <v>0</v>
      </c>
      <c r="G140" s="221" t="s">
        <v>203</v>
      </c>
      <c r="H140" s="229" t="s">
        <v>220</v>
      </c>
      <c r="I140" s="228" t="n">
        <v>10000</v>
      </c>
      <c r="J140" s="228" t="n">
        <v>0</v>
      </c>
      <c r="K140" s="214" t="n">
        <v>10000</v>
      </c>
      <c r="L140" s="228" t="n">
        <v>10000</v>
      </c>
      <c r="N140" s="212"/>
      <c r="O140" s="212"/>
    </row>
    <row r="141" customFormat="false" ht="15" hidden="false" customHeight="true" outlineLevel="0" collapsed="false">
      <c r="B141" s="208" t="n">
        <v>2024</v>
      </c>
      <c r="C141" s="209" t="n">
        <v>5</v>
      </c>
      <c r="D141" s="226" t="s">
        <v>112</v>
      </c>
      <c r="E141" s="221" t="n">
        <v>24235463638</v>
      </c>
      <c r="F141" s="221" t="n">
        <v>0</v>
      </c>
      <c r="G141" s="221" t="s">
        <v>203</v>
      </c>
      <c r="H141" s="229" t="s">
        <v>111</v>
      </c>
      <c r="I141" s="228" t="n">
        <v>23000</v>
      </c>
      <c r="J141" s="228" t="n">
        <v>23000</v>
      </c>
      <c r="K141" s="214" t="n">
        <v>0</v>
      </c>
      <c r="L141" s="228" t="n">
        <v>23000</v>
      </c>
      <c r="N141" s="212"/>
      <c r="O141" s="212"/>
    </row>
    <row r="142" customFormat="false" ht="15" hidden="false" customHeight="true" outlineLevel="0" collapsed="false">
      <c r="B142" s="208" t="n">
        <v>2024</v>
      </c>
      <c r="C142" s="209" t="n">
        <v>5</v>
      </c>
      <c r="D142" s="226" t="s">
        <v>59</v>
      </c>
      <c r="E142" s="221" t="n">
        <v>74524099796</v>
      </c>
      <c r="F142" s="221" t="n">
        <v>98127163</v>
      </c>
      <c r="G142" s="221"/>
      <c r="H142" s="229" t="s">
        <v>129</v>
      </c>
      <c r="I142" s="228" t="n">
        <v>30000</v>
      </c>
      <c r="J142" s="228" t="n">
        <v>17002</v>
      </c>
      <c r="K142" s="214" t="n">
        <v>12998</v>
      </c>
      <c r="L142" s="228" t="n">
        <v>30000</v>
      </c>
      <c r="N142" s="212"/>
      <c r="O142" s="212"/>
    </row>
    <row r="143" customFormat="false" ht="15" hidden="false" customHeight="true" outlineLevel="0" collapsed="false">
      <c r="B143" s="208" t="n">
        <v>2024</v>
      </c>
      <c r="C143" s="209" t="n">
        <v>5</v>
      </c>
      <c r="D143" s="226" t="s">
        <v>59</v>
      </c>
      <c r="E143" s="221" t="n">
        <v>30148302742</v>
      </c>
      <c r="F143" s="221" t="n">
        <v>97726066</v>
      </c>
      <c r="G143" s="221"/>
      <c r="H143" s="229" t="s">
        <v>62</v>
      </c>
      <c r="I143" s="228" t="n">
        <v>17002</v>
      </c>
      <c r="J143" s="228" t="n">
        <v>17002</v>
      </c>
      <c r="K143" s="214" t="n">
        <v>0</v>
      </c>
      <c r="L143" s="228" t="n">
        <v>17002</v>
      </c>
      <c r="N143" s="212"/>
      <c r="O143" s="212"/>
    </row>
    <row r="144" customFormat="false" ht="15" hidden="false" customHeight="true" outlineLevel="0" collapsed="false">
      <c r="B144" s="208" t="n">
        <v>2024</v>
      </c>
      <c r="C144" s="209" t="n">
        <v>5</v>
      </c>
      <c r="D144" s="226" t="s">
        <v>59</v>
      </c>
      <c r="E144" s="221" t="n">
        <v>0</v>
      </c>
      <c r="F144" s="221" t="n">
        <v>0</v>
      </c>
      <c r="G144" s="221"/>
      <c r="H144" s="229" t="s">
        <v>134</v>
      </c>
      <c r="I144" s="228" t="n">
        <v>30000</v>
      </c>
      <c r="J144" s="228" t="n">
        <v>0</v>
      </c>
      <c r="K144" s="214" t="n">
        <v>30000</v>
      </c>
      <c r="L144" s="228" t="n">
        <v>30000</v>
      </c>
      <c r="M144" s="228"/>
      <c r="N144" s="212"/>
      <c r="O144" s="212"/>
    </row>
    <row r="145" customFormat="false" ht="15" hidden="false" customHeight="true" outlineLevel="0" collapsed="false">
      <c r="B145" s="208" t="n">
        <v>2024</v>
      </c>
      <c r="C145" s="209" t="n">
        <v>5</v>
      </c>
      <c r="D145" s="226" t="s">
        <v>59</v>
      </c>
      <c r="E145" s="221" t="n">
        <v>22093575890</v>
      </c>
      <c r="F145" s="221" t="n">
        <v>96260905</v>
      </c>
      <c r="G145" s="221"/>
      <c r="H145" s="229" t="s">
        <v>133</v>
      </c>
      <c r="I145" s="228" t="n">
        <v>30000</v>
      </c>
      <c r="J145" s="228" t="n">
        <v>0</v>
      </c>
      <c r="K145" s="214" t="n">
        <v>30000</v>
      </c>
      <c r="L145" s="228" t="n">
        <v>30000</v>
      </c>
      <c r="M145" s="228"/>
      <c r="N145" s="212"/>
      <c r="O145" s="212"/>
    </row>
    <row r="146" customFormat="false" ht="15" hidden="false" customHeight="true" outlineLevel="0" collapsed="false">
      <c r="B146" s="208" t="n">
        <v>2024</v>
      </c>
      <c r="C146" s="209" t="n">
        <v>5</v>
      </c>
      <c r="D146" s="226" t="s">
        <v>59</v>
      </c>
      <c r="E146" s="221" t="n">
        <v>64996156028</v>
      </c>
      <c r="F146" s="221" t="n">
        <v>95539771</v>
      </c>
      <c r="G146" s="221"/>
      <c r="H146" s="229" t="s">
        <v>55</v>
      </c>
      <c r="I146" s="228" t="n">
        <v>30000</v>
      </c>
      <c r="J146" s="228" t="n">
        <v>0</v>
      </c>
      <c r="K146" s="214" t="n">
        <v>30000</v>
      </c>
      <c r="L146" s="228" t="n">
        <v>30000</v>
      </c>
      <c r="M146" s="228"/>
      <c r="N146" s="212"/>
      <c r="O146" s="212"/>
    </row>
    <row r="147" customFormat="false" ht="15" hidden="false" customHeight="true" outlineLevel="0" collapsed="false">
      <c r="B147" s="208" t="n">
        <v>2024</v>
      </c>
      <c r="C147" s="209" t="n">
        <v>6</v>
      </c>
      <c r="D147" s="226" t="s">
        <v>56</v>
      </c>
      <c r="E147" s="221" t="n">
        <v>28699369338</v>
      </c>
      <c r="F147" s="221" t="n">
        <v>96358353</v>
      </c>
      <c r="G147" s="221" t="s">
        <v>203</v>
      </c>
      <c r="H147" s="227" t="s">
        <v>79</v>
      </c>
      <c r="I147" s="228" t="n">
        <v>40000</v>
      </c>
      <c r="J147" s="228" t="n">
        <v>40000</v>
      </c>
      <c r="K147" s="214" t="n">
        <v>0</v>
      </c>
      <c r="L147" s="228" t="n">
        <v>40000</v>
      </c>
      <c r="N147" s="212"/>
      <c r="O147" s="212"/>
    </row>
    <row r="148" customFormat="false" ht="15" hidden="false" customHeight="true" outlineLevel="0" collapsed="false">
      <c r="B148" s="208" t="n">
        <v>2024</v>
      </c>
      <c r="C148" s="209" t="n">
        <v>6</v>
      </c>
      <c r="D148" s="226" t="s">
        <v>82</v>
      </c>
      <c r="E148" s="221" t="n">
        <v>17630785580</v>
      </c>
      <c r="F148" s="221" t="n">
        <v>95529415</v>
      </c>
      <c r="G148" s="221" t="s">
        <v>203</v>
      </c>
      <c r="H148" s="227" t="s">
        <v>81</v>
      </c>
      <c r="I148" s="228" t="n">
        <v>77000</v>
      </c>
      <c r="J148" s="228" t="n">
        <v>2666.7</v>
      </c>
      <c r="K148" s="214" t="n">
        <v>74333.3</v>
      </c>
      <c r="L148" s="228" t="n">
        <v>77000</v>
      </c>
      <c r="N148" s="212"/>
      <c r="O148" s="212"/>
    </row>
    <row r="149" customFormat="false" ht="15" hidden="false" customHeight="true" outlineLevel="0" collapsed="false">
      <c r="B149" s="208" t="n">
        <v>2024</v>
      </c>
      <c r="C149" s="209" t="n">
        <v>6</v>
      </c>
      <c r="D149" s="226" t="s">
        <v>56</v>
      </c>
      <c r="E149" s="221" t="n">
        <v>55186680706</v>
      </c>
      <c r="F149" s="221" t="n">
        <v>95787183</v>
      </c>
      <c r="G149" s="221" t="s">
        <v>203</v>
      </c>
      <c r="H149" s="227" t="s">
        <v>73</v>
      </c>
      <c r="I149" s="228" t="n">
        <v>17002</v>
      </c>
      <c r="J149" s="228" t="n">
        <v>12002</v>
      </c>
      <c r="K149" s="214" t="n">
        <v>0</v>
      </c>
      <c r="L149" s="228" t="n">
        <v>12002</v>
      </c>
      <c r="M149" s="213" t="n">
        <v>-5000</v>
      </c>
      <c r="N149" s="212" t="s">
        <v>222</v>
      </c>
      <c r="O149" s="212"/>
    </row>
    <row r="150" customFormat="false" ht="15" hidden="false" customHeight="true" outlineLevel="0" collapsed="false">
      <c r="B150" s="208" t="n">
        <v>2024</v>
      </c>
      <c r="C150" s="209" t="n">
        <v>6</v>
      </c>
      <c r="D150" s="226" t="s">
        <v>82</v>
      </c>
      <c r="E150" s="221" t="n">
        <v>21242693324</v>
      </c>
      <c r="F150" s="221" t="n">
        <v>95532064</v>
      </c>
      <c r="G150" s="221" t="s">
        <v>203</v>
      </c>
      <c r="H150" s="227" t="s">
        <v>85</v>
      </c>
      <c r="I150" s="228" t="n">
        <v>25000</v>
      </c>
      <c r="J150" s="228" t="n">
        <v>1666.8</v>
      </c>
      <c r="K150" s="214" t="n">
        <v>23333.2</v>
      </c>
      <c r="L150" s="228" t="n">
        <v>25000</v>
      </c>
      <c r="N150" s="212"/>
      <c r="O150" s="212"/>
    </row>
    <row r="151" customFormat="false" ht="15" hidden="false" customHeight="true" outlineLevel="0" collapsed="false">
      <c r="B151" s="208" t="n">
        <v>2024</v>
      </c>
      <c r="C151" s="209" t="n">
        <v>6</v>
      </c>
      <c r="D151" s="226" t="s">
        <v>82</v>
      </c>
      <c r="E151" s="221" t="n">
        <v>17159801204</v>
      </c>
      <c r="F151" s="221" t="n">
        <v>95532066</v>
      </c>
      <c r="G151" s="221" t="s">
        <v>203</v>
      </c>
      <c r="H151" s="227" t="s">
        <v>87</v>
      </c>
      <c r="I151" s="228" t="n">
        <v>35000</v>
      </c>
      <c r="J151" s="228" t="n">
        <v>35000</v>
      </c>
      <c r="K151" s="214" t="n">
        <v>0</v>
      </c>
      <c r="L151" s="228" t="n">
        <v>35000</v>
      </c>
      <c r="N151" s="212"/>
      <c r="O151" s="212"/>
    </row>
    <row r="152" customFormat="false" ht="15" hidden="false" customHeight="true" outlineLevel="0" collapsed="false">
      <c r="B152" s="208" t="n">
        <v>2024</v>
      </c>
      <c r="C152" s="209" t="n">
        <v>6</v>
      </c>
      <c r="D152" s="226" t="s">
        <v>69</v>
      </c>
      <c r="E152" s="221" t="n">
        <v>23764482950</v>
      </c>
      <c r="F152" s="221" t="n">
        <v>95532077</v>
      </c>
      <c r="G152" s="221" t="s">
        <v>203</v>
      </c>
      <c r="H152" s="227" t="s">
        <v>93</v>
      </c>
      <c r="I152" s="228" t="n">
        <v>35000</v>
      </c>
      <c r="J152" s="228" t="n">
        <v>2333</v>
      </c>
      <c r="K152" s="214" t="n">
        <v>32667</v>
      </c>
      <c r="L152" s="228" t="n">
        <v>35000</v>
      </c>
      <c r="N152" s="212"/>
      <c r="O152" s="212"/>
    </row>
    <row r="153" customFormat="false" ht="15" hidden="false" customHeight="true" outlineLevel="0" collapsed="false">
      <c r="B153" s="208" t="n">
        <v>2024</v>
      </c>
      <c r="C153" s="209" t="n">
        <v>6</v>
      </c>
      <c r="D153" s="226" t="s">
        <v>34</v>
      </c>
      <c r="E153" s="221" t="n">
        <v>25672444846</v>
      </c>
      <c r="F153" s="221" t="n">
        <v>95693810</v>
      </c>
      <c r="G153" s="221" t="s">
        <v>203</v>
      </c>
      <c r="H153" s="227" t="s">
        <v>95</v>
      </c>
      <c r="I153" s="228" t="n">
        <v>30000</v>
      </c>
      <c r="J153" s="228" t="n">
        <v>2000.1</v>
      </c>
      <c r="K153" s="214" t="n">
        <v>27999.9</v>
      </c>
      <c r="L153" s="228" t="n">
        <v>30000</v>
      </c>
      <c r="N153" s="212"/>
      <c r="O153" s="212"/>
    </row>
    <row r="154" customFormat="false" ht="15" hidden="false" customHeight="true" outlineLevel="0" collapsed="false">
      <c r="B154" s="208" t="n">
        <v>2024</v>
      </c>
      <c r="C154" s="209" t="n">
        <v>6</v>
      </c>
      <c r="D154" s="226" t="s">
        <v>98</v>
      </c>
      <c r="E154" s="221" t="n">
        <v>51994540164</v>
      </c>
      <c r="F154" s="221" t="n">
        <v>96900867</v>
      </c>
      <c r="G154" s="221" t="s">
        <v>203</v>
      </c>
      <c r="H154" s="227" t="s">
        <v>97</v>
      </c>
      <c r="I154" s="228" t="n">
        <v>40000</v>
      </c>
      <c r="J154" s="228" t="n">
        <v>35000</v>
      </c>
      <c r="K154" s="214" t="n">
        <v>5000</v>
      </c>
      <c r="L154" s="228" t="n">
        <v>40000</v>
      </c>
      <c r="N154" s="212"/>
      <c r="O154" s="212"/>
    </row>
    <row r="155" customFormat="false" ht="15" hidden="false" customHeight="true" outlineLevel="0" collapsed="false">
      <c r="B155" s="208" t="n">
        <v>2024</v>
      </c>
      <c r="C155" s="209" t="n">
        <v>6</v>
      </c>
      <c r="D155" s="226" t="s">
        <v>51</v>
      </c>
      <c r="E155" s="221" t="n">
        <v>23713484608</v>
      </c>
      <c r="F155" s="221" t="n">
        <v>97189681</v>
      </c>
      <c r="G155" s="221" t="s">
        <v>203</v>
      </c>
      <c r="H155" s="227" t="s">
        <v>100</v>
      </c>
      <c r="I155" s="228" t="n">
        <v>30000</v>
      </c>
      <c r="J155" s="228" t="n">
        <v>30000</v>
      </c>
      <c r="K155" s="214" t="n">
        <v>0</v>
      </c>
      <c r="L155" s="228" t="n">
        <v>30000</v>
      </c>
      <c r="N155" s="212"/>
      <c r="O155" s="212"/>
    </row>
    <row r="156" customFormat="false" ht="15" hidden="false" customHeight="true" outlineLevel="0" collapsed="false">
      <c r="B156" s="208" t="n">
        <v>2024</v>
      </c>
      <c r="C156" s="209" t="n">
        <v>6</v>
      </c>
      <c r="D156" s="226" t="s">
        <v>69</v>
      </c>
      <c r="E156" s="221" t="n">
        <v>38233125580</v>
      </c>
      <c r="F156" s="221" t="n">
        <v>95532065</v>
      </c>
      <c r="G156" s="221" t="s">
        <v>203</v>
      </c>
      <c r="H156" s="227" t="s">
        <v>191</v>
      </c>
      <c r="I156" s="228" t="n">
        <v>37500</v>
      </c>
      <c r="J156" s="228" t="n">
        <v>37500</v>
      </c>
      <c r="K156" s="214" t="n">
        <v>0</v>
      </c>
      <c r="L156" s="228" t="n">
        <v>37500</v>
      </c>
      <c r="N156" s="212"/>
      <c r="O156" s="212"/>
    </row>
    <row r="157" customFormat="false" ht="15" hidden="false" customHeight="true" outlineLevel="0" collapsed="false">
      <c r="B157" s="208" t="n">
        <v>2024</v>
      </c>
      <c r="C157" s="209" t="n">
        <v>6</v>
      </c>
      <c r="D157" s="226" t="s">
        <v>59</v>
      </c>
      <c r="E157" s="221" t="n">
        <v>18736701092</v>
      </c>
      <c r="F157" s="221" t="n">
        <v>95547779</v>
      </c>
      <c r="G157" s="221" t="s">
        <v>203</v>
      </c>
      <c r="H157" s="227" t="s">
        <v>127</v>
      </c>
      <c r="I157" s="228" t="n">
        <v>30000</v>
      </c>
      <c r="J157" s="228" t="n">
        <v>17002</v>
      </c>
      <c r="K157" s="214" t="n">
        <v>12998</v>
      </c>
      <c r="L157" s="228" t="n">
        <v>30000</v>
      </c>
      <c r="N157" s="212"/>
      <c r="O157" s="212"/>
    </row>
    <row r="158" customFormat="false" ht="15" hidden="false" customHeight="true" outlineLevel="0" collapsed="false">
      <c r="B158" s="208" t="n">
        <v>2024</v>
      </c>
      <c r="C158" s="209" t="n">
        <v>6</v>
      </c>
      <c r="D158" s="226" t="s">
        <v>34</v>
      </c>
      <c r="E158" s="221" t="n">
        <v>29107341298</v>
      </c>
      <c r="F158" s="221" t="n">
        <v>0</v>
      </c>
      <c r="G158" s="221" t="s">
        <v>203</v>
      </c>
      <c r="H158" s="227" t="s">
        <v>193</v>
      </c>
      <c r="I158" s="228" t="n">
        <v>30000</v>
      </c>
      <c r="J158" s="228" t="n">
        <v>2000</v>
      </c>
      <c r="K158" s="214" t="n">
        <v>28000</v>
      </c>
      <c r="L158" s="228" t="n">
        <v>30000</v>
      </c>
      <c r="N158" s="212"/>
      <c r="O158" s="212"/>
    </row>
    <row r="159" customFormat="false" ht="15" hidden="false" customHeight="true" outlineLevel="0" collapsed="false">
      <c r="B159" s="208" t="n">
        <v>2024</v>
      </c>
      <c r="C159" s="209" t="n">
        <v>6</v>
      </c>
      <c r="D159" s="226" t="s">
        <v>105</v>
      </c>
      <c r="E159" s="221" t="n">
        <v>14188598600</v>
      </c>
      <c r="F159" s="221" t="n">
        <v>0</v>
      </c>
      <c r="G159" s="221" t="s">
        <v>203</v>
      </c>
      <c r="H159" s="229" t="s">
        <v>104</v>
      </c>
      <c r="I159" s="228" t="n">
        <v>35000</v>
      </c>
      <c r="J159" s="228" t="n">
        <v>35000</v>
      </c>
      <c r="K159" s="214" t="n">
        <v>0</v>
      </c>
      <c r="L159" s="228" t="n">
        <v>35000</v>
      </c>
      <c r="N159" s="212"/>
      <c r="O159" s="212"/>
    </row>
    <row r="160" customFormat="false" ht="15" hidden="false" customHeight="true" outlineLevel="0" collapsed="false">
      <c r="B160" s="208" t="n">
        <v>2024</v>
      </c>
      <c r="C160" s="209" t="n">
        <v>6</v>
      </c>
      <c r="D160" s="226" t="s">
        <v>69</v>
      </c>
      <c r="E160" s="221" t="n">
        <v>20743377542</v>
      </c>
      <c r="F160" s="221" t="n">
        <v>99029232</v>
      </c>
      <c r="G160" s="221" t="s">
        <v>203</v>
      </c>
      <c r="H160" s="229" t="s">
        <v>109</v>
      </c>
      <c r="I160" s="228" t="n">
        <v>33750</v>
      </c>
      <c r="J160" s="228" t="n">
        <v>33750</v>
      </c>
      <c r="K160" s="214" t="n">
        <v>0</v>
      </c>
      <c r="L160" s="228" t="n">
        <v>33750</v>
      </c>
      <c r="N160" s="212"/>
      <c r="O160" s="212"/>
    </row>
    <row r="161" customFormat="false" ht="15" hidden="false" customHeight="true" outlineLevel="0" collapsed="false">
      <c r="B161" s="208" t="n">
        <v>2024</v>
      </c>
      <c r="C161" s="209" t="n">
        <v>6</v>
      </c>
      <c r="D161" s="226" t="s">
        <v>69</v>
      </c>
      <c r="E161" s="221" t="n">
        <v>42622163084</v>
      </c>
      <c r="F161" s="221" t="n">
        <v>0</v>
      </c>
      <c r="G161" s="221"/>
      <c r="H161" s="229" t="s">
        <v>220</v>
      </c>
      <c r="I161" s="228" t="n">
        <v>35000</v>
      </c>
      <c r="J161" s="228" t="n">
        <v>0</v>
      </c>
      <c r="K161" s="214" t="n">
        <v>35000</v>
      </c>
      <c r="L161" s="228" t="n">
        <v>35000</v>
      </c>
      <c r="N161" s="212"/>
      <c r="O161" s="212"/>
    </row>
    <row r="162" customFormat="false" ht="15" hidden="false" customHeight="true" outlineLevel="0" collapsed="false">
      <c r="B162" s="208" t="n">
        <v>2024</v>
      </c>
      <c r="C162" s="209" t="n">
        <v>6</v>
      </c>
      <c r="D162" s="226" t="s">
        <v>112</v>
      </c>
      <c r="E162" s="221" t="n">
        <v>24235463638</v>
      </c>
      <c r="F162" s="221" t="n">
        <v>0</v>
      </c>
      <c r="G162" s="221" t="s">
        <v>203</v>
      </c>
      <c r="H162" s="229" t="s">
        <v>111</v>
      </c>
      <c r="I162" s="228" t="n">
        <v>23000</v>
      </c>
      <c r="J162" s="228" t="n">
        <v>21467</v>
      </c>
      <c r="K162" s="214" t="n">
        <v>0</v>
      </c>
      <c r="L162" s="228" t="n">
        <v>21467</v>
      </c>
      <c r="M162" s="213" t="n">
        <v>-1533</v>
      </c>
      <c r="N162" s="212" t="s">
        <v>213</v>
      </c>
      <c r="O162" s="212"/>
    </row>
    <row r="163" customFormat="false" ht="15" hidden="false" customHeight="true" outlineLevel="0" collapsed="false">
      <c r="B163" s="208" t="n">
        <v>2024</v>
      </c>
      <c r="C163" s="209" t="n">
        <v>6</v>
      </c>
      <c r="D163" s="226" t="s">
        <v>82</v>
      </c>
      <c r="E163" s="221" t="n">
        <v>0</v>
      </c>
      <c r="F163" s="221" t="n">
        <v>0</v>
      </c>
      <c r="G163" s="221"/>
      <c r="H163" s="229" t="s">
        <v>114</v>
      </c>
      <c r="I163" s="228" t="n">
        <v>5000</v>
      </c>
      <c r="J163" s="228" t="n">
        <v>0</v>
      </c>
      <c r="K163" s="214" t="n">
        <v>5000</v>
      </c>
      <c r="L163" s="228" t="n">
        <v>5000</v>
      </c>
      <c r="N163" s="212"/>
      <c r="O163" s="212"/>
    </row>
    <row r="164" customFormat="false" ht="15" hidden="false" customHeight="true" outlineLevel="0" collapsed="false">
      <c r="B164" s="208" t="n">
        <v>2024</v>
      </c>
      <c r="C164" s="209" t="n">
        <v>6</v>
      </c>
      <c r="D164" s="226" t="s">
        <v>43</v>
      </c>
      <c r="E164" s="221" t="n">
        <v>0</v>
      </c>
      <c r="F164" s="221" t="n">
        <v>0</v>
      </c>
      <c r="G164" s="221"/>
      <c r="H164" s="229" t="s">
        <v>223</v>
      </c>
      <c r="I164" s="228" t="n">
        <v>3067</v>
      </c>
      <c r="J164" s="228" t="n">
        <v>0</v>
      </c>
      <c r="K164" s="214" t="n">
        <v>3067</v>
      </c>
      <c r="L164" s="228" t="n">
        <v>3067</v>
      </c>
      <c r="N164" s="212"/>
      <c r="O164" s="212"/>
    </row>
    <row r="165" customFormat="false" ht="15" hidden="false" customHeight="true" outlineLevel="0" collapsed="false">
      <c r="B165" s="208" t="n">
        <v>2024</v>
      </c>
      <c r="C165" s="209" t="n">
        <v>6</v>
      </c>
      <c r="D165" s="226" t="s">
        <v>59</v>
      </c>
      <c r="E165" s="221" t="n">
        <v>74524099796</v>
      </c>
      <c r="F165" s="221" t="n">
        <v>98127163</v>
      </c>
      <c r="G165" s="221" t="s">
        <v>224</v>
      </c>
      <c r="H165" s="229" t="s">
        <v>129</v>
      </c>
      <c r="I165" s="228" t="n">
        <v>30000</v>
      </c>
      <c r="J165" s="228" t="n">
        <v>17002</v>
      </c>
      <c r="K165" s="214" t="n">
        <v>12998</v>
      </c>
      <c r="L165" s="228" t="n">
        <v>30000</v>
      </c>
      <c r="N165" s="212"/>
      <c r="O165" s="212"/>
    </row>
    <row r="166" customFormat="false" ht="15" hidden="false" customHeight="true" outlineLevel="0" collapsed="false">
      <c r="B166" s="208" t="n">
        <v>2024</v>
      </c>
      <c r="C166" s="209" t="n">
        <v>6</v>
      </c>
      <c r="D166" s="226" t="s">
        <v>59</v>
      </c>
      <c r="E166" s="221" t="n">
        <v>30148302742</v>
      </c>
      <c r="F166" s="221" t="n">
        <v>97726066</v>
      </c>
      <c r="G166" s="221" t="s">
        <v>224</v>
      </c>
      <c r="H166" s="229" t="s">
        <v>62</v>
      </c>
      <c r="I166" s="228" t="n">
        <v>17002</v>
      </c>
      <c r="J166" s="228" t="n">
        <v>17002</v>
      </c>
      <c r="K166" s="214" t="n">
        <v>0</v>
      </c>
      <c r="L166" s="228" t="n">
        <v>17002</v>
      </c>
      <c r="N166" s="212"/>
      <c r="O166" s="212"/>
    </row>
    <row r="167" customFormat="false" ht="15" hidden="false" customHeight="true" outlineLevel="0" collapsed="false">
      <c r="B167" s="208" t="n">
        <v>2024</v>
      </c>
      <c r="C167" s="209" t="n">
        <v>6</v>
      </c>
      <c r="D167" s="226" t="s">
        <v>59</v>
      </c>
      <c r="E167" s="221" t="n">
        <v>0</v>
      </c>
      <c r="F167" s="221" t="n">
        <v>0</v>
      </c>
      <c r="G167" s="221"/>
      <c r="H167" s="229" t="s">
        <v>134</v>
      </c>
      <c r="I167" s="228" t="n">
        <v>30000</v>
      </c>
      <c r="J167" s="228" t="n">
        <v>0</v>
      </c>
      <c r="K167" s="214" t="n">
        <v>30000</v>
      </c>
      <c r="L167" s="228" t="n">
        <v>30000</v>
      </c>
      <c r="M167" s="228"/>
      <c r="N167" s="212"/>
      <c r="O167" s="212"/>
    </row>
    <row r="168" customFormat="false" ht="15" hidden="false" customHeight="true" outlineLevel="0" collapsed="false">
      <c r="B168" s="208" t="n">
        <v>2024</v>
      </c>
      <c r="C168" s="209" t="n">
        <v>6</v>
      </c>
      <c r="D168" s="226" t="s">
        <v>59</v>
      </c>
      <c r="E168" s="221" t="n">
        <v>22093575890</v>
      </c>
      <c r="F168" s="221" t="n">
        <v>96260905</v>
      </c>
      <c r="G168" s="221"/>
      <c r="H168" s="229" t="s">
        <v>133</v>
      </c>
      <c r="I168" s="228" t="n">
        <v>30000</v>
      </c>
      <c r="J168" s="228" t="n">
        <v>0</v>
      </c>
      <c r="K168" s="214" t="n">
        <v>30000</v>
      </c>
      <c r="L168" s="228" t="n">
        <v>30000</v>
      </c>
      <c r="M168" s="228"/>
      <c r="N168" s="212"/>
      <c r="O168" s="212"/>
    </row>
    <row r="169" customFormat="false" ht="15" hidden="false" customHeight="true" outlineLevel="0" collapsed="false">
      <c r="B169" s="208" t="n">
        <v>2024</v>
      </c>
      <c r="C169" s="209" t="n">
        <v>6</v>
      </c>
      <c r="D169" s="226" t="s">
        <v>59</v>
      </c>
      <c r="E169" s="221" t="n">
        <v>64996156028</v>
      </c>
      <c r="F169" s="221" t="n">
        <v>95539771</v>
      </c>
      <c r="G169" s="221"/>
      <c r="H169" s="229" t="s">
        <v>55</v>
      </c>
      <c r="I169" s="228" t="n">
        <v>30000</v>
      </c>
      <c r="J169" s="228" t="n">
        <v>0</v>
      </c>
      <c r="K169" s="214" t="n">
        <v>30000</v>
      </c>
      <c r="L169" s="228" t="n">
        <v>30000</v>
      </c>
      <c r="M169" s="228"/>
      <c r="N169" s="212"/>
      <c r="O169" s="212"/>
    </row>
    <row r="170" customFormat="false" ht="15" hidden="false" customHeight="true" outlineLevel="0" collapsed="false">
      <c r="B170" s="208" t="n">
        <v>2024</v>
      </c>
      <c r="C170" s="209" t="n">
        <v>7</v>
      </c>
      <c r="D170" s="226" t="s">
        <v>56</v>
      </c>
      <c r="E170" s="221" t="n">
        <v>28699369338</v>
      </c>
      <c r="F170" s="221" t="n">
        <v>96358353</v>
      </c>
      <c r="G170" s="221" t="s">
        <v>225</v>
      </c>
      <c r="H170" s="227" t="s">
        <v>79</v>
      </c>
      <c r="I170" s="228" t="n">
        <v>45000</v>
      </c>
      <c r="J170" s="228" t="n">
        <v>40000</v>
      </c>
      <c r="K170" s="214" t="n">
        <v>5000</v>
      </c>
      <c r="L170" s="228" t="n">
        <v>45000</v>
      </c>
      <c r="N170" s="212"/>
      <c r="O170" s="212"/>
    </row>
    <row r="171" customFormat="false" ht="15" hidden="false" customHeight="true" outlineLevel="0" collapsed="false">
      <c r="B171" s="208" t="n">
        <v>2024</v>
      </c>
      <c r="C171" s="209" t="n">
        <v>7</v>
      </c>
      <c r="D171" s="226" t="s">
        <v>82</v>
      </c>
      <c r="E171" s="221" t="n">
        <v>17630785580</v>
      </c>
      <c r="F171" s="221" t="n">
        <v>95529415</v>
      </c>
      <c r="G171" s="221" t="s">
        <v>225</v>
      </c>
      <c r="H171" s="227" t="s">
        <v>81</v>
      </c>
      <c r="I171" s="228" t="n">
        <v>65000</v>
      </c>
      <c r="J171" s="228" t="n">
        <v>2666.7</v>
      </c>
      <c r="K171" s="214" t="n">
        <v>62333.3</v>
      </c>
      <c r="L171" s="228" t="n">
        <v>65000</v>
      </c>
      <c r="N171" s="212"/>
      <c r="O171" s="212"/>
    </row>
    <row r="172" customFormat="false" ht="15" hidden="false" customHeight="true" outlineLevel="0" collapsed="false">
      <c r="B172" s="208" t="n">
        <v>2024</v>
      </c>
      <c r="C172" s="209" t="n">
        <v>7</v>
      </c>
      <c r="D172" s="226" t="s">
        <v>56</v>
      </c>
      <c r="E172" s="221" t="n">
        <v>55186680706</v>
      </c>
      <c r="F172" s="221" t="n">
        <v>95787183</v>
      </c>
      <c r="G172" s="221" t="s">
        <v>225</v>
      </c>
      <c r="H172" s="227" t="s">
        <v>73</v>
      </c>
      <c r="I172" s="228" t="n">
        <v>17002</v>
      </c>
      <c r="J172" s="228" t="n">
        <v>12002</v>
      </c>
      <c r="K172" s="214" t="n">
        <v>0</v>
      </c>
      <c r="L172" s="228" t="n">
        <v>12002</v>
      </c>
      <c r="M172" s="213" t="n">
        <v>-5000</v>
      </c>
      <c r="N172" s="212" t="s">
        <v>226</v>
      </c>
      <c r="O172" s="212"/>
    </row>
    <row r="173" customFormat="false" ht="15" hidden="false" customHeight="true" outlineLevel="0" collapsed="false">
      <c r="B173" s="208" t="n">
        <v>2024</v>
      </c>
      <c r="C173" s="209" t="n">
        <v>7</v>
      </c>
      <c r="D173" s="226" t="s">
        <v>82</v>
      </c>
      <c r="E173" s="221" t="n">
        <v>21242693324</v>
      </c>
      <c r="F173" s="221" t="n">
        <v>95532064</v>
      </c>
      <c r="G173" s="221" t="s">
        <v>225</v>
      </c>
      <c r="H173" s="227" t="s">
        <v>85</v>
      </c>
      <c r="I173" s="228" t="n">
        <v>40000</v>
      </c>
      <c r="J173" s="228" t="n">
        <v>0</v>
      </c>
      <c r="K173" s="214" t="n">
        <v>5000</v>
      </c>
      <c r="L173" s="228" t="n">
        <v>5000</v>
      </c>
      <c r="M173" s="213" t="n">
        <v>-35000</v>
      </c>
      <c r="N173" s="212" t="s">
        <v>227</v>
      </c>
      <c r="O173" s="212"/>
    </row>
    <row r="174" customFormat="false" ht="15" hidden="false" customHeight="true" outlineLevel="0" collapsed="false">
      <c r="B174" s="208" t="n">
        <v>2024</v>
      </c>
      <c r="C174" s="209" t="n">
        <v>7</v>
      </c>
      <c r="D174" s="226" t="s">
        <v>82</v>
      </c>
      <c r="E174" s="221" t="n">
        <v>17159801204</v>
      </c>
      <c r="F174" s="221" t="n">
        <v>95532066</v>
      </c>
      <c r="G174" s="221" t="s">
        <v>225</v>
      </c>
      <c r="H174" s="227" t="s">
        <v>87</v>
      </c>
      <c r="I174" s="228" t="n">
        <v>45000</v>
      </c>
      <c r="J174" s="228" t="n">
        <v>0</v>
      </c>
      <c r="K174" s="214" t="n">
        <v>10000</v>
      </c>
      <c r="L174" s="228" t="n">
        <v>10000</v>
      </c>
      <c r="M174" s="213" t="n">
        <v>-35000</v>
      </c>
      <c r="N174" s="212" t="s">
        <v>227</v>
      </c>
      <c r="O174" s="212"/>
    </row>
    <row r="175" customFormat="false" ht="15" hidden="false" customHeight="true" outlineLevel="0" collapsed="false">
      <c r="B175" s="208" t="n">
        <v>2024</v>
      </c>
      <c r="C175" s="209" t="n">
        <v>7</v>
      </c>
      <c r="D175" s="226" t="s">
        <v>69</v>
      </c>
      <c r="E175" s="221" t="n">
        <v>23764482950</v>
      </c>
      <c r="F175" s="221" t="n">
        <v>95532077</v>
      </c>
      <c r="G175" s="221" t="s">
        <v>225</v>
      </c>
      <c r="H175" s="227" t="s">
        <v>93</v>
      </c>
      <c r="I175" s="228" t="n">
        <v>40000</v>
      </c>
      <c r="J175" s="228" t="n">
        <v>2333</v>
      </c>
      <c r="K175" s="214" t="n">
        <v>37667</v>
      </c>
      <c r="L175" s="228" t="n">
        <v>40000</v>
      </c>
      <c r="N175" s="212"/>
      <c r="O175" s="212"/>
    </row>
    <row r="176" customFormat="false" ht="15" hidden="false" customHeight="true" outlineLevel="0" collapsed="false">
      <c r="B176" s="208" t="n">
        <v>2024</v>
      </c>
      <c r="C176" s="209" t="n">
        <v>7</v>
      </c>
      <c r="D176" s="226" t="s">
        <v>34</v>
      </c>
      <c r="E176" s="221" t="n">
        <v>25672444846</v>
      </c>
      <c r="F176" s="221" t="n">
        <v>95693810</v>
      </c>
      <c r="G176" s="221" t="s">
        <v>225</v>
      </c>
      <c r="H176" s="227" t="s">
        <v>95</v>
      </c>
      <c r="I176" s="228" t="n">
        <v>37500</v>
      </c>
      <c r="J176" s="228" t="n">
        <v>0</v>
      </c>
      <c r="K176" s="214" t="n">
        <v>35500</v>
      </c>
      <c r="L176" s="228" t="n">
        <v>35500</v>
      </c>
      <c r="M176" s="213" t="n">
        <v>-2000</v>
      </c>
      <c r="N176" s="212" t="s">
        <v>228</v>
      </c>
      <c r="O176" s="212"/>
    </row>
    <row r="177" customFormat="false" ht="15" hidden="false" customHeight="true" outlineLevel="0" collapsed="false">
      <c r="B177" s="208" t="n">
        <v>2024</v>
      </c>
      <c r="C177" s="209" t="n">
        <v>7</v>
      </c>
      <c r="D177" s="226" t="s">
        <v>98</v>
      </c>
      <c r="E177" s="221" t="n">
        <v>51994540164</v>
      </c>
      <c r="F177" s="221" t="n">
        <v>96900867</v>
      </c>
      <c r="G177" s="221" t="s">
        <v>225</v>
      </c>
      <c r="H177" s="227" t="s">
        <v>97</v>
      </c>
      <c r="I177" s="228" t="n">
        <v>45000</v>
      </c>
      <c r="J177" s="228" t="n">
        <v>35000</v>
      </c>
      <c r="K177" s="214" t="n">
        <v>10000</v>
      </c>
      <c r="L177" s="228" t="n">
        <v>45000</v>
      </c>
      <c r="N177" s="212"/>
      <c r="O177" s="212"/>
    </row>
    <row r="178" customFormat="false" ht="15" hidden="false" customHeight="true" outlineLevel="0" collapsed="false">
      <c r="B178" s="208" t="n">
        <v>2024</v>
      </c>
      <c r="C178" s="209" t="n">
        <v>7</v>
      </c>
      <c r="D178" s="226" t="s">
        <v>51</v>
      </c>
      <c r="E178" s="221" t="n">
        <v>23713484608</v>
      </c>
      <c r="F178" s="221" t="n">
        <v>97189681</v>
      </c>
      <c r="G178" s="221" t="s">
        <v>203</v>
      </c>
      <c r="H178" s="227" t="s">
        <v>100</v>
      </c>
      <c r="I178" s="228" t="n">
        <v>33000</v>
      </c>
      <c r="J178" s="228" t="n">
        <v>33000</v>
      </c>
      <c r="K178" s="214" t="n">
        <v>0</v>
      </c>
      <c r="L178" s="228" t="n">
        <v>33000</v>
      </c>
      <c r="N178" s="212"/>
      <c r="O178" s="212"/>
    </row>
    <row r="179" customFormat="false" ht="15" hidden="false" customHeight="true" outlineLevel="0" collapsed="false">
      <c r="B179" s="208" t="n">
        <v>2024</v>
      </c>
      <c r="C179" s="209" t="n">
        <v>7</v>
      </c>
      <c r="D179" s="226" t="s">
        <v>69</v>
      </c>
      <c r="E179" s="221" t="n">
        <v>38233125580</v>
      </c>
      <c r="F179" s="221" t="n">
        <v>95532065</v>
      </c>
      <c r="G179" s="221" t="s">
        <v>203</v>
      </c>
      <c r="H179" s="227" t="s">
        <v>191</v>
      </c>
      <c r="I179" s="228" t="n">
        <v>42500</v>
      </c>
      <c r="J179" s="228" t="n">
        <v>22500</v>
      </c>
      <c r="K179" s="214" t="n">
        <v>0</v>
      </c>
      <c r="L179" s="228" t="n">
        <v>22500</v>
      </c>
      <c r="M179" s="213" t="n">
        <v>-20000</v>
      </c>
      <c r="N179" s="212" t="s">
        <v>159</v>
      </c>
      <c r="O179" s="212"/>
    </row>
    <row r="180" customFormat="false" ht="15" hidden="false" customHeight="true" outlineLevel="0" collapsed="false">
      <c r="B180" s="208" t="n">
        <v>2024</v>
      </c>
      <c r="C180" s="209" t="n">
        <v>7</v>
      </c>
      <c r="D180" s="226" t="s">
        <v>59</v>
      </c>
      <c r="E180" s="221" t="n">
        <v>18736701092</v>
      </c>
      <c r="F180" s="221" t="n">
        <v>95547779</v>
      </c>
      <c r="G180" s="221" t="s">
        <v>225</v>
      </c>
      <c r="H180" s="227" t="s">
        <v>127</v>
      </c>
      <c r="I180" s="228" t="n">
        <v>30000</v>
      </c>
      <c r="J180" s="228" t="n">
        <v>17002</v>
      </c>
      <c r="K180" s="214" t="n">
        <v>12998</v>
      </c>
      <c r="L180" s="228" t="n">
        <v>30000</v>
      </c>
      <c r="N180" s="212"/>
      <c r="O180" s="212"/>
    </row>
    <row r="181" customFormat="false" ht="15" hidden="false" customHeight="true" outlineLevel="0" collapsed="false">
      <c r="B181" s="208" t="n">
        <v>2024</v>
      </c>
      <c r="C181" s="209" t="n">
        <v>7</v>
      </c>
      <c r="D181" s="226" t="s">
        <v>34</v>
      </c>
      <c r="E181" s="221" t="n">
        <v>29107341298</v>
      </c>
      <c r="F181" s="221" t="n">
        <v>0</v>
      </c>
      <c r="G181" s="221" t="s">
        <v>203</v>
      </c>
      <c r="H181" s="227" t="s">
        <v>193</v>
      </c>
      <c r="I181" s="228" t="n">
        <v>30000</v>
      </c>
      <c r="J181" s="228" t="n">
        <v>2000.1</v>
      </c>
      <c r="K181" s="214" t="n">
        <v>27999.9</v>
      </c>
      <c r="L181" s="228" t="n">
        <v>30000</v>
      </c>
      <c r="N181" s="212"/>
      <c r="O181" s="212"/>
    </row>
    <row r="182" customFormat="false" ht="15" hidden="false" customHeight="true" outlineLevel="0" collapsed="false">
      <c r="B182" s="208" t="n">
        <v>2024</v>
      </c>
      <c r="C182" s="209" t="n">
        <v>7</v>
      </c>
      <c r="D182" s="226" t="s">
        <v>105</v>
      </c>
      <c r="E182" s="221" t="n">
        <v>14188598600</v>
      </c>
      <c r="F182" s="221" t="n">
        <v>0</v>
      </c>
      <c r="G182" s="221" t="s">
        <v>203</v>
      </c>
      <c r="H182" s="229" t="s">
        <v>104</v>
      </c>
      <c r="I182" s="228" t="n">
        <v>40000</v>
      </c>
      <c r="J182" s="228" t="n">
        <v>40000</v>
      </c>
      <c r="K182" s="214" t="n">
        <v>0</v>
      </c>
      <c r="L182" s="228" t="n">
        <v>40000</v>
      </c>
      <c r="N182" s="212"/>
      <c r="O182" s="212"/>
    </row>
    <row r="183" customFormat="false" ht="15" hidden="false" customHeight="true" outlineLevel="0" collapsed="false">
      <c r="B183" s="208" t="n">
        <v>2024</v>
      </c>
      <c r="C183" s="209" t="n">
        <v>7</v>
      </c>
      <c r="D183" s="226" t="s">
        <v>69</v>
      </c>
      <c r="E183" s="221" t="n">
        <v>20743377542</v>
      </c>
      <c r="F183" s="221" t="n">
        <v>99029232</v>
      </c>
      <c r="G183" s="221" t="s">
        <v>203</v>
      </c>
      <c r="H183" s="229" t="s">
        <v>109</v>
      </c>
      <c r="I183" s="228" t="n">
        <v>42500</v>
      </c>
      <c r="J183" s="228" t="n">
        <v>41084</v>
      </c>
      <c r="K183" s="214" t="n">
        <v>0</v>
      </c>
      <c r="L183" s="228" t="n">
        <v>41084</v>
      </c>
      <c r="M183" s="213" t="n">
        <v>-1416</v>
      </c>
      <c r="N183" s="212" t="s">
        <v>194</v>
      </c>
      <c r="O183" s="212"/>
    </row>
    <row r="184" customFormat="false" ht="15" hidden="false" customHeight="true" outlineLevel="0" collapsed="false">
      <c r="B184" s="208" t="n">
        <v>2024</v>
      </c>
      <c r="C184" s="209" t="n">
        <v>7</v>
      </c>
      <c r="D184" s="226" t="s">
        <v>69</v>
      </c>
      <c r="E184" s="221" t="n">
        <v>42622163084</v>
      </c>
      <c r="F184" s="221" t="n">
        <v>0</v>
      </c>
      <c r="G184" s="221" t="s">
        <v>203</v>
      </c>
      <c r="H184" s="229" t="s">
        <v>220</v>
      </c>
      <c r="I184" s="228" t="n">
        <v>42500</v>
      </c>
      <c r="J184" s="228" t="n">
        <v>2000.1</v>
      </c>
      <c r="K184" s="214" t="n">
        <v>30583.23</v>
      </c>
      <c r="L184" s="228" t="n">
        <v>32583.33</v>
      </c>
      <c r="M184" s="213" t="n">
        <v>-9916.67</v>
      </c>
      <c r="N184" s="212" t="s">
        <v>229</v>
      </c>
      <c r="O184" s="212"/>
    </row>
    <row r="185" customFormat="false" ht="15" hidden="false" customHeight="true" outlineLevel="0" collapsed="false">
      <c r="B185" s="208" t="n">
        <v>2024</v>
      </c>
      <c r="C185" s="209" t="n">
        <v>7</v>
      </c>
      <c r="D185" s="226" t="s">
        <v>112</v>
      </c>
      <c r="E185" s="221" t="n">
        <v>24235463638</v>
      </c>
      <c r="F185" s="221" t="n">
        <v>0</v>
      </c>
      <c r="G185" s="221" t="s">
        <v>203</v>
      </c>
      <c r="H185" s="229" t="s">
        <v>111</v>
      </c>
      <c r="I185" s="228" t="n">
        <v>25000</v>
      </c>
      <c r="J185" s="228" t="n">
        <v>24167</v>
      </c>
      <c r="K185" s="214" t="n">
        <v>0</v>
      </c>
      <c r="L185" s="228" t="n">
        <v>24167</v>
      </c>
      <c r="M185" s="213" t="n">
        <v>-833</v>
      </c>
      <c r="N185" s="212" t="s">
        <v>194</v>
      </c>
      <c r="O185" s="212"/>
    </row>
    <row r="186" customFormat="false" ht="15" hidden="false" customHeight="true" outlineLevel="0" collapsed="false">
      <c r="B186" s="208" t="n">
        <v>2024</v>
      </c>
      <c r="C186" s="209" t="n">
        <v>7</v>
      </c>
      <c r="D186" s="226" t="s">
        <v>82</v>
      </c>
      <c r="E186" s="221" t="n">
        <v>0</v>
      </c>
      <c r="F186" s="221" t="n">
        <v>0</v>
      </c>
      <c r="G186" s="221"/>
      <c r="H186" s="229" t="s">
        <v>114</v>
      </c>
      <c r="I186" s="228" t="n">
        <v>30000</v>
      </c>
      <c r="J186" s="228" t="n">
        <v>0</v>
      </c>
      <c r="K186" s="214" t="n">
        <v>30000</v>
      </c>
      <c r="L186" s="228" t="n">
        <v>30000</v>
      </c>
      <c r="N186" s="212"/>
      <c r="O186" s="212"/>
    </row>
    <row r="187" customFormat="false" ht="15" hidden="false" customHeight="true" outlineLevel="0" collapsed="false">
      <c r="B187" s="208" t="n">
        <v>2024</v>
      </c>
      <c r="C187" s="209" t="n">
        <v>7</v>
      </c>
      <c r="D187" s="226" t="s">
        <v>43</v>
      </c>
      <c r="E187" s="221" t="n">
        <v>0</v>
      </c>
      <c r="F187" s="221" t="n">
        <v>0</v>
      </c>
      <c r="G187" s="221"/>
      <c r="H187" s="229" t="s">
        <v>223</v>
      </c>
      <c r="I187" s="228" t="n">
        <v>25000</v>
      </c>
      <c r="J187" s="228" t="n">
        <v>0</v>
      </c>
      <c r="K187" s="214" t="n">
        <v>25000</v>
      </c>
      <c r="L187" s="228" t="n">
        <v>25000</v>
      </c>
      <c r="N187" s="212"/>
      <c r="O187" s="212"/>
    </row>
    <row r="188" customFormat="false" ht="15" hidden="false" customHeight="true" outlineLevel="0" collapsed="false">
      <c r="B188" s="208" t="n">
        <v>2024</v>
      </c>
      <c r="C188" s="209" t="n">
        <v>7</v>
      </c>
      <c r="D188" s="226" t="s">
        <v>34</v>
      </c>
      <c r="E188" s="221" t="n">
        <v>0</v>
      </c>
      <c r="F188" s="221" t="n">
        <v>0</v>
      </c>
      <c r="G188" s="221" t="s">
        <v>203</v>
      </c>
      <c r="H188" s="233" t="s">
        <v>48</v>
      </c>
      <c r="I188" s="228" t="n">
        <v>33000</v>
      </c>
      <c r="J188" s="228" t="n">
        <v>2000.1</v>
      </c>
      <c r="K188" s="214" t="n">
        <v>30999.9</v>
      </c>
      <c r="L188" s="228" t="n">
        <v>33000</v>
      </c>
      <c r="N188" s="212"/>
      <c r="O188" s="212"/>
    </row>
    <row r="189" customFormat="false" ht="15" hidden="false" customHeight="true" outlineLevel="0" collapsed="false">
      <c r="B189" s="208" t="n">
        <v>2024</v>
      </c>
      <c r="C189" s="209" t="n">
        <v>7</v>
      </c>
      <c r="D189" s="226" t="s">
        <v>59</v>
      </c>
      <c r="E189" s="221" t="n">
        <v>74524099796</v>
      </c>
      <c r="F189" s="221" t="n">
        <v>98127163</v>
      </c>
      <c r="G189" s="221" t="s">
        <v>230</v>
      </c>
      <c r="H189" s="229" t="s">
        <v>129</v>
      </c>
      <c r="I189" s="228" t="n">
        <v>30000</v>
      </c>
      <c r="J189" s="228" t="n">
        <v>17002</v>
      </c>
      <c r="K189" s="214" t="n">
        <v>12998</v>
      </c>
      <c r="L189" s="228" t="n">
        <v>30000</v>
      </c>
      <c r="N189" s="212"/>
      <c r="O189" s="212"/>
    </row>
    <row r="190" customFormat="false" ht="14.25" hidden="false" customHeight="true" outlineLevel="0" collapsed="false">
      <c r="B190" s="208" t="n">
        <v>2024</v>
      </c>
      <c r="C190" s="209" t="n">
        <v>7</v>
      </c>
      <c r="D190" s="226" t="s">
        <v>59</v>
      </c>
      <c r="E190" s="221" t="n">
        <v>30148302742</v>
      </c>
      <c r="F190" s="221" t="n">
        <v>97726066</v>
      </c>
      <c r="G190" s="221" t="s">
        <v>230</v>
      </c>
      <c r="H190" s="229" t="s">
        <v>62</v>
      </c>
      <c r="I190" s="228" t="n">
        <v>22000</v>
      </c>
      <c r="J190" s="228" t="n">
        <v>17002</v>
      </c>
      <c r="K190" s="214" t="n">
        <v>4998</v>
      </c>
      <c r="L190" s="228" t="n">
        <v>22000</v>
      </c>
      <c r="N190" s="212"/>
      <c r="O190" s="212"/>
    </row>
    <row r="191" customFormat="false" ht="15" hidden="false" customHeight="true" outlineLevel="0" collapsed="false">
      <c r="B191" s="208" t="n">
        <v>2024</v>
      </c>
      <c r="C191" s="209" t="n">
        <v>7</v>
      </c>
      <c r="D191" s="226" t="s">
        <v>59</v>
      </c>
      <c r="E191" s="221" t="n">
        <v>0</v>
      </c>
      <c r="F191" s="221" t="n">
        <v>0</v>
      </c>
      <c r="G191" s="221"/>
      <c r="H191" s="229" t="s">
        <v>134</v>
      </c>
      <c r="I191" s="228" t="n">
        <v>30000</v>
      </c>
      <c r="J191" s="228" t="n">
        <v>0</v>
      </c>
      <c r="K191" s="214" t="n">
        <v>30000</v>
      </c>
      <c r="L191" s="228" t="n">
        <v>30000</v>
      </c>
      <c r="M191" s="228"/>
      <c r="N191" s="212"/>
      <c r="O191" s="212"/>
    </row>
    <row r="192" customFormat="false" ht="15" hidden="false" customHeight="true" outlineLevel="0" collapsed="false">
      <c r="B192" s="208" t="n">
        <v>2024</v>
      </c>
      <c r="C192" s="209" t="n">
        <v>7</v>
      </c>
      <c r="D192" s="226" t="s">
        <v>59</v>
      </c>
      <c r="E192" s="221" t="n">
        <v>22093575890</v>
      </c>
      <c r="F192" s="221" t="n">
        <v>96260905</v>
      </c>
      <c r="G192" s="221"/>
      <c r="H192" s="229" t="s">
        <v>133</v>
      </c>
      <c r="I192" s="228" t="n">
        <v>30000</v>
      </c>
      <c r="J192" s="228" t="n">
        <v>0</v>
      </c>
      <c r="K192" s="214" t="n">
        <v>30000</v>
      </c>
      <c r="L192" s="228" t="n">
        <v>30000</v>
      </c>
      <c r="M192" s="228"/>
      <c r="N192" s="212"/>
      <c r="O192" s="212"/>
    </row>
    <row r="193" customFormat="false" ht="15" hidden="false" customHeight="true" outlineLevel="0" collapsed="false">
      <c r="B193" s="208" t="n">
        <v>2024</v>
      </c>
      <c r="C193" s="209" t="n">
        <v>7</v>
      </c>
      <c r="D193" s="226" t="s">
        <v>59</v>
      </c>
      <c r="E193" s="221" t="n">
        <v>64996156028</v>
      </c>
      <c r="F193" s="221" t="n">
        <v>95539771</v>
      </c>
      <c r="G193" s="221"/>
      <c r="H193" s="229" t="s">
        <v>55</v>
      </c>
      <c r="I193" s="228" t="n">
        <v>30000</v>
      </c>
      <c r="J193" s="228" t="n">
        <v>0</v>
      </c>
      <c r="K193" s="214" t="n">
        <v>30000</v>
      </c>
      <c r="L193" s="228" t="n">
        <v>30000</v>
      </c>
      <c r="M193" s="228"/>
      <c r="N193" s="212"/>
      <c r="O193" s="212"/>
    </row>
    <row r="194" customFormat="false" ht="15" hidden="false" customHeight="true" outlineLevel="0" collapsed="false">
      <c r="B194" s="208" t="n">
        <v>2024</v>
      </c>
      <c r="C194" s="209" t="n">
        <v>8</v>
      </c>
      <c r="D194" s="226" t="s">
        <v>56</v>
      </c>
      <c r="E194" s="221" t="n">
        <v>28699369338</v>
      </c>
      <c r="F194" s="221" t="n">
        <v>96358353</v>
      </c>
      <c r="G194" s="221" t="s">
        <v>225</v>
      </c>
      <c r="H194" s="227" t="s">
        <v>79</v>
      </c>
      <c r="I194" s="228" t="n">
        <v>45000</v>
      </c>
      <c r="J194" s="228" t="n">
        <v>40000</v>
      </c>
      <c r="K194" s="214" t="n">
        <v>5000</v>
      </c>
      <c r="L194" s="228" t="n">
        <v>45000</v>
      </c>
      <c r="O194" s="212"/>
    </row>
    <row r="195" customFormat="false" ht="15" hidden="false" customHeight="true" outlineLevel="0" collapsed="false">
      <c r="B195" s="208" t="n">
        <v>2024</v>
      </c>
      <c r="C195" s="209" t="n">
        <v>8</v>
      </c>
      <c r="D195" s="226" t="s">
        <v>82</v>
      </c>
      <c r="E195" s="221" t="n">
        <v>17630785580</v>
      </c>
      <c r="F195" s="221" t="n">
        <v>95529415</v>
      </c>
      <c r="G195" s="221" t="s">
        <v>225</v>
      </c>
      <c r="H195" s="227" t="s">
        <v>81</v>
      </c>
      <c r="I195" s="228" t="n">
        <v>65000</v>
      </c>
      <c r="J195" s="228" t="n">
        <v>2666.7</v>
      </c>
      <c r="K195" s="214" t="n">
        <v>62333.3</v>
      </c>
      <c r="L195" s="228" t="n">
        <v>65000</v>
      </c>
      <c r="N195" s="215" t="s">
        <v>231</v>
      </c>
      <c r="O195" s="212"/>
    </row>
    <row r="196" customFormat="false" ht="15" hidden="false" customHeight="true" outlineLevel="0" collapsed="false">
      <c r="B196" s="208" t="n">
        <v>2024</v>
      </c>
      <c r="C196" s="209" t="n">
        <v>8</v>
      </c>
      <c r="D196" s="226" t="s">
        <v>56</v>
      </c>
      <c r="E196" s="221" t="n">
        <v>55186680706</v>
      </c>
      <c r="F196" s="221" t="n">
        <v>95787183</v>
      </c>
      <c r="G196" s="221" t="s">
        <v>225</v>
      </c>
      <c r="H196" s="227" t="s">
        <v>73</v>
      </c>
      <c r="I196" s="228" t="n">
        <v>17002</v>
      </c>
      <c r="J196" s="228" t="n">
        <v>17002</v>
      </c>
      <c r="K196" s="214" t="n">
        <v>0</v>
      </c>
      <c r="L196" s="228" t="n">
        <v>17002</v>
      </c>
      <c r="O196" s="212"/>
    </row>
    <row r="197" customFormat="false" ht="15" hidden="false" customHeight="true" outlineLevel="0" collapsed="false">
      <c r="B197" s="208" t="n">
        <v>2024</v>
      </c>
      <c r="C197" s="209" t="n">
        <v>8</v>
      </c>
      <c r="D197" s="226" t="s">
        <v>82</v>
      </c>
      <c r="E197" s="221" t="n">
        <v>21242693324</v>
      </c>
      <c r="F197" s="221" t="n">
        <v>95532064</v>
      </c>
      <c r="G197" s="221" t="s">
        <v>225</v>
      </c>
      <c r="H197" s="227" t="s">
        <v>85</v>
      </c>
      <c r="I197" s="228" t="n">
        <v>40000</v>
      </c>
      <c r="J197" s="228" t="n">
        <v>1666.8</v>
      </c>
      <c r="K197" s="214" t="n">
        <v>38333.2</v>
      </c>
      <c r="L197" s="228" t="n">
        <v>40000</v>
      </c>
      <c r="O197" s="212"/>
    </row>
    <row r="198" customFormat="false" ht="15" hidden="false" customHeight="true" outlineLevel="0" collapsed="false">
      <c r="B198" s="208" t="n">
        <v>2024</v>
      </c>
      <c r="C198" s="209" t="n">
        <v>8</v>
      </c>
      <c r="D198" s="226" t="s">
        <v>82</v>
      </c>
      <c r="E198" s="221" t="n">
        <v>17159801204</v>
      </c>
      <c r="F198" s="221" t="n">
        <v>95532066</v>
      </c>
      <c r="G198" s="221" t="s">
        <v>225</v>
      </c>
      <c r="H198" s="227" t="s">
        <v>87</v>
      </c>
      <c r="I198" s="228" t="n">
        <v>45000</v>
      </c>
      <c r="J198" s="228" t="n">
        <v>40000</v>
      </c>
      <c r="K198" s="214" t="n">
        <v>5000</v>
      </c>
      <c r="L198" s="228" t="n">
        <v>45000</v>
      </c>
      <c r="O198" s="212"/>
    </row>
    <row r="199" customFormat="false" ht="15" hidden="false" customHeight="true" outlineLevel="0" collapsed="false">
      <c r="B199" s="208" t="n">
        <v>2024</v>
      </c>
      <c r="C199" s="209" t="n">
        <v>8</v>
      </c>
      <c r="D199" s="226" t="s">
        <v>69</v>
      </c>
      <c r="E199" s="221" t="n">
        <v>23764482950</v>
      </c>
      <c r="F199" s="221" t="n">
        <v>95532077</v>
      </c>
      <c r="G199" s="221" t="s">
        <v>225</v>
      </c>
      <c r="H199" s="227" t="s">
        <v>93</v>
      </c>
      <c r="I199" s="228" t="n">
        <v>40000</v>
      </c>
      <c r="J199" s="228" t="n">
        <v>2333</v>
      </c>
      <c r="K199" s="214" t="n">
        <v>37667</v>
      </c>
      <c r="L199" s="228" t="n">
        <v>40000</v>
      </c>
      <c r="O199" s="212"/>
    </row>
    <row r="200" customFormat="false" ht="15" hidden="false" customHeight="true" outlineLevel="0" collapsed="false">
      <c r="B200" s="208" t="n">
        <v>2024</v>
      </c>
      <c r="C200" s="209" t="n">
        <v>8</v>
      </c>
      <c r="D200" s="226" t="s">
        <v>34</v>
      </c>
      <c r="E200" s="221" t="n">
        <v>25672444846</v>
      </c>
      <c r="F200" s="221" t="n">
        <v>95693810</v>
      </c>
      <c r="G200" s="221" t="s">
        <v>225</v>
      </c>
      <c r="H200" s="227" t="s">
        <v>95</v>
      </c>
      <c r="I200" s="228" t="n">
        <v>37500</v>
      </c>
      <c r="J200" s="228" t="n">
        <v>2000.1</v>
      </c>
      <c r="K200" s="214" t="n">
        <v>35499.9</v>
      </c>
      <c r="L200" s="228" t="n">
        <v>37500</v>
      </c>
      <c r="O200" s="212"/>
    </row>
    <row r="201" customFormat="false" ht="15" hidden="false" customHeight="true" outlineLevel="0" collapsed="false">
      <c r="B201" s="208" t="n">
        <v>2024</v>
      </c>
      <c r="C201" s="209" t="n">
        <v>8</v>
      </c>
      <c r="D201" s="226" t="s">
        <v>98</v>
      </c>
      <c r="E201" s="221" t="n">
        <v>51994540164</v>
      </c>
      <c r="F201" s="221" t="n">
        <v>96900867</v>
      </c>
      <c r="G201" s="221" t="s">
        <v>225</v>
      </c>
      <c r="H201" s="227" t="s">
        <v>97</v>
      </c>
      <c r="I201" s="228" t="n">
        <v>45000</v>
      </c>
      <c r="J201" s="228" t="n">
        <v>35000</v>
      </c>
      <c r="K201" s="214" t="n">
        <v>6000</v>
      </c>
      <c r="L201" s="228" t="n">
        <v>41000</v>
      </c>
      <c r="M201" s="213" t="n">
        <v>-4000</v>
      </c>
      <c r="O201" s="212"/>
    </row>
    <row r="202" customFormat="false" ht="15" hidden="false" customHeight="true" outlineLevel="0" collapsed="false">
      <c r="B202" s="208" t="n">
        <v>2024</v>
      </c>
      <c r="C202" s="209" t="n">
        <v>8</v>
      </c>
      <c r="D202" s="226" t="s">
        <v>51</v>
      </c>
      <c r="E202" s="221" t="n">
        <v>23713484608</v>
      </c>
      <c r="F202" s="221" t="n">
        <v>97189681</v>
      </c>
      <c r="G202" s="221" t="s">
        <v>203</v>
      </c>
      <c r="H202" s="227" t="s">
        <v>100</v>
      </c>
      <c r="I202" s="228" t="n">
        <v>33000</v>
      </c>
      <c r="J202" s="228" t="n">
        <v>33000</v>
      </c>
      <c r="K202" s="214" t="n">
        <v>0</v>
      </c>
      <c r="L202" s="228" t="n">
        <v>33000</v>
      </c>
      <c r="O202" s="212"/>
    </row>
    <row r="203" customFormat="false" ht="15" hidden="false" customHeight="true" outlineLevel="0" collapsed="false">
      <c r="B203" s="208" t="n">
        <v>2024</v>
      </c>
      <c r="C203" s="209" t="n">
        <v>8</v>
      </c>
      <c r="D203" s="226" t="s">
        <v>69</v>
      </c>
      <c r="E203" s="221" t="n">
        <v>38233125580</v>
      </c>
      <c r="F203" s="221" t="n">
        <v>95532065</v>
      </c>
      <c r="G203" s="221" t="s">
        <v>203</v>
      </c>
      <c r="H203" s="227" t="s">
        <v>191</v>
      </c>
      <c r="I203" s="228" t="n">
        <v>42500</v>
      </c>
      <c r="J203" s="228" t="n">
        <v>42500</v>
      </c>
      <c r="K203" s="214" t="n">
        <v>0</v>
      </c>
      <c r="L203" s="228" t="n">
        <v>42500</v>
      </c>
      <c r="O203" s="212"/>
    </row>
    <row r="204" customFormat="false" ht="15" hidden="false" customHeight="true" outlineLevel="0" collapsed="false">
      <c r="B204" s="208" t="n">
        <v>2024</v>
      </c>
      <c r="C204" s="209" t="n">
        <v>8</v>
      </c>
      <c r="D204" s="226" t="s">
        <v>59</v>
      </c>
      <c r="E204" s="221" t="n">
        <v>18736701092</v>
      </c>
      <c r="F204" s="221" t="n">
        <v>95547779</v>
      </c>
      <c r="G204" s="221" t="s">
        <v>225</v>
      </c>
      <c r="H204" s="227" t="s">
        <v>127</v>
      </c>
      <c r="I204" s="228" t="n">
        <v>30000</v>
      </c>
      <c r="J204" s="228" t="n">
        <v>17002</v>
      </c>
      <c r="K204" s="214" t="n">
        <v>12998</v>
      </c>
      <c r="L204" s="228" t="n">
        <v>30000</v>
      </c>
      <c r="O204" s="212"/>
    </row>
    <row r="205" customFormat="false" ht="15" hidden="false" customHeight="true" outlineLevel="0" collapsed="false">
      <c r="B205" s="208" t="n">
        <v>2024</v>
      </c>
      <c r="C205" s="209" t="n">
        <v>8</v>
      </c>
      <c r="D205" s="226" t="s">
        <v>34</v>
      </c>
      <c r="E205" s="221" t="n">
        <v>0</v>
      </c>
      <c r="F205" s="221" t="n">
        <v>0</v>
      </c>
      <c r="G205" s="221" t="s">
        <v>203</v>
      </c>
      <c r="H205" s="227" t="s">
        <v>102</v>
      </c>
      <c r="I205" s="228" t="n">
        <v>33000</v>
      </c>
      <c r="J205" s="228" t="n">
        <v>0</v>
      </c>
      <c r="K205" s="214" t="n">
        <v>13500</v>
      </c>
      <c r="L205" s="228" t="n">
        <v>13500</v>
      </c>
      <c r="M205" s="213" t="n">
        <v>-19500</v>
      </c>
      <c r="N205" s="215" t="s">
        <v>232</v>
      </c>
      <c r="O205" s="212"/>
    </row>
    <row r="206" customFormat="false" ht="15" hidden="false" customHeight="true" outlineLevel="0" collapsed="false">
      <c r="B206" s="208" t="n">
        <v>2024</v>
      </c>
      <c r="C206" s="209" t="n">
        <v>8</v>
      </c>
      <c r="D206" s="226" t="s">
        <v>105</v>
      </c>
      <c r="E206" s="221" t="n">
        <v>14188598600</v>
      </c>
      <c r="F206" s="221" t="n">
        <v>0</v>
      </c>
      <c r="G206" s="221" t="s">
        <v>203</v>
      </c>
      <c r="H206" s="229" t="s">
        <v>104</v>
      </c>
      <c r="I206" s="228" t="n">
        <v>42500</v>
      </c>
      <c r="J206" s="228" t="n">
        <v>40000</v>
      </c>
      <c r="K206" s="214" t="n">
        <v>0</v>
      </c>
      <c r="L206" s="228" t="n">
        <v>40000</v>
      </c>
      <c r="M206" s="213" t="n">
        <v>-2500</v>
      </c>
      <c r="N206" s="215" t="s">
        <v>233</v>
      </c>
      <c r="O206" s="212"/>
    </row>
    <row r="207" customFormat="false" ht="15" hidden="false" customHeight="true" outlineLevel="0" collapsed="false">
      <c r="B207" s="208" t="n">
        <v>2024</v>
      </c>
      <c r="C207" s="209" t="n">
        <v>8</v>
      </c>
      <c r="D207" s="226" t="s">
        <v>69</v>
      </c>
      <c r="E207" s="221" t="n">
        <v>0</v>
      </c>
      <c r="F207" s="221" t="n">
        <v>0</v>
      </c>
      <c r="G207" s="221" t="s">
        <v>203</v>
      </c>
      <c r="H207" s="233" t="s">
        <v>103</v>
      </c>
      <c r="I207" s="228" t="n">
        <v>42500</v>
      </c>
      <c r="J207" s="228" t="n">
        <v>2333.4</v>
      </c>
      <c r="K207" s="214" t="n">
        <v>25999.93</v>
      </c>
      <c r="L207" s="228" t="n">
        <v>28333.33</v>
      </c>
      <c r="M207" s="213" t="n">
        <v>-14166.67</v>
      </c>
      <c r="N207" s="215" t="s">
        <v>234</v>
      </c>
      <c r="O207" s="212"/>
    </row>
    <row r="208" customFormat="false" ht="15" hidden="false" customHeight="true" outlineLevel="0" collapsed="false">
      <c r="B208" s="208" t="n">
        <v>2024</v>
      </c>
      <c r="C208" s="209" t="n">
        <v>8</v>
      </c>
      <c r="D208" s="226" t="s">
        <v>69</v>
      </c>
      <c r="E208" s="221" t="n">
        <v>20743377542</v>
      </c>
      <c r="F208" s="221" t="n">
        <v>99029232</v>
      </c>
      <c r="G208" s="221" t="s">
        <v>203</v>
      </c>
      <c r="H208" s="229" t="s">
        <v>109</v>
      </c>
      <c r="I208" s="228" t="n">
        <v>42500</v>
      </c>
      <c r="J208" s="228" t="n">
        <v>36833.33</v>
      </c>
      <c r="K208" s="214" t="n">
        <v>0</v>
      </c>
      <c r="L208" s="228" t="n">
        <v>36833.33</v>
      </c>
      <c r="M208" s="213" t="n">
        <v>-5666.67</v>
      </c>
      <c r="O208" s="212"/>
    </row>
    <row r="209" customFormat="false" ht="15" hidden="false" customHeight="true" outlineLevel="0" collapsed="false">
      <c r="B209" s="208" t="n">
        <v>2024</v>
      </c>
      <c r="C209" s="209" t="n">
        <v>8</v>
      </c>
      <c r="D209" s="226" t="s">
        <v>69</v>
      </c>
      <c r="E209" s="221" t="n">
        <v>42622163084</v>
      </c>
      <c r="F209" s="221" t="n">
        <v>0</v>
      </c>
      <c r="G209" s="221" t="s">
        <v>203</v>
      </c>
      <c r="H209" s="229" t="s">
        <v>220</v>
      </c>
      <c r="I209" s="228" t="n">
        <v>42500</v>
      </c>
      <c r="J209" s="228" t="n">
        <v>2333.4</v>
      </c>
      <c r="K209" s="214" t="n">
        <v>11833.6</v>
      </c>
      <c r="L209" s="228" t="n">
        <v>14167</v>
      </c>
      <c r="M209" s="213" t="n">
        <v>-28333</v>
      </c>
      <c r="N209" s="215" t="s">
        <v>235</v>
      </c>
      <c r="O209" s="212"/>
    </row>
    <row r="210" customFormat="false" ht="15" hidden="false" customHeight="true" outlineLevel="0" collapsed="false">
      <c r="B210" s="208" t="n">
        <v>2024</v>
      </c>
      <c r="C210" s="209" t="n">
        <v>8</v>
      </c>
      <c r="D210" s="226" t="s">
        <v>112</v>
      </c>
      <c r="E210" s="221" t="n">
        <v>24235463638</v>
      </c>
      <c r="F210" s="221" t="n">
        <v>0</v>
      </c>
      <c r="G210" s="221" t="s">
        <v>203</v>
      </c>
      <c r="H210" s="229" t="s">
        <v>111</v>
      </c>
      <c r="I210" s="228" t="n">
        <v>10833.33</v>
      </c>
      <c r="J210" s="228" t="n">
        <v>10833.33</v>
      </c>
      <c r="K210" s="214" t="n">
        <v>0</v>
      </c>
      <c r="L210" s="228" t="n">
        <v>10833.33</v>
      </c>
      <c r="O210" s="212"/>
    </row>
    <row r="211" customFormat="false" ht="15" hidden="false" customHeight="true" outlineLevel="0" collapsed="false">
      <c r="B211" s="208" t="n">
        <v>2024</v>
      </c>
      <c r="C211" s="209" t="n">
        <v>8</v>
      </c>
      <c r="D211" s="226" t="s">
        <v>82</v>
      </c>
      <c r="E211" s="221" t="n">
        <v>0</v>
      </c>
      <c r="F211" s="221" t="n">
        <v>0</v>
      </c>
      <c r="G211" s="221"/>
      <c r="H211" s="229" t="s">
        <v>114</v>
      </c>
      <c r="I211" s="228" t="n">
        <v>30000</v>
      </c>
      <c r="J211" s="228" t="n">
        <v>0</v>
      </c>
      <c r="K211" s="214" t="n">
        <v>25000</v>
      </c>
      <c r="L211" s="228" t="n">
        <v>25000</v>
      </c>
      <c r="M211" s="213" t="n">
        <v>-5000</v>
      </c>
      <c r="N211" s="215" t="s">
        <v>159</v>
      </c>
      <c r="O211" s="212"/>
    </row>
    <row r="212" customFormat="false" ht="15" hidden="false" customHeight="true" outlineLevel="0" collapsed="false">
      <c r="B212" s="208" t="n">
        <v>2024</v>
      </c>
      <c r="C212" s="209" t="n">
        <v>8</v>
      </c>
      <c r="D212" s="226" t="s">
        <v>43</v>
      </c>
      <c r="E212" s="221" t="n">
        <v>0</v>
      </c>
      <c r="F212" s="221" t="n">
        <v>0</v>
      </c>
      <c r="G212" s="221"/>
      <c r="H212" s="229" t="s">
        <v>223</v>
      </c>
      <c r="I212" s="228" t="n">
        <v>25000</v>
      </c>
      <c r="J212" s="228" t="n">
        <v>0</v>
      </c>
      <c r="K212" s="214" t="n">
        <v>25000</v>
      </c>
      <c r="L212" s="228" t="n">
        <v>25000</v>
      </c>
      <c r="O212" s="212"/>
      <c r="S212" s="207" t="n">
        <f aca="false">42500-36833.33</f>
        <v>5666.67</v>
      </c>
    </row>
    <row r="213" customFormat="false" ht="15" hidden="false" customHeight="true" outlineLevel="0" collapsed="false">
      <c r="B213" s="208" t="n">
        <v>2024</v>
      </c>
      <c r="C213" s="209" t="n">
        <v>8</v>
      </c>
      <c r="D213" s="226" t="s">
        <v>34</v>
      </c>
      <c r="E213" s="221" t="n">
        <v>0</v>
      </c>
      <c r="F213" s="221" t="n">
        <v>0</v>
      </c>
      <c r="G213" s="221" t="s">
        <v>203</v>
      </c>
      <c r="H213" s="233" t="s">
        <v>48</v>
      </c>
      <c r="I213" s="228" t="n">
        <v>33000</v>
      </c>
      <c r="J213" s="228" t="n">
        <v>2000.1</v>
      </c>
      <c r="K213" s="214" t="n">
        <v>30999.9</v>
      </c>
      <c r="L213" s="228" t="n">
        <v>33000</v>
      </c>
      <c r="O213" s="212"/>
    </row>
    <row r="214" customFormat="false" ht="15" hidden="false" customHeight="true" outlineLevel="0" collapsed="false">
      <c r="B214" s="208" t="n">
        <v>2024</v>
      </c>
      <c r="C214" s="209" t="n">
        <v>8</v>
      </c>
      <c r="D214" s="226" t="s">
        <v>59</v>
      </c>
      <c r="E214" s="221" t="n">
        <v>74524099796</v>
      </c>
      <c r="F214" s="221" t="n">
        <v>98127163</v>
      </c>
      <c r="G214" s="221" t="s">
        <v>230</v>
      </c>
      <c r="H214" s="229" t="s">
        <v>129</v>
      </c>
      <c r="I214" s="228" t="n">
        <v>30000</v>
      </c>
      <c r="J214" s="228" t="n">
        <v>17002</v>
      </c>
      <c r="K214" s="214" t="n">
        <v>12998</v>
      </c>
      <c r="L214" s="228" t="n">
        <v>30000</v>
      </c>
      <c r="O214" s="212"/>
    </row>
    <row r="215" customFormat="false" ht="14.25" hidden="false" customHeight="true" outlineLevel="0" collapsed="false">
      <c r="B215" s="208" t="n">
        <v>2024</v>
      </c>
      <c r="C215" s="209" t="n">
        <v>8</v>
      </c>
      <c r="D215" s="226" t="s">
        <v>59</v>
      </c>
      <c r="E215" s="221" t="n">
        <v>30148302742</v>
      </c>
      <c r="F215" s="221" t="n">
        <v>97726066</v>
      </c>
      <c r="G215" s="221" t="s">
        <v>230</v>
      </c>
      <c r="H215" s="229" t="s">
        <v>62</v>
      </c>
      <c r="I215" s="228" t="n">
        <v>22000</v>
      </c>
      <c r="J215" s="228" t="n">
        <v>17002</v>
      </c>
      <c r="K215" s="214" t="n">
        <v>4998</v>
      </c>
      <c r="L215" s="228" t="n">
        <v>22000</v>
      </c>
      <c r="O215" s="212"/>
    </row>
    <row r="216" customFormat="false" ht="15" hidden="false" customHeight="true" outlineLevel="0" collapsed="false">
      <c r="B216" s="208" t="n">
        <v>2024</v>
      </c>
      <c r="C216" s="209" t="n">
        <v>8</v>
      </c>
      <c r="D216" s="226" t="s">
        <v>59</v>
      </c>
      <c r="E216" s="221" t="n">
        <v>0</v>
      </c>
      <c r="F216" s="221" t="n">
        <v>0</v>
      </c>
      <c r="G216" s="221"/>
      <c r="H216" s="229" t="s">
        <v>134</v>
      </c>
      <c r="I216" s="228" t="n">
        <v>30000</v>
      </c>
      <c r="J216" s="228" t="n">
        <v>0</v>
      </c>
      <c r="K216" s="214" t="n">
        <v>30000</v>
      </c>
      <c r="L216" s="228" t="n">
        <v>30000</v>
      </c>
      <c r="M216" s="228"/>
      <c r="O216" s="212"/>
    </row>
    <row r="217" customFormat="false" ht="15" hidden="false" customHeight="true" outlineLevel="0" collapsed="false">
      <c r="B217" s="208" t="n">
        <v>2024</v>
      </c>
      <c r="C217" s="209" t="n">
        <v>8</v>
      </c>
      <c r="D217" s="226" t="s">
        <v>59</v>
      </c>
      <c r="E217" s="221" t="n">
        <v>22093575890</v>
      </c>
      <c r="F217" s="221" t="n">
        <v>96260905</v>
      </c>
      <c r="G217" s="221"/>
      <c r="H217" s="229" t="s">
        <v>133</v>
      </c>
      <c r="I217" s="228" t="n">
        <v>30000</v>
      </c>
      <c r="J217" s="228" t="n">
        <v>0</v>
      </c>
      <c r="K217" s="214" t="n">
        <v>30000</v>
      </c>
      <c r="L217" s="228" t="n">
        <v>30000</v>
      </c>
      <c r="M217" s="228"/>
      <c r="O217" s="212"/>
    </row>
    <row r="218" customFormat="false" ht="15" hidden="false" customHeight="true" outlineLevel="0" collapsed="false">
      <c r="B218" s="208" t="n">
        <v>2024</v>
      </c>
      <c r="C218" s="209" t="n">
        <v>8</v>
      </c>
      <c r="D218" s="226" t="s">
        <v>59</v>
      </c>
      <c r="E218" s="221" t="n">
        <v>64996156028</v>
      </c>
      <c r="F218" s="221" t="n">
        <v>95539771</v>
      </c>
      <c r="G218" s="221"/>
      <c r="H218" s="229" t="s">
        <v>55</v>
      </c>
      <c r="I218" s="228" t="n">
        <v>30000</v>
      </c>
      <c r="J218" s="228" t="n">
        <v>0</v>
      </c>
      <c r="K218" s="214" t="n">
        <v>30000</v>
      </c>
      <c r="L218" s="228" t="n">
        <v>30000</v>
      </c>
      <c r="M218" s="228"/>
      <c r="O218" s="212"/>
    </row>
    <row r="219" customFormat="false" ht="15" hidden="false" customHeight="true" outlineLevel="0" collapsed="false">
      <c r="B219" s="208" t="n">
        <v>2024</v>
      </c>
      <c r="C219" s="209" t="n">
        <v>9</v>
      </c>
      <c r="D219" s="226" t="s">
        <v>56</v>
      </c>
      <c r="E219" s="221" t="s">
        <v>80</v>
      </c>
      <c r="F219" s="221" t="n">
        <v>96358353</v>
      </c>
      <c r="G219" s="221" t="s">
        <v>225</v>
      </c>
      <c r="H219" s="227" t="s">
        <v>79</v>
      </c>
      <c r="I219" s="228" t="n">
        <v>50000</v>
      </c>
      <c r="J219" s="228" t="n">
        <v>40000</v>
      </c>
      <c r="K219" s="214" t="n">
        <v>10000</v>
      </c>
      <c r="L219" s="228" t="n">
        <v>50000</v>
      </c>
      <c r="O219" s="212"/>
    </row>
    <row r="220" customFormat="false" ht="15" hidden="false" customHeight="true" outlineLevel="0" collapsed="false">
      <c r="B220" s="208" t="n">
        <v>2024</v>
      </c>
      <c r="C220" s="209" t="n">
        <v>9</v>
      </c>
      <c r="D220" s="226" t="s">
        <v>82</v>
      </c>
      <c r="E220" s="221" t="s">
        <v>83</v>
      </c>
      <c r="F220" s="221" t="n">
        <v>95529415</v>
      </c>
      <c r="G220" s="221" t="s">
        <v>225</v>
      </c>
      <c r="H220" s="227" t="s">
        <v>81</v>
      </c>
      <c r="I220" s="228" t="n">
        <v>65000</v>
      </c>
      <c r="J220" s="228" t="n">
        <v>2670</v>
      </c>
      <c r="K220" s="214" t="n">
        <v>62330</v>
      </c>
      <c r="L220" s="228" t="n">
        <v>65000</v>
      </c>
      <c r="O220" s="212"/>
    </row>
    <row r="221" customFormat="false" ht="15" hidden="false" customHeight="true" outlineLevel="0" collapsed="false">
      <c r="B221" s="208" t="n">
        <v>2024</v>
      </c>
      <c r="C221" s="209" t="n">
        <v>9</v>
      </c>
      <c r="D221" s="226" t="s">
        <v>56</v>
      </c>
      <c r="E221" s="221" t="s">
        <v>84</v>
      </c>
      <c r="F221" s="221" t="n">
        <v>95787183</v>
      </c>
      <c r="G221" s="221" t="s">
        <v>225</v>
      </c>
      <c r="H221" s="227" t="s">
        <v>73</v>
      </c>
      <c r="I221" s="228" t="n">
        <v>17002</v>
      </c>
      <c r="J221" s="228" t="n">
        <v>17002</v>
      </c>
      <c r="K221" s="214" t="n">
        <v>0</v>
      </c>
      <c r="L221" s="228" t="n">
        <v>17002</v>
      </c>
      <c r="O221" s="212"/>
    </row>
    <row r="222" customFormat="false" ht="15" hidden="false" customHeight="true" outlineLevel="0" collapsed="false">
      <c r="B222" s="208" t="n">
        <v>2024</v>
      </c>
      <c r="C222" s="209" t="n">
        <v>9</v>
      </c>
      <c r="D222" s="226" t="s">
        <v>82</v>
      </c>
      <c r="E222" s="221" t="s">
        <v>86</v>
      </c>
      <c r="F222" s="221" t="n">
        <v>95532064</v>
      </c>
      <c r="G222" s="221" t="s">
        <v>225</v>
      </c>
      <c r="H222" s="227" t="s">
        <v>85</v>
      </c>
      <c r="I222" s="228" t="n">
        <v>40000</v>
      </c>
      <c r="J222" s="228" t="n">
        <v>1670</v>
      </c>
      <c r="K222" s="214" t="n">
        <v>38330</v>
      </c>
      <c r="L222" s="228" t="n">
        <v>40000</v>
      </c>
      <c r="O222" s="212"/>
    </row>
    <row r="223" customFormat="false" ht="15" hidden="false" customHeight="true" outlineLevel="0" collapsed="false">
      <c r="B223" s="208" t="n">
        <v>2024</v>
      </c>
      <c r="C223" s="209" t="n">
        <v>9</v>
      </c>
      <c r="D223" s="226" t="s">
        <v>82</v>
      </c>
      <c r="E223" s="221" t="s">
        <v>88</v>
      </c>
      <c r="F223" s="221" t="n">
        <v>95532066</v>
      </c>
      <c r="G223" s="221" t="s">
        <v>225</v>
      </c>
      <c r="H223" s="227" t="s">
        <v>87</v>
      </c>
      <c r="I223" s="228" t="n">
        <v>45000</v>
      </c>
      <c r="J223" s="228" t="n">
        <v>40000</v>
      </c>
      <c r="K223" s="214" t="n">
        <v>5000</v>
      </c>
      <c r="L223" s="228" t="n">
        <v>45000</v>
      </c>
      <c r="O223" s="212"/>
    </row>
    <row r="224" customFormat="false" ht="15" hidden="false" customHeight="true" outlineLevel="0" collapsed="false">
      <c r="B224" s="208" t="n">
        <v>2024</v>
      </c>
      <c r="C224" s="209" t="n">
        <v>9</v>
      </c>
      <c r="D224" s="226" t="s">
        <v>69</v>
      </c>
      <c r="E224" s="221" t="s">
        <v>94</v>
      </c>
      <c r="F224" s="221" t="n">
        <v>95532077</v>
      </c>
      <c r="G224" s="221" t="s">
        <v>225</v>
      </c>
      <c r="H224" s="227" t="s">
        <v>93</v>
      </c>
      <c r="I224" s="228" t="n">
        <v>40000</v>
      </c>
      <c r="J224" s="228" t="n">
        <v>2340</v>
      </c>
      <c r="K224" s="214" t="n">
        <v>37660</v>
      </c>
      <c r="L224" s="228" t="n">
        <v>40000</v>
      </c>
      <c r="O224" s="212"/>
    </row>
    <row r="225" customFormat="false" ht="15" hidden="false" customHeight="true" outlineLevel="0" collapsed="false">
      <c r="B225" s="208" t="n">
        <v>2024</v>
      </c>
      <c r="C225" s="209" t="n">
        <v>9</v>
      </c>
      <c r="D225" s="226" t="s">
        <v>34</v>
      </c>
      <c r="E225" s="221" t="s">
        <v>96</v>
      </c>
      <c r="F225" s="221" t="n">
        <v>95693810</v>
      </c>
      <c r="G225" s="221" t="s">
        <v>225</v>
      </c>
      <c r="H225" s="227" t="s">
        <v>95</v>
      </c>
      <c r="I225" s="228" t="n">
        <v>37500</v>
      </c>
      <c r="J225" s="228" t="n">
        <v>2000.1</v>
      </c>
      <c r="K225" s="214" t="n">
        <v>35499.9</v>
      </c>
      <c r="L225" s="228" t="n">
        <v>37500</v>
      </c>
      <c r="O225" s="212"/>
    </row>
    <row r="226" customFormat="false" ht="15" hidden="false" customHeight="true" outlineLevel="0" collapsed="false">
      <c r="B226" s="208" t="n">
        <v>2024</v>
      </c>
      <c r="C226" s="209" t="n">
        <v>9</v>
      </c>
      <c r="D226" s="226" t="s">
        <v>98</v>
      </c>
      <c r="E226" s="221" t="s">
        <v>99</v>
      </c>
      <c r="F226" s="221" t="s">
        <v>148</v>
      </c>
      <c r="G226" s="221" t="s">
        <v>225</v>
      </c>
      <c r="H226" s="227" t="s">
        <v>97</v>
      </c>
      <c r="I226" s="228" t="n">
        <v>50000</v>
      </c>
      <c r="J226" s="228" t="n">
        <v>35000</v>
      </c>
      <c r="K226" s="214" t="n">
        <v>15000</v>
      </c>
      <c r="L226" s="228" t="n">
        <v>50000</v>
      </c>
      <c r="O226" s="212"/>
    </row>
    <row r="227" customFormat="false" ht="15" hidden="false" customHeight="true" outlineLevel="0" collapsed="false">
      <c r="B227" s="208" t="n">
        <v>2024</v>
      </c>
      <c r="C227" s="209" t="n">
        <v>9</v>
      </c>
      <c r="D227" s="226" t="s">
        <v>51</v>
      </c>
      <c r="E227" s="221" t="s">
        <v>101</v>
      </c>
      <c r="F227" s="221" t="n">
        <v>97189681</v>
      </c>
      <c r="G227" s="221" t="s">
        <v>203</v>
      </c>
      <c r="H227" s="227" t="s">
        <v>100</v>
      </c>
      <c r="I227" s="228" t="n">
        <v>33000</v>
      </c>
      <c r="J227" s="228" t="n">
        <v>33000</v>
      </c>
      <c r="K227" s="214" t="n">
        <v>0</v>
      </c>
      <c r="L227" s="228" t="n">
        <v>33000</v>
      </c>
      <c r="O227" s="212"/>
    </row>
    <row r="228" customFormat="false" ht="15" hidden="false" customHeight="true" outlineLevel="0" collapsed="false">
      <c r="B228" s="208" t="n">
        <v>2024</v>
      </c>
      <c r="C228" s="209" t="n">
        <v>9</v>
      </c>
      <c r="D228" s="226" t="s">
        <v>69</v>
      </c>
      <c r="E228" s="221" t="s">
        <v>210</v>
      </c>
      <c r="F228" s="221" t="s">
        <v>211</v>
      </c>
      <c r="G228" s="221" t="s">
        <v>203</v>
      </c>
      <c r="H228" s="227" t="s">
        <v>191</v>
      </c>
      <c r="I228" s="228" t="n">
        <v>42500</v>
      </c>
      <c r="J228" s="228" t="n">
        <v>42500</v>
      </c>
      <c r="K228" s="214" t="n">
        <v>0</v>
      </c>
      <c r="L228" s="228" t="n">
        <v>42500</v>
      </c>
      <c r="O228" s="212"/>
    </row>
    <row r="229" customFormat="false" ht="15" hidden="false" customHeight="true" outlineLevel="0" collapsed="false">
      <c r="B229" s="208" t="n">
        <v>2024</v>
      </c>
      <c r="C229" s="209" t="n">
        <v>9</v>
      </c>
      <c r="D229" s="226" t="s">
        <v>59</v>
      </c>
      <c r="E229" s="221" t="s">
        <v>132</v>
      </c>
      <c r="F229" s="221" t="s">
        <v>151</v>
      </c>
      <c r="G229" s="221" t="s">
        <v>225</v>
      </c>
      <c r="H229" s="227" t="s">
        <v>127</v>
      </c>
      <c r="I229" s="228" t="n">
        <v>30000</v>
      </c>
      <c r="J229" s="228" t="n">
        <v>17002</v>
      </c>
      <c r="K229" s="214" t="n">
        <v>12998</v>
      </c>
      <c r="L229" s="228" t="n">
        <v>30000</v>
      </c>
      <c r="O229" s="212"/>
    </row>
    <row r="230" customFormat="false" ht="15" hidden="false" customHeight="true" outlineLevel="0" collapsed="false">
      <c r="B230" s="208" t="n">
        <v>2024</v>
      </c>
      <c r="C230" s="209" t="n">
        <v>9</v>
      </c>
      <c r="D230" s="226" t="s">
        <v>34</v>
      </c>
      <c r="E230" s="221" t="n">
        <v>0</v>
      </c>
      <c r="F230" s="221" t="n">
        <v>0</v>
      </c>
      <c r="G230" s="221" t="s">
        <v>203</v>
      </c>
      <c r="H230" s="227" t="s">
        <v>102</v>
      </c>
      <c r="I230" s="228" t="n">
        <v>33000</v>
      </c>
      <c r="J230" s="228" t="n">
        <v>0</v>
      </c>
      <c r="K230" s="214" t="n">
        <v>33000</v>
      </c>
      <c r="L230" s="228" t="n">
        <v>33000</v>
      </c>
      <c r="O230" s="212"/>
    </row>
    <row r="231" customFormat="false" ht="15" hidden="false" customHeight="true" outlineLevel="0" collapsed="false">
      <c r="B231" s="208" t="n">
        <v>2024</v>
      </c>
      <c r="C231" s="209" t="n">
        <v>9</v>
      </c>
      <c r="D231" s="226" t="s">
        <v>105</v>
      </c>
      <c r="E231" s="221" t="s">
        <v>106</v>
      </c>
      <c r="F231" s="221" t="n">
        <v>0</v>
      </c>
      <c r="G231" s="221" t="s">
        <v>203</v>
      </c>
      <c r="H231" s="229" t="s">
        <v>104</v>
      </c>
      <c r="I231" s="228" t="n">
        <v>42500</v>
      </c>
      <c r="J231" s="228" t="n">
        <v>30083</v>
      </c>
      <c r="K231" s="214" t="n">
        <v>2500</v>
      </c>
      <c r="L231" s="228" t="n">
        <v>32583</v>
      </c>
      <c r="M231" s="213" t="n">
        <v>-9917</v>
      </c>
      <c r="N231" s="215" t="s">
        <v>236</v>
      </c>
      <c r="O231" s="212"/>
    </row>
    <row r="232" customFormat="false" ht="15" hidden="false" customHeight="true" outlineLevel="0" collapsed="false">
      <c r="B232" s="208" t="n">
        <v>2024</v>
      </c>
      <c r="C232" s="209" t="n">
        <v>9</v>
      </c>
      <c r="D232" s="226" t="s">
        <v>69</v>
      </c>
      <c r="E232" s="221" t="n">
        <v>0</v>
      </c>
      <c r="F232" s="221" t="n">
        <v>0</v>
      </c>
      <c r="G232" s="221" t="s">
        <v>203</v>
      </c>
      <c r="H232" s="233" t="s">
        <v>103</v>
      </c>
      <c r="I232" s="228" t="n">
        <v>42500</v>
      </c>
      <c r="J232" s="228" t="n">
        <v>2340</v>
      </c>
      <c r="K232" s="214" t="n">
        <v>40160</v>
      </c>
      <c r="L232" s="228" t="n">
        <v>42500</v>
      </c>
      <c r="O232" s="212"/>
    </row>
    <row r="233" customFormat="false" ht="15" hidden="false" customHeight="true" outlineLevel="0" collapsed="false">
      <c r="B233" s="208" t="n">
        <v>2024</v>
      </c>
      <c r="C233" s="209" t="n">
        <v>9</v>
      </c>
      <c r="D233" s="226" t="s">
        <v>69</v>
      </c>
      <c r="E233" s="221" t="s">
        <v>110</v>
      </c>
      <c r="F233" s="221" t="s">
        <v>149</v>
      </c>
      <c r="G233" s="221" t="s">
        <v>203</v>
      </c>
      <c r="H233" s="229" t="s">
        <v>109</v>
      </c>
      <c r="I233" s="228" t="n">
        <v>42500</v>
      </c>
      <c r="J233" s="228" t="n">
        <v>36833.33</v>
      </c>
      <c r="K233" s="214" t="n">
        <v>5666.67</v>
      </c>
      <c r="L233" s="228" t="n">
        <v>42500</v>
      </c>
      <c r="O233" s="212"/>
    </row>
    <row r="234" customFormat="false" ht="15" hidden="false" customHeight="true" outlineLevel="0" collapsed="false">
      <c r="B234" s="208" t="n">
        <v>2024</v>
      </c>
      <c r="C234" s="209" t="n">
        <v>9</v>
      </c>
      <c r="D234" s="226" t="s">
        <v>112</v>
      </c>
      <c r="E234" s="221" t="s">
        <v>113</v>
      </c>
      <c r="F234" s="221" t="n">
        <v>0</v>
      </c>
      <c r="G234" s="221" t="s">
        <v>203</v>
      </c>
      <c r="H234" s="229" t="s">
        <v>111</v>
      </c>
      <c r="I234" s="228" t="n">
        <v>0</v>
      </c>
      <c r="J234" s="228" t="n">
        <v>0</v>
      </c>
      <c r="K234" s="214" t="n">
        <v>17347</v>
      </c>
      <c r="L234" s="228" t="n">
        <v>17347</v>
      </c>
      <c r="M234" s="213" t="n">
        <v>17347</v>
      </c>
      <c r="O234" s="212"/>
    </row>
    <row r="235" customFormat="false" ht="15" hidden="false" customHeight="true" outlineLevel="0" collapsed="false">
      <c r="B235" s="208" t="n">
        <v>2024</v>
      </c>
      <c r="C235" s="209" t="n">
        <v>9</v>
      </c>
      <c r="D235" s="226" t="s">
        <v>82</v>
      </c>
      <c r="E235" s="221" t="n">
        <v>0</v>
      </c>
      <c r="F235" s="221" t="n">
        <v>0</v>
      </c>
      <c r="G235" s="221"/>
      <c r="H235" s="229" t="s">
        <v>114</v>
      </c>
      <c r="I235" s="228" t="n">
        <v>30000</v>
      </c>
      <c r="J235" s="228" t="n">
        <v>0</v>
      </c>
      <c r="K235" s="214" t="n">
        <v>30000</v>
      </c>
      <c r="L235" s="228" t="n">
        <v>30000</v>
      </c>
      <c r="O235" s="212"/>
    </row>
    <row r="236" customFormat="false" ht="15" hidden="false" customHeight="true" outlineLevel="0" collapsed="false">
      <c r="B236" s="208" t="n">
        <v>2024</v>
      </c>
      <c r="C236" s="209" t="n">
        <v>9</v>
      </c>
      <c r="D236" s="226" t="s">
        <v>43</v>
      </c>
      <c r="E236" s="221" t="n">
        <v>0</v>
      </c>
      <c r="F236" s="221" t="n">
        <v>0</v>
      </c>
      <c r="G236" s="221"/>
      <c r="H236" s="229" t="s">
        <v>223</v>
      </c>
      <c r="I236" s="228" t="n">
        <v>25000</v>
      </c>
      <c r="J236" s="228" t="n">
        <v>0</v>
      </c>
      <c r="K236" s="214" t="n">
        <v>25000</v>
      </c>
      <c r="L236" s="228" t="n">
        <v>25000</v>
      </c>
      <c r="O236" s="212"/>
    </row>
    <row r="237" customFormat="false" ht="15" hidden="false" customHeight="true" outlineLevel="0" collapsed="false">
      <c r="B237" s="208" t="n">
        <v>2024</v>
      </c>
      <c r="C237" s="209" t="n">
        <v>9</v>
      </c>
      <c r="D237" s="226" t="s">
        <v>34</v>
      </c>
      <c r="E237" s="221" t="n">
        <v>0</v>
      </c>
      <c r="F237" s="221" t="n">
        <v>0</v>
      </c>
      <c r="G237" s="221" t="s">
        <v>203</v>
      </c>
      <c r="H237" s="233" t="s">
        <v>48</v>
      </c>
      <c r="I237" s="228" t="n">
        <v>33000</v>
      </c>
      <c r="J237" s="228" t="n">
        <v>2000.1</v>
      </c>
      <c r="K237" s="214" t="n">
        <v>30999.9</v>
      </c>
      <c r="L237" s="228" t="n">
        <v>33000</v>
      </c>
      <c r="O237" s="212"/>
    </row>
    <row r="238" customFormat="false" ht="15" hidden="false" customHeight="true" outlineLevel="0" collapsed="false">
      <c r="B238" s="208" t="n">
        <v>2024</v>
      </c>
      <c r="C238" s="209" t="n">
        <v>9</v>
      </c>
      <c r="D238" s="226" t="s">
        <v>69</v>
      </c>
      <c r="E238" s="221" t="n">
        <v>0</v>
      </c>
      <c r="F238" s="221" t="n">
        <v>0</v>
      </c>
      <c r="G238" s="221" t="s">
        <v>203</v>
      </c>
      <c r="H238" s="233" t="s">
        <v>116</v>
      </c>
      <c r="I238" s="228" t="n">
        <v>35000</v>
      </c>
      <c r="J238" s="228" t="n">
        <v>620</v>
      </c>
      <c r="K238" s="214" t="n">
        <v>16880</v>
      </c>
      <c r="L238" s="228" t="n">
        <v>17500</v>
      </c>
      <c r="M238" s="213" t="n">
        <v>-17500</v>
      </c>
      <c r="N238" s="215" t="s">
        <v>237</v>
      </c>
      <c r="O238" s="212"/>
    </row>
    <row r="239" customFormat="false" ht="15" hidden="false" customHeight="true" outlineLevel="0" collapsed="false">
      <c r="B239" s="208" t="n">
        <v>2024</v>
      </c>
      <c r="C239" s="209" t="n">
        <v>9</v>
      </c>
      <c r="D239" s="226" t="s">
        <v>59</v>
      </c>
      <c r="E239" s="221" t="s">
        <v>130</v>
      </c>
      <c r="F239" s="221" t="s">
        <v>152</v>
      </c>
      <c r="G239" s="221" t="s">
        <v>230</v>
      </c>
      <c r="H239" s="229" t="s">
        <v>129</v>
      </c>
      <c r="I239" s="228" t="n">
        <v>30000</v>
      </c>
      <c r="J239" s="228" t="n">
        <v>17002</v>
      </c>
      <c r="K239" s="214" t="n">
        <v>12998</v>
      </c>
      <c r="L239" s="228" t="n">
        <v>30000</v>
      </c>
      <c r="O239" s="212"/>
    </row>
    <row r="240" customFormat="false" ht="14.25" hidden="false" customHeight="true" outlineLevel="0" collapsed="false">
      <c r="B240" s="208" t="n">
        <v>2024</v>
      </c>
      <c r="C240" s="209" t="n">
        <v>9</v>
      </c>
      <c r="D240" s="226" t="s">
        <v>59</v>
      </c>
      <c r="E240" s="221" t="n">
        <v>30148302742</v>
      </c>
      <c r="F240" s="221" t="n">
        <v>97726066</v>
      </c>
      <c r="G240" s="221" t="s">
        <v>230</v>
      </c>
      <c r="H240" s="229" t="s">
        <v>62</v>
      </c>
      <c r="I240" s="228" t="n">
        <v>22000</v>
      </c>
      <c r="J240" s="228" t="n">
        <v>17002</v>
      </c>
      <c r="K240" s="214" t="n">
        <v>4998</v>
      </c>
      <c r="L240" s="228" t="n">
        <v>22000</v>
      </c>
      <c r="O240" s="212"/>
    </row>
    <row r="241" customFormat="false" ht="15" hidden="false" customHeight="true" outlineLevel="0" collapsed="false">
      <c r="B241" s="208" t="n">
        <v>2024</v>
      </c>
      <c r="C241" s="209" t="n">
        <v>9</v>
      </c>
      <c r="D241" s="226" t="s">
        <v>59</v>
      </c>
      <c r="E241" s="221" t="n">
        <v>0</v>
      </c>
      <c r="F241" s="221" t="n">
        <v>0</v>
      </c>
      <c r="G241" s="221"/>
      <c r="H241" s="229" t="s">
        <v>134</v>
      </c>
      <c r="I241" s="228" t="n">
        <v>30000</v>
      </c>
      <c r="J241" s="228" t="n">
        <v>0</v>
      </c>
      <c r="K241" s="214" t="n">
        <v>30000</v>
      </c>
      <c r="L241" s="228" t="n">
        <v>30000</v>
      </c>
      <c r="M241" s="228"/>
      <c r="O241" s="212"/>
    </row>
    <row r="242" customFormat="false" ht="15" hidden="false" customHeight="true" outlineLevel="0" collapsed="false">
      <c r="B242" s="208" t="n">
        <v>2024</v>
      </c>
      <c r="C242" s="209" t="n">
        <v>9</v>
      </c>
      <c r="D242" s="226" t="s">
        <v>59</v>
      </c>
      <c r="E242" s="221" t="s">
        <v>60</v>
      </c>
      <c r="F242" s="221" t="s">
        <v>61</v>
      </c>
      <c r="G242" s="221"/>
      <c r="H242" s="229" t="s">
        <v>133</v>
      </c>
      <c r="I242" s="228" t="n">
        <v>30000</v>
      </c>
      <c r="J242" s="228" t="n">
        <v>0</v>
      </c>
      <c r="K242" s="214" t="n">
        <v>30000</v>
      </c>
      <c r="L242" s="228" t="n">
        <v>30000</v>
      </c>
      <c r="M242" s="228"/>
      <c r="O242" s="212"/>
    </row>
    <row r="243" customFormat="false" ht="15" hidden="false" customHeight="true" outlineLevel="0" collapsed="false">
      <c r="B243" s="208" t="n">
        <v>2024</v>
      </c>
      <c r="C243" s="209" t="n">
        <v>9</v>
      </c>
      <c r="D243" s="226" t="s">
        <v>59</v>
      </c>
      <c r="E243" s="221" t="s">
        <v>57</v>
      </c>
      <c r="F243" s="221" t="s">
        <v>153</v>
      </c>
      <c r="G243" s="221"/>
      <c r="H243" s="229" t="s">
        <v>55</v>
      </c>
      <c r="I243" s="228" t="n">
        <v>30000</v>
      </c>
      <c r="J243" s="228" t="n">
        <v>0</v>
      </c>
      <c r="K243" s="214" t="n">
        <v>30000</v>
      </c>
      <c r="L243" s="228" t="n">
        <v>30000</v>
      </c>
      <c r="M243" s="228"/>
      <c r="O243" s="212"/>
    </row>
    <row r="244" customFormat="false" ht="15" hidden="false" customHeight="true" outlineLevel="0" collapsed="false">
      <c r="B244" s="208" t="n">
        <v>2024</v>
      </c>
      <c r="C244" s="209" t="n">
        <v>10</v>
      </c>
      <c r="D244" s="226" t="s">
        <v>56</v>
      </c>
      <c r="E244" s="221" t="n">
        <v>28699369338</v>
      </c>
      <c r="F244" s="221" t="n">
        <v>96358353</v>
      </c>
      <c r="G244" s="221"/>
      <c r="H244" s="227" t="s">
        <v>79</v>
      </c>
      <c r="I244" s="228" t="n">
        <v>50000</v>
      </c>
      <c r="J244" s="228" t="n">
        <v>40000</v>
      </c>
      <c r="K244" s="214" t="n">
        <v>10000</v>
      </c>
      <c r="L244" s="228" t="n">
        <v>50000</v>
      </c>
      <c r="O244" s="212"/>
    </row>
    <row r="245" customFormat="false" ht="15" hidden="false" customHeight="true" outlineLevel="0" collapsed="false">
      <c r="B245" s="208" t="n">
        <v>2024</v>
      </c>
      <c r="C245" s="209" t="n">
        <v>10</v>
      </c>
      <c r="D245" s="226" t="s">
        <v>82</v>
      </c>
      <c r="E245" s="221" t="n">
        <v>17630785580</v>
      </c>
      <c r="F245" s="221" t="n">
        <v>95529415</v>
      </c>
      <c r="G245" s="221" t="s">
        <v>238</v>
      </c>
      <c r="H245" s="227" t="s">
        <v>81</v>
      </c>
      <c r="I245" s="228" t="n">
        <v>65000</v>
      </c>
      <c r="J245" s="228" t="n">
        <v>2670</v>
      </c>
      <c r="K245" s="214" t="n">
        <v>62330</v>
      </c>
      <c r="L245" s="228" t="n">
        <v>65000</v>
      </c>
      <c r="O245" s="212"/>
    </row>
    <row r="246" customFormat="false" ht="15" hidden="false" customHeight="true" outlineLevel="0" collapsed="false">
      <c r="B246" s="208" t="n">
        <v>2024</v>
      </c>
      <c r="C246" s="209" t="n">
        <v>10</v>
      </c>
      <c r="D246" s="226" t="s">
        <v>56</v>
      </c>
      <c r="E246" s="221" t="n">
        <v>55186680706</v>
      </c>
      <c r="F246" s="221" t="n">
        <v>95787183</v>
      </c>
      <c r="G246" s="221"/>
      <c r="H246" s="227" t="s">
        <v>73</v>
      </c>
      <c r="I246" s="228" t="n">
        <v>17002</v>
      </c>
      <c r="J246" s="228" t="n">
        <v>17002</v>
      </c>
      <c r="K246" s="214" t="n">
        <v>0</v>
      </c>
      <c r="L246" s="228" t="n">
        <v>17002</v>
      </c>
      <c r="O246" s="212"/>
    </row>
    <row r="247" customFormat="false" ht="15" hidden="false" customHeight="true" outlineLevel="0" collapsed="false">
      <c r="B247" s="208" t="n">
        <v>2024</v>
      </c>
      <c r="C247" s="209" t="n">
        <v>10</v>
      </c>
      <c r="D247" s="226" t="s">
        <v>82</v>
      </c>
      <c r="E247" s="221" t="n">
        <v>21242693324</v>
      </c>
      <c r="F247" s="221" t="n">
        <v>95532064</v>
      </c>
      <c r="G247" s="221" t="s">
        <v>238</v>
      </c>
      <c r="H247" s="227" t="s">
        <v>85</v>
      </c>
      <c r="I247" s="228" t="n">
        <v>40000</v>
      </c>
      <c r="J247" s="228" t="n">
        <v>1670</v>
      </c>
      <c r="K247" s="214" t="n">
        <v>38330</v>
      </c>
      <c r="L247" s="228" t="n">
        <v>40000</v>
      </c>
      <c r="O247" s="212"/>
    </row>
    <row r="248" customFormat="false" ht="15" hidden="false" customHeight="true" outlineLevel="0" collapsed="false">
      <c r="B248" s="208" t="n">
        <v>2024</v>
      </c>
      <c r="C248" s="209" t="n">
        <v>10</v>
      </c>
      <c r="D248" s="226" t="s">
        <v>82</v>
      </c>
      <c r="E248" s="221" t="n">
        <v>17159801204</v>
      </c>
      <c r="F248" s="221" t="n">
        <v>95532066</v>
      </c>
      <c r="G248" s="221" t="s">
        <v>238</v>
      </c>
      <c r="H248" s="227" t="s">
        <v>87</v>
      </c>
      <c r="I248" s="228" t="n">
        <v>45000</v>
      </c>
      <c r="J248" s="228" t="n">
        <v>40000</v>
      </c>
      <c r="K248" s="214" t="n">
        <v>5000</v>
      </c>
      <c r="L248" s="228" t="n">
        <v>45000</v>
      </c>
      <c r="O248" s="212"/>
    </row>
    <row r="249" customFormat="false" ht="15" hidden="false" customHeight="true" outlineLevel="0" collapsed="false">
      <c r="B249" s="208" t="n">
        <v>2024</v>
      </c>
      <c r="C249" s="209" t="n">
        <v>10</v>
      </c>
      <c r="D249" s="226" t="s">
        <v>69</v>
      </c>
      <c r="E249" s="221" t="n">
        <v>23764482950</v>
      </c>
      <c r="F249" s="221" t="n">
        <v>95532077</v>
      </c>
      <c r="G249" s="221" t="s">
        <v>238</v>
      </c>
      <c r="H249" s="227" t="s">
        <v>93</v>
      </c>
      <c r="I249" s="228" t="n">
        <v>40000</v>
      </c>
      <c r="J249" s="228" t="n">
        <v>2335</v>
      </c>
      <c r="K249" s="214" t="n">
        <v>37665</v>
      </c>
      <c r="L249" s="228" t="n">
        <v>40000</v>
      </c>
      <c r="O249" s="212"/>
    </row>
    <row r="250" customFormat="false" ht="15" hidden="false" customHeight="true" outlineLevel="0" collapsed="false">
      <c r="B250" s="208" t="n">
        <v>2024</v>
      </c>
      <c r="C250" s="209" t="n">
        <v>10</v>
      </c>
      <c r="D250" s="226" t="s">
        <v>34</v>
      </c>
      <c r="E250" s="221" t="n">
        <v>25672444846</v>
      </c>
      <c r="F250" s="221" t="n">
        <v>95693810</v>
      </c>
      <c r="G250" s="221" t="s">
        <v>238</v>
      </c>
      <c r="H250" s="227" t="s">
        <v>95</v>
      </c>
      <c r="I250" s="228" t="n">
        <v>37500</v>
      </c>
      <c r="J250" s="228" t="n">
        <v>2000.1</v>
      </c>
      <c r="K250" s="214" t="n">
        <v>35499.9</v>
      </c>
      <c r="L250" s="228" t="n">
        <v>37500</v>
      </c>
      <c r="O250" s="212"/>
    </row>
    <row r="251" customFormat="false" ht="15" hidden="false" customHeight="true" outlineLevel="0" collapsed="false">
      <c r="B251" s="208" t="n">
        <v>2024</v>
      </c>
      <c r="C251" s="209" t="n">
        <v>10</v>
      </c>
      <c r="D251" s="226" t="s">
        <v>98</v>
      </c>
      <c r="E251" s="221" t="n">
        <v>51994540164</v>
      </c>
      <c r="F251" s="221" t="n">
        <v>96900867</v>
      </c>
      <c r="G251" s="221"/>
      <c r="H251" s="227" t="s">
        <v>97</v>
      </c>
      <c r="I251" s="228" t="n">
        <v>50000</v>
      </c>
      <c r="J251" s="228" t="n">
        <v>35000</v>
      </c>
      <c r="K251" s="214" t="n">
        <v>15000</v>
      </c>
      <c r="L251" s="228" t="n">
        <v>50000</v>
      </c>
      <c r="O251" s="212"/>
    </row>
    <row r="252" customFormat="false" ht="15" hidden="false" customHeight="true" outlineLevel="0" collapsed="false">
      <c r="B252" s="208" t="n">
        <v>2024</v>
      </c>
      <c r="C252" s="209" t="n">
        <v>10</v>
      </c>
      <c r="D252" s="226" t="s">
        <v>51</v>
      </c>
      <c r="E252" s="221" t="n">
        <v>23713484608</v>
      </c>
      <c r="F252" s="221" t="n">
        <v>97189681</v>
      </c>
      <c r="G252" s="221" t="s">
        <v>238</v>
      </c>
      <c r="H252" s="227" t="s">
        <v>100</v>
      </c>
      <c r="I252" s="228" t="n">
        <v>33000</v>
      </c>
      <c r="J252" s="228" t="n">
        <v>33000</v>
      </c>
      <c r="K252" s="214" t="n">
        <v>0</v>
      </c>
      <c r="L252" s="228" t="n">
        <v>33000</v>
      </c>
      <c r="O252" s="212"/>
    </row>
    <row r="253" customFormat="false" ht="15" hidden="false" customHeight="true" outlineLevel="0" collapsed="false">
      <c r="B253" s="208" t="n">
        <v>2024</v>
      </c>
      <c r="C253" s="209" t="n">
        <v>10</v>
      </c>
      <c r="D253" s="226" t="s">
        <v>34</v>
      </c>
      <c r="E253" s="221" t="n">
        <v>0</v>
      </c>
      <c r="F253" s="221" t="n">
        <v>0</v>
      </c>
      <c r="G253" s="221" t="s">
        <v>238</v>
      </c>
      <c r="H253" s="227" t="s">
        <v>102</v>
      </c>
      <c r="I253" s="228" t="n">
        <v>33000</v>
      </c>
      <c r="J253" s="228" t="n">
        <v>0</v>
      </c>
      <c r="K253" s="214" t="n">
        <v>33000</v>
      </c>
      <c r="L253" s="228" t="n">
        <v>33000</v>
      </c>
      <c r="O253" s="212"/>
    </row>
    <row r="254" customFormat="false" ht="15" hidden="false" customHeight="true" outlineLevel="0" collapsed="false">
      <c r="B254" s="208" t="n">
        <v>2024</v>
      </c>
      <c r="C254" s="209" t="n">
        <v>10</v>
      </c>
      <c r="D254" s="226" t="s">
        <v>105</v>
      </c>
      <c r="E254" s="221" t="n">
        <v>14188598600</v>
      </c>
      <c r="F254" s="221" t="n">
        <v>0</v>
      </c>
      <c r="G254" s="221" t="s">
        <v>238</v>
      </c>
      <c r="H254" s="229" t="s">
        <v>104</v>
      </c>
      <c r="I254" s="228" t="n">
        <v>24083</v>
      </c>
      <c r="J254" s="228" t="n">
        <v>42500</v>
      </c>
      <c r="K254" s="214" t="n">
        <v>-18417</v>
      </c>
      <c r="L254" s="228" t="n">
        <v>24083</v>
      </c>
      <c r="N254" s="215" t="s">
        <v>239</v>
      </c>
      <c r="O254" s="212"/>
    </row>
    <row r="255" customFormat="false" ht="15" hidden="false" customHeight="true" outlineLevel="0" collapsed="false">
      <c r="B255" s="208" t="n">
        <v>2024</v>
      </c>
      <c r="C255" s="209" t="n">
        <v>10</v>
      </c>
      <c r="D255" s="226" t="s">
        <v>69</v>
      </c>
      <c r="E255" s="221" t="n">
        <v>0</v>
      </c>
      <c r="F255" s="221" t="n">
        <v>0</v>
      </c>
      <c r="G255" s="221" t="s">
        <v>238</v>
      </c>
      <c r="H255" s="233" t="s">
        <v>103</v>
      </c>
      <c r="I255" s="228" t="n">
        <v>42500</v>
      </c>
      <c r="J255" s="228" t="n">
        <v>2335</v>
      </c>
      <c r="K255" s="214" t="n">
        <v>40165</v>
      </c>
      <c r="L255" s="228" t="n">
        <v>42500</v>
      </c>
      <c r="O255" s="212"/>
    </row>
    <row r="256" customFormat="false" ht="15" hidden="false" customHeight="true" outlineLevel="0" collapsed="false">
      <c r="B256" s="208" t="n">
        <v>2024</v>
      </c>
      <c r="C256" s="209" t="n">
        <v>10</v>
      </c>
      <c r="D256" s="226" t="s">
        <v>69</v>
      </c>
      <c r="E256" s="221" t="n">
        <v>20743377542</v>
      </c>
      <c r="F256" s="221" t="n">
        <v>99029232</v>
      </c>
      <c r="G256" s="221" t="s">
        <v>238</v>
      </c>
      <c r="H256" s="229" t="s">
        <v>109</v>
      </c>
      <c r="I256" s="228" t="n">
        <v>42500</v>
      </c>
      <c r="J256" s="228" t="n">
        <v>42500</v>
      </c>
      <c r="K256" s="214" t="n">
        <v>0</v>
      </c>
      <c r="L256" s="228" t="n">
        <v>42500</v>
      </c>
      <c r="O256" s="212"/>
    </row>
    <row r="257" customFormat="false" ht="15" hidden="false" customHeight="true" outlineLevel="0" collapsed="false">
      <c r="B257" s="208" t="n">
        <v>2024</v>
      </c>
      <c r="C257" s="209" t="n">
        <v>10</v>
      </c>
      <c r="D257" s="226" t="s">
        <v>112</v>
      </c>
      <c r="E257" s="221" t="n">
        <v>24235463638</v>
      </c>
      <c r="F257" s="221" t="n">
        <v>0</v>
      </c>
      <c r="G257" s="221" t="s">
        <v>238</v>
      </c>
      <c r="H257" s="229" t="s">
        <v>111</v>
      </c>
      <c r="I257" s="228" t="n">
        <v>25000</v>
      </c>
      <c r="J257" s="228" t="n">
        <v>0</v>
      </c>
      <c r="K257" s="214" t="n">
        <v>25000</v>
      </c>
      <c r="L257" s="228" t="n">
        <v>25000</v>
      </c>
      <c r="O257" s="212"/>
    </row>
    <row r="258" customFormat="false" ht="15" hidden="false" customHeight="true" outlineLevel="0" collapsed="false">
      <c r="B258" s="208" t="n">
        <v>2024</v>
      </c>
      <c r="C258" s="209" t="n">
        <v>10</v>
      </c>
      <c r="D258" s="226" t="s">
        <v>82</v>
      </c>
      <c r="E258" s="221" t="n">
        <v>0</v>
      </c>
      <c r="F258" s="221" t="n">
        <v>0</v>
      </c>
      <c r="G258" s="221" t="s">
        <v>238</v>
      </c>
      <c r="H258" s="229" t="s">
        <v>114</v>
      </c>
      <c r="I258" s="228" t="n">
        <v>35000</v>
      </c>
      <c r="J258" s="228" t="n">
        <v>0</v>
      </c>
      <c r="K258" s="214" t="n">
        <v>35000</v>
      </c>
      <c r="L258" s="228" t="n">
        <v>35000</v>
      </c>
      <c r="O258" s="212"/>
    </row>
    <row r="259" customFormat="false" ht="15" hidden="false" customHeight="true" outlineLevel="0" collapsed="false">
      <c r="B259" s="208" t="n">
        <v>2024</v>
      </c>
      <c r="C259" s="209" t="n">
        <v>10</v>
      </c>
      <c r="D259" s="226" t="s">
        <v>43</v>
      </c>
      <c r="E259" s="221" t="n">
        <v>0</v>
      </c>
      <c r="F259" s="221" t="n">
        <v>0</v>
      </c>
      <c r="G259" s="221" t="s">
        <v>238</v>
      </c>
      <c r="H259" s="229" t="s">
        <v>115</v>
      </c>
      <c r="I259" s="228" t="n">
        <v>25000</v>
      </c>
      <c r="J259" s="228" t="n">
        <v>0</v>
      </c>
      <c r="K259" s="214" t="n">
        <v>25000</v>
      </c>
      <c r="L259" s="228" t="n">
        <v>25000</v>
      </c>
      <c r="O259" s="212"/>
    </row>
    <row r="260" customFormat="false" ht="15" hidden="false" customHeight="true" outlineLevel="0" collapsed="false">
      <c r="B260" s="208" t="n">
        <v>2024</v>
      </c>
      <c r="C260" s="209" t="n">
        <v>10</v>
      </c>
      <c r="D260" s="226" t="s">
        <v>34</v>
      </c>
      <c r="E260" s="221" t="n">
        <v>0</v>
      </c>
      <c r="F260" s="221" t="n">
        <v>0</v>
      </c>
      <c r="G260" s="221" t="s">
        <v>238</v>
      </c>
      <c r="H260" s="233" t="s">
        <v>48</v>
      </c>
      <c r="I260" s="228" t="n">
        <v>33000</v>
      </c>
      <c r="J260" s="228" t="n">
        <v>2000.1</v>
      </c>
      <c r="K260" s="214" t="n">
        <v>30999.9</v>
      </c>
      <c r="L260" s="228" t="n">
        <v>33000</v>
      </c>
      <c r="O260" s="212"/>
    </row>
    <row r="261" customFormat="false" ht="15" hidden="false" customHeight="true" outlineLevel="0" collapsed="false">
      <c r="B261" s="208" t="n">
        <v>2024</v>
      </c>
      <c r="C261" s="209" t="n">
        <v>10</v>
      </c>
      <c r="D261" s="226" t="s">
        <v>69</v>
      </c>
      <c r="E261" s="221" t="n">
        <v>0</v>
      </c>
      <c r="F261" s="221" t="n">
        <v>0</v>
      </c>
      <c r="G261" s="221" t="s">
        <v>238</v>
      </c>
      <c r="H261" s="233" t="s">
        <v>116</v>
      </c>
      <c r="I261" s="228" t="n">
        <v>35000</v>
      </c>
      <c r="J261" s="228" t="n">
        <v>1235</v>
      </c>
      <c r="K261" s="214" t="n">
        <v>33765</v>
      </c>
      <c r="L261" s="228" t="n">
        <v>35000</v>
      </c>
      <c r="O261" s="212"/>
    </row>
    <row r="262" customFormat="false" ht="15" hidden="false" customHeight="true" outlineLevel="0" collapsed="false">
      <c r="B262" s="208" t="n">
        <v>2024</v>
      </c>
      <c r="C262" s="209" t="n">
        <v>10</v>
      </c>
      <c r="D262" s="226" t="n">
        <v>0</v>
      </c>
      <c r="E262" s="221" t="n">
        <v>22118361712</v>
      </c>
      <c r="F262" s="221" t="n">
        <v>0</v>
      </c>
      <c r="G262" s="221" t="s">
        <v>238</v>
      </c>
      <c r="H262" s="233" t="s">
        <v>117</v>
      </c>
      <c r="I262" s="228" t="n">
        <v>42500</v>
      </c>
      <c r="J262" s="228" t="n">
        <v>39666.67</v>
      </c>
      <c r="K262" s="214" t="n">
        <v>2833.33</v>
      </c>
      <c r="L262" s="228" t="n">
        <v>42500</v>
      </c>
      <c r="O262" s="212"/>
    </row>
    <row r="263" customFormat="false" ht="15" hidden="false" customHeight="true" outlineLevel="0" collapsed="false">
      <c r="B263" s="208" t="n">
        <v>2024</v>
      </c>
      <c r="C263" s="209" t="n">
        <v>10</v>
      </c>
      <c r="D263" s="226" t="s">
        <v>59</v>
      </c>
      <c r="E263" s="221" t="n">
        <v>74524099796</v>
      </c>
      <c r="F263" s="221" t="n">
        <v>98127163</v>
      </c>
      <c r="G263" s="221"/>
      <c r="H263" s="229" t="s">
        <v>129</v>
      </c>
      <c r="I263" s="228" t="n">
        <v>30000</v>
      </c>
      <c r="J263" s="228" t="n">
        <v>17002</v>
      </c>
      <c r="K263" s="214" t="n">
        <v>12998</v>
      </c>
      <c r="L263" s="228" t="n">
        <v>30000</v>
      </c>
      <c r="O263" s="212"/>
    </row>
    <row r="264" customFormat="false" ht="14.25" hidden="false" customHeight="true" outlineLevel="0" collapsed="false">
      <c r="B264" s="208" t="n">
        <v>2024</v>
      </c>
      <c r="C264" s="209" t="n">
        <v>10</v>
      </c>
      <c r="D264" s="226" t="s">
        <v>59</v>
      </c>
      <c r="E264" s="221" t="n">
        <v>30148302742</v>
      </c>
      <c r="F264" s="221" t="n">
        <v>97726066</v>
      </c>
      <c r="G264" s="221"/>
      <c r="H264" s="229" t="s">
        <v>62</v>
      </c>
      <c r="I264" s="228" t="n">
        <v>22000</v>
      </c>
      <c r="J264" s="228" t="n">
        <v>17002</v>
      </c>
      <c r="K264" s="214" t="n">
        <v>4998</v>
      </c>
      <c r="L264" s="228" t="n">
        <v>22000</v>
      </c>
      <c r="O264" s="212"/>
    </row>
    <row r="265" customFormat="false" ht="15" hidden="false" customHeight="true" outlineLevel="0" collapsed="false">
      <c r="B265" s="208" t="n">
        <v>2024</v>
      </c>
      <c r="C265" s="209" t="n">
        <v>10</v>
      </c>
      <c r="D265" s="226" t="s">
        <v>59</v>
      </c>
      <c r="E265" s="221" t="n">
        <v>0</v>
      </c>
      <c r="F265" s="221" t="n">
        <v>0</v>
      </c>
      <c r="G265" s="221"/>
      <c r="H265" s="229" t="s">
        <v>134</v>
      </c>
      <c r="I265" s="228" t="n">
        <v>30000</v>
      </c>
      <c r="J265" s="228" t="n">
        <v>0</v>
      </c>
      <c r="K265" s="214" t="n">
        <v>30000</v>
      </c>
      <c r="L265" s="228" t="n">
        <v>30000</v>
      </c>
      <c r="M265" s="228"/>
      <c r="O265" s="212"/>
    </row>
    <row r="266" customFormat="false" ht="15" hidden="false" customHeight="true" outlineLevel="0" collapsed="false">
      <c r="B266" s="208" t="n">
        <v>2024</v>
      </c>
      <c r="C266" s="209" t="n">
        <v>10</v>
      </c>
      <c r="D266" s="226" t="s">
        <v>59</v>
      </c>
      <c r="E266" s="221" t="n">
        <v>22093575890</v>
      </c>
      <c r="F266" s="221" t="n">
        <v>96260905</v>
      </c>
      <c r="G266" s="221"/>
      <c r="H266" s="229" t="s">
        <v>133</v>
      </c>
      <c r="I266" s="228" t="n">
        <v>30000</v>
      </c>
      <c r="J266" s="228" t="n">
        <v>0</v>
      </c>
      <c r="K266" s="214" t="n">
        <v>30000</v>
      </c>
      <c r="L266" s="228" t="n">
        <v>30000</v>
      </c>
      <c r="M266" s="228"/>
      <c r="O266" s="212"/>
    </row>
    <row r="267" customFormat="false" ht="15" hidden="false" customHeight="true" outlineLevel="0" collapsed="false">
      <c r="B267" s="208" t="n">
        <v>2024</v>
      </c>
      <c r="C267" s="209" t="n">
        <v>10</v>
      </c>
      <c r="D267" s="226" t="s">
        <v>59</v>
      </c>
      <c r="E267" s="221" t="n">
        <v>64996156028</v>
      </c>
      <c r="F267" s="221" t="n">
        <v>95539771</v>
      </c>
      <c r="G267" s="221"/>
      <c r="H267" s="229" t="s">
        <v>55</v>
      </c>
      <c r="I267" s="228" t="n">
        <v>30000</v>
      </c>
      <c r="J267" s="228" t="n">
        <v>0</v>
      </c>
      <c r="K267" s="214" t="n">
        <v>30000</v>
      </c>
      <c r="L267" s="228" t="n">
        <v>30000</v>
      </c>
      <c r="M267" s="228"/>
      <c r="O267" s="212"/>
    </row>
    <row r="268" customFormat="false" ht="15" hidden="false" customHeight="true" outlineLevel="0" collapsed="false">
      <c r="B268" s="208" t="n">
        <v>2024</v>
      </c>
      <c r="C268" s="209" t="n">
        <v>11</v>
      </c>
      <c r="D268" s="226" t="str">
        <f aca="false">VLOOKUP(H268,PersonelListesi!A$1:K$46,4,FALSE())</f>
        <v>_MUHASEBE</v>
      </c>
      <c r="E268" s="221" t="e">
        <f aca="false">VLOOKUP(H268,PersonelListesi!A$1:K$46,13,FALSE())</f>
        <v>#VALUE!</v>
      </c>
      <c r="F268" s="221" t="e">
        <f aca="false">VLOOKUP(H268,PersonelListesi!A$1:K$46,14,FALSE())</f>
        <v>#VALUE!</v>
      </c>
      <c r="G268" s="221"/>
      <c r="H268" s="227" t="s">
        <v>79</v>
      </c>
      <c r="I268" s="228" t="n">
        <f aca="false">VLOOKUP(H268,PersonelListesi!A$1:G$42,6,FALSE())</f>
        <v>57500</v>
      </c>
      <c r="J268" s="228" t="n">
        <f aca="false">VLOOKUP(H268,PersonelListesi!A$1:G$42,7,FALSE())</f>
        <v>40000</v>
      </c>
      <c r="K268" s="214" t="n">
        <v>5000</v>
      </c>
      <c r="L268" s="228" t="e">
        <f aca="false">bordro[[#This Row],[E.]]+bordro[[#This Row],[SGK-BNK]]</f>
        <v>#VALUE!</v>
      </c>
      <c r="M268" s="213" t="n">
        <v>-5000</v>
      </c>
      <c r="N268" s="215" t="s">
        <v>173</v>
      </c>
      <c r="O268" s="212"/>
    </row>
    <row r="269" customFormat="false" ht="15" hidden="false" customHeight="true" outlineLevel="0" collapsed="false">
      <c r="B269" s="208" t="n">
        <v>2024</v>
      </c>
      <c r="C269" s="209" t="n">
        <v>11</v>
      </c>
      <c r="D269" s="226" t="str">
        <f aca="false">VLOOKUP(H269,PersonelListesi!A$1:K$46,4,FALSE())</f>
        <v>_D.ELEMAN</v>
      </c>
      <c r="E269" s="221" t="e">
        <f aca="false">VLOOKUP(H269,PersonelListesi!A$1:K$46,13,FALSE())</f>
        <v>#VALUE!</v>
      </c>
      <c r="F269" s="221" t="e">
        <f aca="false">VLOOKUP(H269,PersonelListesi!A$1:K$46,14,FALSE())</f>
        <v>#VALUE!</v>
      </c>
      <c r="G269" s="221" t="s">
        <v>238</v>
      </c>
      <c r="H269" s="227" t="s">
        <v>81</v>
      </c>
      <c r="I269" s="228" t="n">
        <f aca="false">VLOOKUP(H269,PersonelListesi!A$1:G$42,6,FALSE())</f>
        <v>75000</v>
      </c>
      <c r="J269" s="228" t="n">
        <f aca="false">VLOOKUP(H269,PersonelListesi!A$1:G$42,7,FALSE())</f>
        <v>2670</v>
      </c>
      <c r="K269" s="214" t="n">
        <v>62330</v>
      </c>
      <c r="L269" s="228" t="e">
        <f aca="false">bordro[[#This Row],[E.]]+bordro[[#This Row],[SGK-BNK]]</f>
        <v>#VALUE!</v>
      </c>
      <c r="O269" s="212"/>
    </row>
    <row r="270" customFormat="false" ht="15" hidden="false" customHeight="true" outlineLevel="0" collapsed="false">
      <c r="B270" s="208" t="n">
        <v>2024</v>
      </c>
      <c r="C270" s="209" t="n">
        <v>11</v>
      </c>
      <c r="D270" s="226" t="str">
        <f aca="false">VLOOKUP(H270,PersonelListesi!A$1:K$46,4,FALSE())</f>
        <v>_MUHASEBE</v>
      </c>
      <c r="E270" s="221" t="e">
        <f aca="false">VLOOKUP(H270,PersonelListesi!A$1:K$46,13,FALSE())</f>
        <v>#VALUE!</v>
      </c>
      <c r="F270" s="221" t="e">
        <f aca="false">VLOOKUP(H270,PersonelListesi!A$1:K$46,14,FALSE())</f>
        <v>#VALUE!</v>
      </c>
      <c r="G270" s="221"/>
      <c r="H270" s="227" t="s">
        <v>73</v>
      </c>
      <c r="I270" s="228" t="n">
        <f aca="false">VLOOKUP(H270,PersonelListesi!A$1:G$42,6,FALSE())</f>
        <v>22104</v>
      </c>
      <c r="J270" s="228" t="n">
        <f aca="false">VLOOKUP(H270,PersonelListesi!A$1:G$42,7,FALSE())</f>
        <v>22104</v>
      </c>
      <c r="K270" s="214" t="n">
        <v>0</v>
      </c>
      <c r="L270" s="228" t="e">
        <f aca="false">bordro[[#This Row],[E.]]+bordro[[#This Row],[SGK-BNK]]</f>
        <v>#VALUE!</v>
      </c>
      <c r="O270" s="212"/>
    </row>
    <row r="271" customFormat="false" ht="15" hidden="false" customHeight="true" outlineLevel="0" collapsed="false">
      <c r="B271" s="208" t="n">
        <v>2024</v>
      </c>
      <c r="C271" s="209" t="n">
        <v>11</v>
      </c>
      <c r="D271" s="226" t="str">
        <f aca="false">VLOOKUP(H271,PersonelListesi!A$1:K$46,4,FALSE())</f>
        <v>_D.ELEMAN</v>
      </c>
      <c r="E271" s="221" t="e">
        <f aca="false">VLOOKUP(H271,PersonelListesi!A$1:K$46,13,FALSE())</f>
        <v>#VALUE!</v>
      </c>
      <c r="F271" s="221" t="e">
        <f aca="false">VLOOKUP(H271,PersonelListesi!A$1:K$46,14,FALSE())</f>
        <v>#VALUE!</v>
      </c>
      <c r="G271" s="221" t="s">
        <v>238</v>
      </c>
      <c r="H271" s="227" t="s">
        <v>85</v>
      </c>
      <c r="I271" s="228" t="n">
        <f aca="false">VLOOKUP(H271,PersonelListesi!A$1:G$42,6,FALSE())</f>
        <v>48000</v>
      </c>
      <c r="J271" s="228" t="n">
        <f aca="false">VLOOKUP(H271,PersonelListesi!A$1:G$42,7,FALSE())</f>
        <v>1670</v>
      </c>
      <c r="K271" s="214" t="n">
        <v>38330</v>
      </c>
      <c r="L271" s="228" t="e">
        <f aca="false">bordro[[#This Row],[E.]]+bordro[[#This Row],[SGK-BNK]]</f>
        <v>#VALUE!</v>
      </c>
      <c r="O271" s="212"/>
    </row>
    <row r="272" customFormat="false" ht="15" hidden="false" customHeight="true" outlineLevel="0" collapsed="false">
      <c r="B272" s="208" t="n">
        <v>2024</v>
      </c>
      <c r="C272" s="209" t="n">
        <v>11</v>
      </c>
      <c r="D272" s="226" t="str">
        <f aca="false">VLOOKUP(H272,PersonelListesi!A$1:K$46,4,FALSE())</f>
        <v>_D.ELEMAN</v>
      </c>
      <c r="E272" s="221" t="e">
        <f aca="false">VLOOKUP(H272,PersonelListesi!A$1:K$46,13,FALSE())</f>
        <v>#VALUE!</v>
      </c>
      <c r="F272" s="221" t="e">
        <f aca="false">VLOOKUP(H272,PersonelListesi!A$1:K$46,14,FALSE())</f>
        <v>#VALUE!</v>
      </c>
      <c r="G272" s="221" t="s">
        <v>238</v>
      </c>
      <c r="H272" s="227" t="s">
        <v>87</v>
      </c>
      <c r="I272" s="228" t="n">
        <f aca="false">VLOOKUP(H272,PersonelListesi!A$1:G$42,6,FALSE())</f>
        <v>52000</v>
      </c>
      <c r="J272" s="228" t="n">
        <f aca="false">VLOOKUP(H272,PersonelListesi!A$1:G$42,7,FALSE())</f>
        <v>40000</v>
      </c>
      <c r="K272" s="214" t="n">
        <v>5000</v>
      </c>
      <c r="L272" s="228" t="e">
        <f aca="false">bordro[[#This Row],[E.]]+bordro[[#This Row],[SGK-BNK]]</f>
        <v>#VALUE!</v>
      </c>
      <c r="O272" s="212"/>
    </row>
    <row r="273" customFormat="false" ht="15" hidden="false" customHeight="true" outlineLevel="0" collapsed="false">
      <c r="B273" s="208" t="n">
        <v>2024</v>
      </c>
      <c r="C273" s="209" t="n">
        <v>11</v>
      </c>
      <c r="D273" s="226" t="str">
        <f aca="false">VLOOKUP(H273,PersonelListesi!A$1:K$46,4,FALSE())</f>
        <v>_OPERATÖR</v>
      </c>
      <c r="E273" s="221" t="e">
        <f aca="false">VLOOKUP(H273,PersonelListesi!A$1:K$46,13,FALSE())</f>
        <v>#VALUE!</v>
      </c>
      <c r="F273" s="221" t="e">
        <f aca="false">VLOOKUP(H273,PersonelListesi!A$1:K$46,14,FALSE())</f>
        <v>#VALUE!</v>
      </c>
      <c r="G273" s="221" t="s">
        <v>238</v>
      </c>
      <c r="H273" s="227" t="s">
        <v>93</v>
      </c>
      <c r="I273" s="228" t="n">
        <f aca="false">VLOOKUP(H273,PersonelListesi!A$1:G$42,6,FALSE())</f>
        <v>46000</v>
      </c>
      <c r="J273" s="228" t="n">
        <f aca="false">VLOOKUP(H273,PersonelListesi!A$1:G$42,7,FALSE())</f>
        <v>2335</v>
      </c>
      <c r="K273" s="214" t="n">
        <v>37665</v>
      </c>
      <c r="L273" s="228" t="e">
        <f aca="false">bordro[[#This Row],[E.]]+bordro[[#This Row],[SGK-BNK]]</f>
        <v>#VALUE!</v>
      </c>
      <c r="O273" s="212"/>
    </row>
    <row r="274" customFormat="false" ht="15" hidden="false" customHeight="true" outlineLevel="0" collapsed="false">
      <c r="B274" s="208" t="n">
        <v>2024</v>
      </c>
      <c r="C274" s="209" t="n">
        <v>11</v>
      </c>
      <c r="D274" s="226" t="str">
        <f aca="false">VLOOKUP(H274,PersonelListesi!A$1:K$46,4,FALSE())</f>
        <v>_ŞOFÖR</v>
      </c>
      <c r="E274" s="221" t="e">
        <f aca="false">VLOOKUP(H274,PersonelListesi!A$1:K$46,13,FALSE())</f>
        <v>#VALUE!</v>
      </c>
      <c r="F274" s="221" t="e">
        <f aca="false">VLOOKUP(H274,PersonelListesi!A$1:K$46,14,FALSE())</f>
        <v>#VALUE!</v>
      </c>
      <c r="G274" s="221" t="s">
        <v>238</v>
      </c>
      <c r="H274" s="227" t="s">
        <v>95</v>
      </c>
      <c r="I274" s="228" t="n">
        <f aca="false">VLOOKUP(H274,PersonelListesi!A$1:G$42,6,FALSE())</f>
        <v>43000</v>
      </c>
      <c r="J274" s="228" t="n">
        <f aca="false">VLOOKUP(H274,PersonelListesi!A$1:G$42,7,FALSE())</f>
        <v>2000</v>
      </c>
      <c r="K274" s="214" t="n">
        <v>35499.9</v>
      </c>
      <c r="L274" s="228" t="e">
        <f aca="false">bordro[[#This Row],[E.]]+bordro[[#This Row],[SGK-BNK]]</f>
        <v>#VALUE!</v>
      </c>
      <c r="O274" s="212"/>
    </row>
    <row r="275" customFormat="false" ht="15" hidden="false" customHeight="true" outlineLevel="0" collapsed="false">
      <c r="B275" s="208" t="n">
        <v>2024</v>
      </c>
      <c r="C275" s="209" t="n">
        <v>11</v>
      </c>
      <c r="D275" s="226" t="str">
        <f aca="false">VLOOKUP(H275,PersonelListesi!A$1:K$46,4,FALSE())</f>
        <v>_MÜHNEDİS</v>
      </c>
      <c r="E275" s="221" t="e">
        <f aca="false">VLOOKUP(H275,PersonelListesi!A$1:K$46,13,FALSE())</f>
        <v>#VALUE!</v>
      </c>
      <c r="F275" s="221" t="e">
        <f aca="false">VLOOKUP(H275,PersonelListesi!A$1:K$46,14,FALSE())</f>
        <v>#VALUE!</v>
      </c>
      <c r="G275" s="221"/>
      <c r="H275" s="227" t="s">
        <v>97</v>
      </c>
      <c r="I275" s="228" t="n">
        <f aca="false">VLOOKUP(H275,PersonelListesi!A$1:G$42,6,FALSE())</f>
        <v>57500</v>
      </c>
      <c r="J275" s="228" t="n">
        <f aca="false">VLOOKUP(H275,PersonelListesi!A$1:G$42,7,FALSE())</f>
        <v>35000</v>
      </c>
      <c r="K275" s="214" t="n">
        <v>15000</v>
      </c>
      <c r="L275" s="228" t="e">
        <f aca="false">bordro[[#This Row],[E.]]+bordro[[#This Row],[SGK-BNK]]</f>
        <v>#VALUE!</v>
      </c>
      <c r="O275" s="212"/>
    </row>
    <row r="276" customFormat="false" ht="15" hidden="false" customHeight="true" outlineLevel="0" collapsed="false">
      <c r="B276" s="208" t="n">
        <v>2024</v>
      </c>
      <c r="C276" s="209" t="n">
        <v>11</v>
      </c>
      <c r="D276" s="226" t="str">
        <f aca="false">VLOOKUP(H276,PersonelListesi!A$1:K$46,4,FALSE())</f>
        <v>_KANTAR</v>
      </c>
      <c r="E276" s="221" t="e">
        <f aca="false">VLOOKUP(H276,PersonelListesi!A$1:K$46,13,FALSE())</f>
        <v>#VALUE!</v>
      </c>
      <c r="F276" s="221" t="e">
        <f aca="false">VLOOKUP(H276,PersonelListesi!A$1:K$46,14,FALSE())</f>
        <v>#VALUE!</v>
      </c>
      <c r="G276" s="221" t="s">
        <v>238</v>
      </c>
      <c r="H276" s="227" t="s">
        <v>100</v>
      </c>
      <c r="I276" s="228" t="n">
        <f aca="false">VLOOKUP(H276,PersonelListesi!A$1:G$42,6,FALSE())</f>
        <v>40000</v>
      </c>
      <c r="J276" s="228" t="n">
        <f aca="false">VLOOKUP(H276,PersonelListesi!A$1:G$42,7,FALSE())</f>
        <v>33000</v>
      </c>
      <c r="K276" s="214" t="n">
        <v>0</v>
      </c>
      <c r="L276" s="228" t="e">
        <f aca="false">bordro[[#This Row],[E.]]+bordro[[#This Row],[SGK-BNK]]</f>
        <v>#VALUE!</v>
      </c>
      <c r="O276" s="212"/>
    </row>
    <row r="277" customFormat="false" ht="15" hidden="false" customHeight="true" outlineLevel="0" collapsed="false">
      <c r="B277" s="208" t="n">
        <v>2024</v>
      </c>
      <c r="C277" s="209" t="n">
        <v>11</v>
      </c>
      <c r="D277" s="226" t="str">
        <f aca="false">VLOOKUP(H277,PersonelListesi!A$1:K$46,4,FALSE())</f>
        <v>_ŞOFÖR</v>
      </c>
      <c r="E277" s="221" t="e">
        <f aca="false">VLOOKUP(H277,PersonelListesi!A$1:K$46,13,FALSE())</f>
        <v>#VALUE!</v>
      </c>
      <c r="F277" s="221" t="e">
        <f aca="false">VLOOKUP(H277,PersonelListesi!A$1:K$46,14,FALSE())</f>
        <v>#VALUE!</v>
      </c>
      <c r="G277" s="221" t="s">
        <v>238</v>
      </c>
      <c r="H277" s="227" t="s">
        <v>102</v>
      </c>
      <c r="I277" s="228" t="n">
        <f aca="false">VLOOKUP(H277,PersonelListesi!A$1:G$42,6,FALSE())</f>
        <v>40000</v>
      </c>
      <c r="J277" s="228" t="n">
        <f aca="false">VLOOKUP(H277,PersonelListesi!A$1:G$42,7,FALSE())</f>
        <v>0</v>
      </c>
      <c r="K277" s="214" t="n">
        <v>33000</v>
      </c>
      <c r="L277" s="228" t="e">
        <f aca="false">bordro[[#This Row],[E.]]+bordro[[#This Row],[SGK-BNK]]</f>
        <v>#VALUE!</v>
      </c>
      <c r="O277" s="212"/>
    </row>
    <row r="278" customFormat="false" ht="15" hidden="false" customHeight="true" outlineLevel="0" collapsed="false">
      <c r="B278" s="208" t="n">
        <v>2024</v>
      </c>
      <c r="C278" s="209" t="n">
        <v>11</v>
      </c>
      <c r="D278" s="226" t="str">
        <f aca="false">VLOOKUP(H278,PersonelListesi!A$1:K$46,4,FALSE())</f>
        <v>_TAMİR</v>
      </c>
      <c r="E278" s="221" t="e">
        <f aca="false">VLOOKUP(H278,PersonelListesi!A$1:K$46,13,FALSE())</f>
        <v>#VALUE!</v>
      </c>
      <c r="F278" s="221" t="e">
        <f aca="false">VLOOKUP(H278,PersonelListesi!A$1:K$46,14,FALSE())</f>
        <v>#VALUE!</v>
      </c>
      <c r="G278" s="221" t="s">
        <v>238</v>
      </c>
      <c r="H278" s="229" t="s">
        <v>104</v>
      </c>
      <c r="I278" s="228" t="n">
        <f aca="false">VLOOKUP(H278,PersonelListesi!A$1:G$42,6,FALSE())</f>
        <v>15000</v>
      </c>
      <c r="J278" s="228" t="n">
        <f aca="false">VLOOKUP(H278,PersonelListesi!A$1:G$42,7,FALSE())</f>
        <v>15000</v>
      </c>
      <c r="K278" s="214" t="n">
        <v>0</v>
      </c>
      <c r="L278" s="228" t="e">
        <f aca="false">bordro[[#This Row],[E.]]+bordro[[#This Row],[SGK-BNK]]</f>
        <v>#VALUE!</v>
      </c>
      <c r="O278" s="212"/>
    </row>
    <row r="279" customFormat="false" ht="15" hidden="false" customHeight="true" outlineLevel="0" collapsed="false">
      <c r="B279" s="208" t="n">
        <v>2024</v>
      </c>
      <c r="C279" s="209" t="n">
        <v>11</v>
      </c>
      <c r="D279" s="226" t="str">
        <f aca="false">VLOOKUP(H279,PersonelListesi!A$1:K$46,4,FALSE())</f>
        <v>_OPERATÖR</v>
      </c>
      <c r="E279" s="221" t="e">
        <f aca="false">VLOOKUP(H279,PersonelListesi!A$1:K$46,13,FALSE())</f>
        <v>#VALUE!</v>
      </c>
      <c r="F279" s="221" t="e">
        <f aca="false">VLOOKUP(H279,PersonelListesi!A$1:K$46,14,FALSE())</f>
        <v>#VALUE!</v>
      </c>
      <c r="G279" s="221" t="s">
        <v>238</v>
      </c>
      <c r="H279" s="233" t="s">
        <v>103</v>
      </c>
      <c r="I279" s="228" t="n">
        <f aca="false">VLOOKUP(H279,PersonelListesi!A$1:G$42,6,FALSE())</f>
        <v>50000</v>
      </c>
      <c r="J279" s="228" t="n">
        <f aca="false">VLOOKUP(H279,PersonelListesi!A$1:G$42,7,FALSE())</f>
        <v>2335</v>
      </c>
      <c r="K279" s="214" t="n">
        <v>37331.6666666667</v>
      </c>
      <c r="L279" s="228" t="e">
        <f aca="false">bordro[[#This Row],[E.]]+bordro[[#This Row],[SGK-BNK]]</f>
        <v>#VALUE!</v>
      </c>
      <c r="M279" s="213" t="n">
        <f aca="false">42500/30*-2</f>
        <v>-2833.33333333333</v>
      </c>
      <c r="N279" s="215" t="s">
        <v>213</v>
      </c>
      <c r="O279" s="212"/>
    </row>
    <row r="280" customFormat="false" ht="15" hidden="false" customHeight="true" outlineLevel="0" collapsed="false">
      <c r="B280" s="208" t="n">
        <v>2024</v>
      </c>
      <c r="C280" s="209" t="n">
        <v>11</v>
      </c>
      <c r="D280" s="226" t="str">
        <f aca="false">VLOOKUP(H280,PersonelListesi!A$1:K$46,4,FALSE())</f>
        <v>_OPERATÖR</v>
      </c>
      <c r="E280" s="221" t="e">
        <f aca="false">VLOOKUP(H280,PersonelListesi!A$1:K$46,13,FALSE())</f>
        <v>#VALUE!</v>
      </c>
      <c r="F280" s="221" t="e">
        <f aca="false">VLOOKUP(H280,PersonelListesi!A$1:K$46,14,FALSE())</f>
        <v>#VALUE!</v>
      </c>
      <c r="G280" s="221" t="s">
        <v>238</v>
      </c>
      <c r="H280" s="229" t="s">
        <v>109</v>
      </c>
      <c r="I280" s="228" t="n">
        <f aca="false">VLOOKUP(H280,PersonelListesi!A$1:G$42,6,FALSE())</f>
        <v>50000</v>
      </c>
      <c r="J280" s="228" t="n">
        <f aca="false">VLOOKUP(H280,PersonelListesi!A$1:G$42,7,FALSE())</f>
        <v>11333</v>
      </c>
      <c r="K280" s="214" t="n">
        <v>0</v>
      </c>
      <c r="L280" s="228" t="e">
        <f aca="false">bordro[[#This Row],[E.]]+bordro[[#This Row],[SGK-BNK]]</f>
        <v>#VALUE!</v>
      </c>
      <c r="O280" s="212"/>
    </row>
    <row r="281" customFormat="false" ht="15" hidden="false" customHeight="true" outlineLevel="0" collapsed="false">
      <c r="B281" s="208" t="n">
        <v>2024</v>
      </c>
      <c r="C281" s="209" t="n">
        <v>11</v>
      </c>
      <c r="D281" s="226" t="str">
        <f aca="false">VLOOKUP(H281,PersonelListesi!A$1:K$46,4,FALSE())</f>
        <v>_MUTFAK</v>
      </c>
      <c r="E281" s="221" t="e">
        <f aca="false">VLOOKUP(H281,PersonelListesi!A$1:K$46,13,FALSE())</f>
        <v>#VALUE!</v>
      </c>
      <c r="F281" s="221" t="e">
        <f aca="false">VLOOKUP(H281,PersonelListesi!A$1:K$46,14,FALSE())</f>
        <v>#VALUE!</v>
      </c>
      <c r="G281" s="221" t="s">
        <v>238</v>
      </c>
      <c r="H281" s="229" t="s">
        <v>111</v>
      </c>
      <c r="I281" s="228" t="n">
        <f aca="false">VLOOKUP(H281,PersonelListesi!A$1:G$42,6,FALSE())</f>
        <v>30000</v>
      </c>
      <c r="J281" s="228" t="n">
        <f aca="false">VLOOKUP(H281,PersonelListesi!A$1:G$42,7,FALSE())</f>
        <v>25000</v>
      </c>
      <c r="K281" s="214" t="n">
        <v>0</v>
      </c>
      <c r="L281" s="228" t="e">
        <f aca="false">bordro[[#This Row],[E.]]+bordro[[#This Row],[SGK-BNK]]</f>
        <v>#VALUE!</v>
      </c>
      <c r="O281" s="212"/>
    </row>
    <row r="282" customFormat="false" ht="15" hidden="false" customHeight="true" outlineLevel="0" collapsed="false">
      <c r="B282" s="208" t="n">
        <v>2024</v>
      </c>
      <c r="C282" s="209" t="n">
        <v>11</v>
      </c>
      <c r="D282" s="226" t="str">
        <f aca="false">VLOOKUP(H282,PersonelListesi!A$1:K$46,4,FALSE())</f>
        <v>_D.ELEMAN</v>
      </c>
      <c r="E282" s="221" t="e">
        <f aca="false">VLOOKUP(H282,PersonelListesi!A$1:K$46,13,FALSE())</f>
        <v>#VALUE!</v>
      </c>
      <c r="F282" s="221" t="e">
        <f aca="false">VLOOKUP(H282,PersonelListesi!A$1:K$46,14,FALSE())</f>
        <v>#VALUE!</v>
      </c>
      <c r="G282" s="221" t="s">
        <v>238</v>
      </c>
      <c r="H282" s="229" t="s">
        <v>114</v>
      </c>
      <c r="I282" s="228" t="n">
        <f aca="false">VLOOKUP(H282,PersonelListesi!A$1:G$42,6,FALSE())</f>
        <v>0</v>
      </c>
      <c r="J282" s="228" t="n">
        <f aca="false">VLOOKUP(H282,PersonelListesi!A$1:G$42,7,FALSE())</f>
        <v>0</v>
      </c>
      <c r="K282" s="214" t="n">
        <v>-9166.66666666667</v>
      </c>
      <c r="L282" s="228" t="e">
        <f aca="false">bordro[[#This Row],[E.]]+bordro[[#This Row],[SGK-BNK]]</f>
        <v>#VALUE!</v>
      </c>
      <c r="M282" s="213" t="n">
        <f aca="false">35000/30*-13</f>
        <v>-15166.6666666667</v>
      </c>
      <c r="N282" s="215" t="s">
        <v>240</v>
      </c>
      <c r="O282" s="212"/>
    </row>
    <row r="283" customFormat="false" ht="15" hidden="false" customHeight="true" outlineLevel="0" collapsed="false">
      <c r="B283" s="208" t="n">
        <v>2024</v>
      </c>
      <c r="C283" s="209" t="n">
        <v>11</v>
      </c>
      <c r="D283" s="226" t="str">
        <f aca="false">VLOOKUP(H283,PersonelListesi!A$1:K$46,4,FALSE())</f>
        <v>_BEKÇİ</v>
      </c>
      <c r="E283" s="221" t="e">
        <f aca="false">VLOOKUP(H283,PersonelListesi!A$1:K$46,13,FALSE())</f>
        <v>#VALUE!</v>
      </c>
      <c r="F283" s="221" t="e">
        <f aca="false">VLOOKUP(H283,PersonelListesi!A$1:K$46,14,FALSE())</f>
        <v>#VALUE!</v>
      </c>
      <c r="G283" s="221" t="s">
        <v>238</v>
      </c>
      <c r="H283" s="229" t="s">
        <v>115</v>
      </c>
      <c r="I283" s="228" t="n">
        <f aca="false">VLOOKUP(H283,PersonelListesi!A$1:G$42,6,FALSE())</f>
        <v>30000</v>
      </c>
      <c r="J283" s="228" t="n">
        <f aca="false">VLOOKUP(H283,PersonelListesi!A$1:G$42,7,FALSE())</f>
        <v>0</v>
      </c>
      <c r="K283" s="214" t="n">
        <v>25000</v>
      </c>
      <c r="L283" s="228" t="e">
        <f aca="false">bordro[[#This Row],[E.]]+bordro[[#This Row],[SGK-BNK]]</f>
        <v>#VALUE!</v>
      </c>
      <c r="O283" s="212"/>
    </row>
    <row r="284" customFormat="false" ht="15" hidden="false" customHeight="true" outlineLevel="0" collapsed="false">
      <c r="B284" s="208" t="n">
        <v>2024</v>
      </c>
      <c r="C284" s="209" t="n">
        <v>11</v>
      </c>
      <c r="D284" s="226" t="str">
        <f aca="false">VLOOKUP(H284,PersonelListesi!A$1:K$46,4,FALSE())</f>
        <v>_ŞOFÖR</v>
      </c>
      <c r="E284" s="221" t="e">
        <f aca="false">VLOOKUP(H284,PersonelListesi!A$1:K$46,13,FALSE())</f>
        <v>#VALUE!</v>
      </c>
      <c r="F284" s="221" t="e">
        <f aca="false">VLOOKUP(H284,PersonelListesi!A$1:K$46,14,FALSE())</f>
        <v>#VALUE!</v>
      </c>
      <c r="G284" s="221" t="s">
        <v>238</v>
      </c>
      <c r="H284" s="233" t="s">
        <v>48</v>
      </c>
      <c r="I284" s="228" t="n">
        <f aca="false">VLOOKUP(H284,PersonelListesi!A$1:G$42,6,FALSE())</f>
        <v>40000</v>
      </c>
      <c r="J284" s="228" t="n">
        <f aca="false">VLOOKUP(H284,PersonelListesi!A$1:G$42,7,FALSE())</f>
        <v>0</v>
      </c>
      <c r="K284" s="214" t="n">
        <v>30999.9</v>
      </c>
      <c r="L284" s="228" t="e">
        <f aca="false">bordro[[#This Row],[E.]]+bordro[[#This Row],[SGK-BNK]]</f>
        <v>#VALUE!</v>
      </c>
      <c r="O284" s="212"/>
    </row>
    <row r="285" customFormat="false" ht="15" hidden="false" customHeight="true" outlineLevel="0" collapsed="false">
      <c r="B285" s="208" t="n">
        <v>2024</v>
      </c>
      <c r="C285" s="209" t="n">
        <v>11</v>
      </c>
      <c r="D285" s="226" t="str">
        <f aca="false">VLOOKUP(H285,PersonelListesi!A$1:K$46,4,FALSE())</f>
        <v>_ŞOFÖR</v>
      </c>
      <c r="E285" s="221" t="e">
        <f aca="false">VLOOKUP(H285,PersonelListesi!A$1:K$46,13,FALSE())</f>
        <v>#VALUE!</v>
      </c>
      <c r="F285" s="221" t="e">
        <f aca="false">VLOOKUP(H285,PersonelListesi!A$1:K$46,14,FALSE())</f>
        <v>#VALUE!</v>
      </c>
      <c r="G285" s="221" t="s">
        <v>238</v>
      </c>
      <c r="H285" s="233" t="s">
        <v>116</v>
      </c>
      <c r="I285" s="228" t="n">
        <f aca="false">VLOOKUP(H285,PersonelListesi!A$1:G$42,6,FALSE())</f>
        <v>43000</v>
      </c>
      <c r="J285" s="228" t="n">
        <f aca="false">VLOOKUP(H285,PersonelListesi!A$1:G$42,7,FALSE())</f>
        <v>1603</v>
      </c>
      <c r="K285" s="214" t="n">
        <v>33000</v>
      </c>
      <c r="L285" s="228" t="e">
        <f aca="false">bordro[[#This Row],[E.]]+bordro[[#This Row],[SGK-BNK]]</f>
        <v>#VALUE!</v>
      </c>
      <c r="O285" s="212"/>
    </row>
    <row r="286" customFormat="false" ht="15" hidden="false" customHeight="true" outlineLevel="0" collapsed="false">
      <c r="B286" s="208" t="n">
        <v>2024</v>
      </c>
      <c r="C286" s="209" t="n">
        <v>11</v>
      </c>
      <c r="D286" s="226" t="str">
        <f aca="false">VLOOKUP(H286,PersonelListesi!A$1:K$46,4,FALSE())</f>
        <v>_OPERATÖR</v>
      </c>
      <c r="E286" s="221" t="e">
        <f aca="false">VLOOKUP(H286,PersonelListesi!A$1:K$46,13,FALSE())</f>
        <v>#VALUE!</v>
      </c>
      <c r="F286" s="221" t="e">
        <f aca="false">VLOOKUP(H286,PersonelListesi!A$1:K$46,14,FALSE())</f>
        <v>#VALUE!</v>
      </c>
      <c r="G286" s="221" t="s">
        <v>238</v>
      </c>
      <c r="H286" s="233" t="s">
        <v>117</v>
      </c>
      <c r="I286" s="228" t="n">
        <f aca="false">VLOOKUP(H286,PersonelListesi!A$1:G$42,6,FALSE())</f>
        <v>50000</v>
      </c>
      <c r="J286" s="228" t="n">
        <f aca="false">VLOOKUP(H286,PersonelListesi!A$1:G$42,7,FALSE())</f>
        <v>50000</v>
      </c>
      <c r="K286" s="214" t="n">
        <v>0</v>
      </c>
      <c r="L286" s="228" t="e">
        <f aca="false">bordro[[#This Row],[E.]]+bordro[[#This Row],[SGK-BNK]]</f>
        <v>#VALUE!</v>
      </c>
      <c r="M286" s="213" t="n">
        <v>-2833.33</v>
      </c>
      <c r="N286" s="215" t="s">
        <v>213</v>
      </c>
      <c r="O286" s="212"/>
    </row>
    <row r="287" customFormat="false" ht="15" hidden="false" customHeight="true" outlineLevel="0" collapsed="false">
      <c r="B287" s="208" t="n">
        <v>2024</v>
      </c>
      <c r="C287" s="209" t="n">
        <v>11</v>
      </c>
      <c r="D287" s="226" t="str">
        <f aca="false">VLOOKUP(H287,PersonelListesi!A$1:K$46,4,FALSE())</f>
        <v>_AİLE</v>
      </c>
      <c r="E287" s="221" t="e">
        <f aca="false">VLOOKUP(H287,PersonelListesi!A$1:K$46,13,FALSE())</f>
        <v>#VALUE!</v>
      </c>
      <c r="F287" s="221" t="e">
        <f aca="false">VLOOKUP(H287,PersonelListesi!A$1:K$46,14,FALSE())</f>
        <v>#VALUE!</v>
      </c>
      <c r="G287" s="221" t="s">
        <v>238</v>
      </c>
      <c r="H287" s="233" t="s">
        <v>127</v>
      </c>
      <c r="I287" s="228" t="n">
        <f aca="false">VLOOKUP(H287,PersonelListesi!A$1:G$42,6,FALSE())</f>
        <v>30000</v>
      </c>
      <c r="J287" s="228" t="n">
        <f aca="false">VLOOKUP(H287,PersonelListesi!A$1:G$42,7,FALSE())</f>
        <v>0</v>
      </c>
      <c r="K287" s="214" t="e">
        <f aca="false">#N/A</f>
        <v>#N/A</v>
      </c>
      <c r="L287" s="228" t="e">
        <f aca="false">bordro[[#This Row],[E.]]+bordro[[#This Row],[SGK-BNK]]</f>
        <v>#VALUE!</v>
      </c>
      <c r="O287" s="212"/>
    </row>
    <row r="288" customFormat="false" ht="15" hidden="false" customHeight="true" outlineLevel="0" collapsed="false">
      <c r="B288" s="208" t="n">
        <v>2024</v>
      </c>
      <c r="C288" s="209" t="n">
        <v>11</v>
      </c>
      <c r="D288" s="226" t="str">
        <f aca="false">VLOOKUP(H288,PersonelListesi!A$1:K$46,4,FALSE())</f>
        <v>_AİLE</v>
      </c>
      <c r="E288" s="221" t="e">
        <f aca="false">VLOOKUP(H288,PersonelListesi!A$1:K$46,13,FALSE())</f>
        <v>#VALUE!</v>
      </c>
      <c r="F288" s="221" t="e">
        <f aca="false">VLOOKUP(H288,PersonelListesi!A$1:K$46,14,FALSE())</f>
        <v>#VALUE!</v>
      </c>
      <c r="G288" s="221"/>
      <c r="H288" s="229" t="s">
        <v>129</v>
      </c>
      <c r="I288" s="228" t="n">
        <f aca="false">VLOOKUP(H288,PersonelListesi!A$1:G$42,6,FALSE())</f>
        <v>40000</v>
      </c>
      <c r="J288" s="228" t="n">
        <f aca="false">VLOOKUP(H288,PersonelListesi!A$1:G$42,7,FALSE())</f>
        <v>22104</v>
      </c>
      <c r="K288" s="214" t="n">
        <v>12998</v>
      </c>
      <c r="L288" s="228" t="e">
        <f aca="false">bordro[[#This Row],[E.]]+bordro[[#This Row],[SGK-BNK]]</f>
        <v>#VALUE!</v>
      </c>
      <c r="O288" s="212"/>
    </row>
    <row r="289" customFormat="false" ht="14.25" hidden="false" customHeight="true" outlineLevel="0" collapsed="false">
      <c r="B289" s="208" t="n">
        <v>2024</v>
      </c>
      <c r="C289" s="209" t="n">
        <v>11</v>
      </c>
      <c r="D289" s="226" t="str">
        <f aca="false">VLOOKUP(H289,PersonelListesi!A$1:K$46,4,FALSE())</f>
        <v>_AİLE</v>
      </c>
      <c r="E289" s="221" t="e">
        <f aca="false">VLOOKUP(H289,PersonelListesi!A$1:K$46,13,FALSE())</f>
        <v>#VALUE!</v>
      </c>
      <c r="F289" s="221" t="e">
        <f aca="false">VLOOKUP(H289,PersonelListesi!A$1:K$46,14,FALSE())</f>
        <v>#VALUE!</v>
      </c>
      <c r="G289" s="221"/>
      <c r="H289" s="229" t="s">
        <v>62</v>
      </c>
      <c r="I289" s="228" t="n">
        <f aca="false">VLOOKUP(H289,PersonelListesi!A$1:G$42,6,FALSE())</f>
        <v>30000</v>
      </c>
      <c r="J289" s="228" t="n">
        <f aca="false">VLOOKUP(H289,PersonelListesi!A$1:G$42,7,FALSE())</f>
        <v>0</v>
      </c>
      <c r="K289" s="214" t="n">
        <v>4998</v>
      </c>
      <c r="L289" s="228" t="e">
        <f aca="false">bordro[[#This Row],[E.]]+bordro[[#This Row],[SGK-BNK]]</f>
        <v>#VALUE!</v>
      </c>
      <c r="O289" s="212"/>
    </row>
    <row r="290" customFormat="false" ht="15" hidden="false" customHeight="true" outlineLevel="0" collapsed="false">
      <c r="B290" s="208" t="n">
        <v>2024</v>
      </c>
      <c r="C290" s="209" t="n">
        <v>11</v>
      </c>
      <c r="D290" s="226" t="str">
        <f aca="false">VLOOKUP(H290,PersonelListesi!A$1:K$46,4,FALSE())</f>
        <v>_AİLE</v>
      </c>
      <c r="E290" s="221" t="e">
        <f aca="false">VLOOKUP(H290,PersonelListesi!A$1:K$46,13,FALSE())</f>
        <v>#VALUE!</v>
      </c>
      <c r="F290" s="221" t="e">
        <f aca="false">VLOOKUP(H290,PersonelListesi!A$1:K$46,14,FALSE())</f>
        <v>#VALUE!</v>
      </c>
      <c r="G290" s="221"/>
      <c r="H290" s="229" t="s">
        <v>134</v>
      </c>
      <c r="I290" s="228" t="n">
        <v>30000</v>
      </c>
      <c r="J290" s="228" t="n">
        <f aca="false">VLOOKUP(H290,PersonelListesi!A$1:G$42,7,FALSE())</f>
        <v>0</v>
      </c>
      <c r="K290" s="214" t="n">
        <v>30000</v>
      </c>
      <c r="L290" s="228" t="e">
        <f aca="false">bordro[[#This Row],[E.]]+bordro[[#This Row],[SGK-BNK]]</f>
        <v>#VALUE!</v>
      </c>
      <c r="M290" s="228"/>
      <c r="O290" s="212"/>
    </row>
    <row r="291" customFormat="false" ht="15" hidden="false" customHeight="true" outlineLevel="0" collapsed="false">
      <c r="B291" s="208" t="n">
        <v>2024</v>
      </c>
      <c r="C291" s="209" t="n">
        <v>11</v>
      </c>
      <c r="D291" s="226" t="str">
        <f aca="false">VLOOKUP(H291,PersonelListesi!A$1:K$46,4,FALSE())</f>
        <v>_AİLE</v>
      </c>
      <c r="E291" s="221" t="e">
        <f aca="false">VLOOKUP(H291,PersonelListesi!A$1:K$46,13,FALSE())</f>
        <v>#VALUE!</v>
      </c>
      <c r="F291" s="221" t="e">
        <f aca="false">VLOOKUP(H291,PersonelListesi!A$1:K$46,14,FALSE())</f>
        <v>#VALUE!</v>
      </c>
      <c r="G291" s="221"/>
      <c r="H291" s="229" t="s">
        <v>133</v>
      </c>
      <c r="I291" s="228" t="n">
        <v>50000</v>
      </c>
      <c r="J291" s="228" t="n">
        <f aca="false">VLOOKUP(H291,PersonelListesi!A$1:G$42,7,FALSE())</f>
        <v>30000</v>
      </c>
      <c r="K291" s="214" t="n">
        <v>50000</v>
      </c>
      <c r="L291" s="228" t="e">
        <f aca="false">bordro[[#This Row],[E.]]+bordro[[#This Row],[SGK-BNK]]</f>
        <v>#VALUE!</v>
      </c>
      <c r="M291" s="228"/>
      <c r="O291" s="212"/>
    </row>
    <row r="292" customFormat="false" ht="15" hidden="false" customHeight="true" outlineLevel="0" collapsed="false">
      <c r="B292" s="208" t="n">
        <v>2024</v>
      </c>
      <c r="C292" s="209" t="n">
        <v>11</v>
      </c>
      <c r="D292" s="226" t="str">
        <f aca="false">VLOOKUP(H292,PersonelListesi!A$1:K$46,4,FALSE())</f>
        <v>_AİLE</v>
      </c>
      <c r="E292" s="221" t="e">
        <f aca="false">VLOOKUP(H292,PersonelListesi!A$1:K$46,13,FALSE())</f>
        <v>#VALUE!</v>
      </c>
      <c r="F292" s="221" t="e">
        <f aca="false">VLOOKUP(H292,PersonelListesi!A$1:K$46,14,FALSE())</f>
        <v>#VALUE!</v>
      </c>
      <c r="G292" s="221"/>
      <c r="H292" s="229" t="s">
        <v>55</v>
      </c>
      <c r="I292" s="228" t="n">
        <v>50000</v>
      </c>
      <c r="J292" s="228" t="n">
        <f aca="false">VLOOKUP(H292,PersonelListesi!A$1:G$42,7,FALSE())</f>
        <v>30000</v>
      </c>
      <c r="K292" s="214" t="n">
        <v>50000</v>
      </c>
      <c r="L292" s="228" t="e">
        <f aca="false">bordro[[#This Row],[E.]]+bordro[[#This Row],[SGK-BNK]]</f>
        <v>#VALUE!</v>
      </c>
      <c r="M292" s="228"/>
      <c r="O292" s="212"/>
    </row>
    <row r="293" customFormat="false" ht="15" hidden="false" customHeight="false" outlineLevel="0" collapsed="false">
      <c r="B293" s="208" t="n">
        <v>2024</v>
      </c>
      <c r="C293" s="209" t="n">
        <v>12</v>
      </c>
      <c r="D293" s="226" t="str">
        <f aca="false">VLOOKUP(H293,PersonelListesi!A$1:K$46,4,FALSE())</f>
        <v>_MUHASEBE</v>
      </c>
      <c r="E293" s="221" t="e">
        <f aca="false">VLOOKUP(H293,PersonelListesi!A$1:K$46,13,FALSE())</f>
        <v>#VALUE!</v>
      </c>
      <c r="F293" s="221" t="e">
        <f aca="false">VLOOKUP(H293,PersonelListesi!A$1:K$46,14,FALSE())</f>
        <v>#VALUE!</v>
      </c>
      <c r="G293" s="221" t="s">
        <v>146</v>
      </c>
      <c r="H293" s="227" t="s">
        <v>79</v>
      </c>
      <c r="I293" s="228" t="n">
        <f aca="false">VLOOKUP(H293,PersonelListesi!A$1:G$42,6,FALSE())</f>
        <v>57500</v>
      </c>
      <c r="J293" s="228" t="n">
        <f aca="false">VLOOKUP(H293,PersonelListesi!A$1:G$42,7,FALSE())</f>
        <v>40000</v>
      </c>
      <c r="K293" s="214" t="n">
        <v>5000</v>
      </c>
      <c r="L293" s="228" t="e">
        <f aca="false">bordro[[#This Row],[E.]]+bordro[[#This Row],[SGK-BNK]]</f>
        <v>#VALUE!</v>
      </c>
      <c r="M293" s="213" t="n">
        <v>-5000</v>
      </c>
      <c r="O293" s="212"/>
    </row>
    <row r="294" customFormat="false" ht="15" hidden="false" customHeight="false" outlineLevel="0" collapsed="false">
      <c r="B294" s="208" t="n">
        <v>2024</v>
      </c>
      <c r="C294" s="209" t="n">
        <v>12</v>
      </c>
      <c r="D294" s="226" t="str">
        <f aca="false">VLOOKUP(H294,PersonelListesi!A$1:K$46,4,FALSE())</f>
        <v>_D.ELEMAN</v>
      </c>
      <c r="E294" s="221" t="e">
        <f aca="false">VLOOKUP(H294,PersonelListesi!A$1:K$46,13,FALSE())</f>
        <v>#VALUE!</v>
      </c>
      <c r="F294" s="221" t="e">
        <f aca="false">VLOOKUP(H294,PersonelListesi!A$1:K$46,14,FALSE())</f>
        <v>#VALUE!</v>
      </c>
      <c r="G294" s="221" t="s">
        <v>146</v>
      </c>
      <c r="H294" s="227" t="s">
        <v>81</v>
      </c>
      <c r="I294" s="228" t="n">
        <f aca="false">VLOOKUP(H294,PersonelListesi!A$1:G$42,6,FALSE())</f>
        <v>75000</v>
      </c>
      <c r="J294" s="228" t="n">
        <f aca="false">VLOOKUP(H294,PersonelListesi!A$1:G$42,7,FALSE())</f>
        <v>2670</v>
      </c>
      <c r="K294" s="214" t="n">
        <v>62330</v>
      </c>
      <c r="L294" s="228" t="e">
        <f aca="false">bordro[[#This Row],[E.]]+bordro[[#This Row],[SGK-BNK]]</f>
        <v>#VALUE!</v>
      </c>
      <c r="O294" s="212"/>
    </row>
    <row r="295" customFormat="false" ht="15" hidden="false" customHeight="false" outlineLevel="0" collapsed="false">
      <c r="B295" s="208" t="n">
        <v>2024</v>
      </c>
      <c r="C295" s="209" t="n">
        <v>12</v>
      </c>
      <c r="D295" s="226" t="str">
        <f aca="false">VLOOKUP(H295,PersonelListesi!A$1:K$46,4,FALSE())</f>
        <v>_MUHASEBE</v>
      </c>
      <c r="E295" s="221" t="e">
        <f aca="false">VLOOKUP(H295,PersonelListesi!A$1:K$46,13,FALSE())</f>
        <v>#VALUE!</v>
      </c>
      <c r="F295" s="221" t="e">
        <f aca="false">VLOOKUP(H295,PersonelListesi!A$1:K$46,14,FALSE())</f>
        <v>#VALUE!</v>
      </c>
      <c r="G295" s="221" t="s">
        <v>146</v>
      </c>
      <c r="H295" s="227" t="s">
        <v>73</v>
      </c>
      <c r="I295" s="228" t="n">
        <f aca="false">VLOOKUP(H295,PersonelListesi!A$1:G$42,6,FALSE())</f>
        <v>22104</v>
      </c>
      <c r="J295" s="228" t="n">
        <f aca="false">VLOOKUP(H295,PersonelListesi!A$1:G$42,7,FALSE())</f>
        <v>22104</v>
      </c>
      <c r="K295" s="214" t="n">
        <v>0</v>
      </c>
      <c r="L295" s="228" t="e">
        <f aca="false">bordro[[#This Row],[E.]]+bordro[[#This Row],[SGK-BNK]]</f>
        <v>#VALUE!</v>
      </c>
      <c r="O295" s="212"/>
    </row>
    <row r="296" customFormat="false" ht="15" hidden="false" customHeight="true" outlineLevel="0" collapsed="false">
      <c r="B296" s="208" t="n">
        <v>2024</v>
      </c>
      <c r="C296" s="209" t="n">
        <v>12</v>
      </c>
      <c r="D296" s="226" t="str">
        <f aca="false">VLOOKUP(H296,PersonelListesi!A$1:K$46,4,FALSE())</f>
        <v>_D.ELEMAN</v>
      </c>
      <c r="E296" s="221" t="e">
        <f aca="false">VLOOKUP(H296,PersonelListesi!A$1:K$46,13,FALSE())</f>
        <v>#VALUE!</v>
      </c>
      <c r="F296" s="221" t="e">
        <f aca="false">VLOOKUP(H296,PersonelListesi!A$1:K$46,14,FALSE())</f>
        <v>#VALUE!</v>
      </c>
      <c r="G296" s="221" t="s">
        <v>147</v>
      </c>
      <c r="H296" s="227" t="s">
        <v>85</v>
      </c>
      <c r="I296" s="228" t="n">
        <f aca="false">VLOOKUP(H296,PersonelListesi!A$1:G$42,6,FALSE())</f>
        <v>48000</v>
      </c>
      <c r="J296" s="228" t="n">
        <f aca="false">VLOOKUP(H296,PersonelListesi!A$1:G$42,7,FALSE())</f>
        <v>1670</v>
      </c>
      <c r="K296" s="214" t="n">
        <v>38330</v>
      </c>
      <c r="L296" s="228" t="e">
        <f aca="false">bordro[[#This Row],[E.]]+bordro[[#This Row],[SGK-BNK]]</f>
        <v>#VALUE!</v>
      </c>
      <c r="O296" s="212"/>
    </row>
    <row r="297" customFormat="false" ht="15" hidden="false" customHeight="true" outlineLevel="0" collapsed="false">
      <c r="B297" s="208" t="n">
        <v>2024</v>
      </c>
      <c r="C297" s="209" t="n">
        <v>12</v>
      </c>
      <c r="D297" s="226" t="str">
        <f aca="false">VLOOKUP(H297,PersonelListesi!A$1:K$46,4,FALSE())</f>
        <v>_D.ELEMAN</v>
      </c>
      <c r="E297" s="221" t="e">
        <f aca="false">VLOOKUP(H297,PersonelListesi!A$1:K$46,13,FALSE())</f>
        <v>#VALUE!</v>
      </c>
      <c r="F297" s="221" t="e">
        <f aca="false">VLOOKUP(H297,PersonelListesi!A$1:K$46,14,FALSE())</f>
        <v>#VALUE!</v>
      </c>
      <c r="G297" s="221" t="s">
        <v>147</v>
      </c>
      <c r="H297" s="227" t="s">
        <v>87</v>
      </c>
      <c r="I297" s="228" t="n">
        <f aca="false">VLOOKUP(H297,PersonelListesi!A$1:G$42,6,FALSE())</f>
        <v>52000</v>
      </c>
      <c r="J297" s="228" t="n">
        <f aca="false">VLOOKUP(H297,PersonelListesi!A$1:G$42,7,FALSE())</f>
        <v>40000</v>
      </c>
      <c r="K297" s="214" t="n">
        <v>5000</v>
      </c>
      <c r="L297" s="228" t="e">
        <f aca="false">bordro[[#This Row],[E.]]+bordro[[#This Row],[SGK-BNK]]</f>
        <v>#VALUE!</v>
      </c>
      <c r="O297" s="212"/>
    </row>
    <row r="298" customFormat="false" ht="15" hidden="false" customHeight="true" outlineLevel="0" collapsed="false">
      <c r="B298" s="208" t="n">
        <v>2024</v>
      </c>
      <c r="C298" s="209" t="n">
        <v>12</v>
      </c>
      <c r="D298" s="226" t="str">
        <f aca="false">VLOOKUP(H298,PersonelListesi!A$1:K$46,4,FALSE())</f>
        <v>_D.ELEMAN</v>
      </c>
      <c r="E298" s="221" t="e">
        <f aca="false">VLOOKUP(H298,PersonelListesi!A$1:K$46,13,FALSE())</f>
        <v>#VALUE!</v>
      </c>
      <c r="F298" s="221" t="e">
        <f aca="false">VLOOKUP(H298,PersonelListesi!A$1:K$46,14,FALSE())</f>
        <v>#VALUE!</v>
      </c>
      <c r="G298" s="221" t="s">
        <v>147</v>
      </c>
      <c r="H298" s="227" t="s">
        <v>89</v>
      </c>
      <c r="I298" s="228" t="n">
        <f aca="false">VLOOKUP(H298,PersonelListesi!A$1:G$42,6,FALSE())</f>
        <v>34500</v>
      </c>
      <c r="J298" s="228" t="n">
        <f aca="false">VLOOKUP(H298,PersonelListesi!A$1:G$42,7,FALSE())</f>
        <v>22104</v>
      </c>
      <c r="K298" s="214" t="n">
        <v>12998</v>
      </c>
      <c r="L298" s="228" t="e">
        <f aca="false">bordro[[#This Row],[E.]]+bordro[[#This Row],[SGK-BNK]]</f>
        <v>#VALUE!</v>
      </c>
      <c r="O298" s="212"/>
    </row>
    <row r="299" customFormat="false" ht="15" hidden="false" customHeight="true" outlineLevel="0" collapsed="false">
      <c r="B299" s="208" t="n">
        <v>2024</v>
      </c>
      <c r="C299" s="209" t="n">
        <v>12</v>
      </c>
      <c r="D299" s="226" t="str">
        <f aca="false">VLOOKUP(H299,PersonelListesi!A$1:K$46,4,FALSE())</f>
        <v>_D.ELEMAN</v>
      </c>
      <c r="E299" s="221" t="e">
        <f aca="false">VLOOKUP(H299,PersonelListesi!A$1:K$46,13,FALSE())</f>
        <v>#VALUE!</v>
      </c>
      <c r="F299" s="221" t="e">
        <f aca="false">VLOOKUP(H299,PersonelListesi!A$1:K$46,14,FALSE())</f>
        <v>#VALUE!</v>
      </c>
      <c r="G299" s="221" t="s">
        <v>147</v>
      </c>
      <c r="H299" s="227" t="s">
        <v>91</v>
      </c>
      <c r="I299" s="228" t="n">
        <f aca="false">VLOOKUP(H299,PersonelListesi!A$1:G$42,6,FALSE())</f>
        <v>34500</v>
      </c>
      <c r="J299" s="228" t="n">
        <f aca="false">VLOOKUP(H299,PersonelListesi!A$1:G$42,7,FALSE())</f>
        <v>1603</v>
      </c>
      <c r="K299" s="214" t="n">
        <v>12998</v>
      </c>
      <c r="L299" s="228" t="e">
        <f aca="false">bordro[[#This Row],[E.]]+bordro[[#This Row],[SGK-BNK]]</f>
        <v>#VALUE!</v>
      </c>
      <c r="O299" s="212"/>
    </row>
    <row r="300" customFormat="false" ht="15" hidden="false" customHeight="false" outlineLevel="0" collapsed="false">
      <c r="B300" s="208" t="n">
        <v>2024</v>
      </c>
      <c r="C300" s="209" t="n">
        <v>12</v>
      </c>
      <c r="D300" s="226" t="str">
        <f aca="false">VLOOKUP(H300,PersonelListesi!A$1:K$46,4,FALSE())</f>
        <v>_OPERATÖR</v>
      </c>
      <c r="E300" s="221" t="e">
        <f aca="false">VLOOKUP(H300,PersonelListesi!A$1:K$46,13,FALSE())</f>
        <v>#VALUE!</v>
      </c>
      <c r="F300" s="221" t="e">
        <f aca="false">VLOOKUP(H300,PersonelListesi!A$1:K$46,14,FALSE())</f>
        <v>#VALUE!</v>
      </c>
      <c r="G300" s="221" t="s">
        <v>146</v>
      </c>
      <c r="H300" s="227" t="s">
        <v>93</v>
      </c>
      <c r="I300" s="228" t="n">
        <f aca="false">VLOOKUP(H300,PersonelListesi!A$1:G$42,6,FALSE())</f>
        <v>46000</v>
      </c>
      <c r="J300" s="228" t="n">
        <f aca="false">VLOOKUP(H300,PersonelListesi!A$1:G$42,7,FALSE())</f>
        <v>2335</v>
      </c>
      <c r="K300" s="214" t="n">
        <v>37665</v>
      </c>
      <c r="L300" s="228" t="e">
        <f aca="false">bordro[[#This Row],[E.]]+bordro[[#This Row],[SGK-BNK]]</f>
        <v>#VALUE!</v>
      </c>
      <c r="O300" s="212"/>
    </row>
    <row r="301" customFormat="false" ht="15" hidden="false" customHeight="true" outlineLevel="0" collapsed="false">
      <c r="B301" s="208" t="n">
        <v>2024</v>
      </c>
      <c r="C301" s="209" t="n">
        <v>12</v>
      </c>
      <c r="D301" s="226" t="str">
        <f aca="false">VLOOKUP(H301,PersonelListesi!A$1:K$46,4,FALSE())</f>
        <v>_ŞOFÖR</v>
      </c>
      <c r="E301" s="221" t="e">
        <f aca="false">VLOOKUP(H301,PersonelListesi!A$1:K$46,13,FALSE())</f>
        <v>#VALUE!</v>
      </c>
      <c r="F301" s="221" t="e">
        <f aca="false">VLOOKUP(H301,PersonelListesi!A$1:K$46,14,FALSE())</f>
        <v>#VALUE!</v>
      </c>
      <c r="G301" s="221" t="s">
        <v>147</v>
      </c>
      <c r="H301" s="227" t="s">
        <v>95</v>
      </c>
      <c r="I301" s="228" t="n">
        <f aca="false">VLOOKUP(H301,PersonelListesi!A$1:G$42,6,FALSE())</f>
        <v>43000</v>
      </c>
      <c r="J301" s="228" t="n">
        <f aca="false">VLOOKUP(H301,PersonelListesi!A$1:G$42,7,FALSE())</f>
        <v>2000</v>
      </c>
      <c r="K301" s="214" t="n">
        <v>35499.9</v>
      </c>
      <c r="L301" s="228" t="e">
        <f aca="false">bordro[[#This Row],[E.]]+bordro[[#This Row],[SGK-BNK]]</f>
        <v>#VALUE!</v>
      </c>
      <c r="O301" s="212"/>
    </row>
    <row r="302" customFormat="false" ht="15" hidden="false" customHeight="false" outlineLevel="0" collapsed="false">
      <c r="B302" s="208" t="n">
        <v>2024</v>
      </c>
      <c r="C302" s="209" t="n">
        <v>12</v>
      </c>
      <c r="D302" s="226" t="str">
        <f aca="false">VLOOKUP(H302,PersonelListesi!A$1:K$46,4,FALSE())</f>
        <v>_MÜHNEDİS</v>
      </c>
      <c r="E302" s="221" t="e">
        <f aca="false">VLOOKUP(H302,PersonelListesi!A$1:K$46,13,FALSE())</f>
        <v>#VALUE!</v>
      </c>
      <c r="F302" s="221" t="e">
        <f aca="false">VLOOKUP(H302,PersonelListesi!A$1:K$46,14,FALSE())</f>
        <v>#VALUE!</v>
      </c>
      <c r="G302" s="221" t="s">
        <v>146</v>
      </c>
      <c r="H302" s="227" t="s">
        <v>97</v>
      </c>
      <c r="I302" s="228" t="n">
        <f aca="false">VLOOKUP(H302,PersonelListesi!A$1:G$42,6,FALSE())</f>
        <v>57500</v>
      </c>
      <c r="J302" s="228" t="n">
        <f aca="false">VLOOKUP(H302,PersonelListesi!A$1:G$42,7,FALSE())</f>
        <v>35000</v>
      </c>
      <c r="K302" s="214" t="n">
        <v>13000</v>
      </c>
      <c r="L302" s="228" t="e">
        <f aca="false">bordro[[#This Row],[E.]]+bordro[[#This Row],[SGK-BNK]]</f>
        <v>#VALUE!</v>
      </c>
      <c r="M302" s="213" t="n">
        <v>-2000</v>
      </c>
      <c r="N302" s="215" t="s">
        <v>173</v>
      </c>
      <c r="O302" s="212"/>
    </row>
    <row r="303" customFormat="false" ht="15" hidden="false" customHeight="true" outlineLevel="0" collapsed="false">
      <c r="B303" s="208" t="n">
        <v>2024</v>
      </c>
      <c r="C303" s="209" t="n">
        <v>12</v>
      </c>
      <c r="D303" s="226" t="str">
        <f aca="false">VLOOKUP(H303,PersonelListesi!A$1:K$46,4,FALSE())</f>
        <v>_KANTAR</v>
      </c>
      <c r="E303" s="221" t="e">
        <f aca="false">VLOOKUP(H303,PersonelListesi!A$1:K$46,13,FALSE())</f>
        <v>#VALUE!</v>
      </c>
      <c r="F303" s="221" t="e">
        <f aca="false">VLOOKUP(H303,PersonelListesi!A$1:K$46,14,FALSE())</f>
        <v>#VALUE!</v>
      </c>
      <c r="G303" s="221" t="s">
        <v>147</v>
      </c>
      <c r="H303" s="227" t="s">
        <v>100</v>
      </c>
      <c r="I303" s="228" t="n">
        <f aca="false">VLOOKUP(H303,PersonelListesi!A$1:G$42,6,FALSE())</f>
        <v>40000</v>
      </c>
      <c r="J303" s="228" t="n">
        <f aca="false">VLOOKUP(H303,PersonelListesi!A$1:G$42,7,FALSE())</f>
        <v>33000</v>
      </c>
      <c r="K303" s="214" t="n">
        <v>0</v>
      </c>
      <c r="L303" s="228" t="e">
        <f aca="false">bordro[[#This Row],[E.]]+bordro[[#This Row],[SGK-BNK]]</f>
        <v>#VALUE!</v>
      </c>
      <c r="O303" s="212"/>
    </row>
    <row r="304" customFormat="false" ht="15" hidden="false" customHeight="true" outlineLevel="0" collapsed="false">
      <c r="B304" s="208" t="n">
        <v>2024</v>
      </c>
      <c r="C304" s="209" t="n">
        <v>12</v>
      </c>
      <c r="D304" s="226" t="str">
        <f aca="false">VLOOKUP(H304,PersonelListesi!A$1:K$46,4,FALSE())</f>
        <v>_ŞOFÖR</v>
      </c>
      <c r="E304" s="221" t="e">
        <f aca="false">VLOOKUP(H304,PersonelListesi!A$1:K$46,13,FALSE())</f>
        <v>#VALUE!</v>
      </c>
      <c r="F304" s="221" t="e">
        <f aca="false">VLOOKUP(H304,PersonelListesi!A$1:K$46,14,FALSE())</f>
        <v>#VALUE!</v>
      </c>
      <c r="G304" s="221" t="s">
        <v>147</v>
      </c>
      <c r="H304" s="227" t="s">
        <v>102</v>
      </c>
      <c r="I304" s="228" t="n">
        <f aca="false">VLOOKUP(H304,PersonelListesi!A$1:G$42,6,FALSE())</f>
        <v>40000</v>
      </c>
      <c r="J304" s="228" t="n">
        <f aca="false">VLOOKUP(H304,PersonelListesi!A$1:G$42,7,FALSE())</f>
        <v>0</v>
      </c>
      <c r="K304" s="214" t="n">
        <v>33000</v>
      </c>
      <c r="L304" s="228" t="e">
        <f aca="false">bordro[[#This Row],[E.]]+bordro[[#This Row],[SGK-BNK]]</f>
        <v>#VALUE!</v>
      </c>
      <c r="O304" s="212"/>
    </row>
    <row r="305" customFormat="false" ht="15" hidden="false" customHeight="true" outlineLevel="0" collapsed="false">
      <c r="B305" s="208" t="n">
        <v>2024</v>
      </c>
      <c r="C305" s="209" t="n">
        <v>12</v>
      </c>
      <c r="D305" s="226" t="str">
        <f aca="false">VLOOKUP(H305,PersonelListesi!A$1:K$46,4,FALSE())</f>
        <v>_TAMİR</v>
      </c>
      <c r="E305" s="221" t="e">
        <f aca="false">VLOOKUP(H305,PersonelListesi!A$1:K$46,13,FALSE())</f>
        <v>#VALUE!</v>
      </c>
      <c r="F305" s="221" t="e">
        <f aca="false">VLOOKUP(H305,PersonelListesi!A$1:K$46,14,FALSE())</f>
        <v>#VALUE!</v>
      </c>
      <c r="G305" s="221" t="s">
        <v>147</v>
      </c>
      <c r="H305" s="229" t="s">
        <v>104</v>
      </c>
      <c r="I305" s="228" t="n">
        <f aca="false">VLOOKUP(H305,PersonelListesi!A$1:G$42,6,FALSE())</f>
        <v>15000</v>
      </c>
      <c r="J305" s="228" t="n">
        <f aca="false">VLOOKUP(H305,PersonelListesi!A$1:G$42,7,FALSE())</f>
        <v>15000</v>
      </c>
      <c r="K305" s="214" t="n">
        <v>0</v>
      </c>
      <c r="L305" s="228" t="e">
        <f aca="false">bordro[[#This Row],[E.]]+bordro[[#This Row],[SGK-BNK]]</f>
        <v>#VALUE!</v>
      </c>
      <c r="O305" s="212"/>
    </row>
    <row r="306" customFormat="false" ht="15" hidden="false" customHeight="true" outlineLevel="0" collapsed="false">
      <c r="B306" s="208" t="n">
        <v>2024</v>
      </c>
      <c r="C306" s="209" t="n">
        <v>12</v>
      </c>
      <c r="D306" s="226" t="str">
        <f aca="false">VLOOKUP(H306,PersonelListesi!A$1:K$46,4,FALSE())</f>
        <v>_OPERATÖR</v>
      </c>
      <c r="E306" s="221" t="e">
        <f aca="false">VLOOKUP(H306,PersonelListesi!A$1:K$46,13,FALSE())</f>
        <v>#VALUE!</v>
      </c>
      <c r="F306" s="221" t="e">
        <f aca="false">VLOOKUP(H306,PersonelListesi!A$1:K$46,14,FALSE())</f>
        <v>#VALUE!</v>
      </c>
      <c r="G306" s="221" t="s">
        <v>147</v>
      </c>
      <c r="H306" s="233" t="s">
        <v>103</v>
      </c>
      <c r="I306" s="228" t="n">
        <f aca="false">VLOOKUP(H306,PersonelListesi!A$1:G$42,6,FALSE())</f>
        <v>50000</v>
      </c>
      <c r="J306" s="228" t="n">
        <f aca="false">VLOOKUP(H306,PersonelListesi!A$1:G$42,7,FALSE())</f>
        <v>2335</v>
      </c>
      <c r="K306" s="214" t="n">
        <v>40165</v>
      </c>
      <c r="L306" s="228" t="e">
        <f aca="false">bordro[[#This Row],[E.]]+bordro[[#This Row],[SGK-BNK]]</f>
        <v>#VALUE!</v>
      </c>
      <c r="O306" s="212"/>
    </row>
    <row r="307" customFormat="false" ht="15" hidden="false" customHeight="true" outlineLevel="0" collapsed="false">
      <c r="B307" s="208" t="n">
        <v>2024</v>
      </c>
      <c r="C307" s="209" t="n">
        <v>12</v>
      </c>
      <c r="D307" s="226" t="str">
        <f aca="false">VLOOKUP(H307,PersonelListesi!A$1:K$46,4,FALSE())</f>
        <v>_OPERATÖR</v>
      </c>
      <c r="E307" s="221" t="e">
        <f aca="false">VLOOKUP(H307,PersonelListesi!A$1:K$46,13,FALSE())</f>
        <v>#VALUE!</v>
      </c>
      <c r="F307" s="221" t="e">
        <f aca="false">VLOOKUP(H307,PersonelListesi!A$1:K$46,14,FALSE())</f>
        <v>#VALUE!</v>
      </c>
      <c r="G307" s="221" t="s">
        <v>147</v>
      </c>
      <c r="H307" s="229" t="s">
        <v>109</v>
      </c>
      <c r="I307" s="228" t="n">
        <f aca="false">VLOOKUP(H307,PersonelListesi!A$1:G$42,6,FALSE())</f>
        <v>50000</v>
      </c>
      <c r="J307" s="228" t="n">
        <f aca="false">VLOOKUP(H307,PersonelListesi!A$1:G$42,7,FALSE())</f>
        <v>11333</v>
      </c>
      <c r="K307" s="214" t="n">
        <v>0</v>
      </c>
      <c r="L307" s="228" t="e">
        <f aca="false">bordro[[#This Row],[E.]]+bordro[[#This Row],[SGK-BNK]]</f>
        <v>#VALUE!</v>
      </c>
      <c r="O307" s="212"/>
    </row>
    <row r="308" customFormat="false" ht="15" hidden="false" customHeight="true" outlineLevel="0" collapsed="false">
      <c r="B308" s="208" t="n">
        <v>2024</v>
      </c>
      <c r="C308" s="209" t="n">
        <v>12</v>
      </c>
      <c r="D308" s="226" t="str">
        <f aca="false">VLOOKUP(H308,PersonelListesi!A$1:K$46,4,FALSE())</f>
        <v>_MUTFAK</v>
      </c>
      <c r="E308" s="221" t="e">
        <f aca="false">VLOOKUP(H308,PersonelListesi!A$1:K$46,13,FALSE())</f>
        <v>#VALUE!</v>
      </c>
      <c r="F308" s="221" t="e">
        <f aca="false">VLOOKUP(H308,PersonelListesi!A$1:K$46,14,FALSE())</f>
        <v>#VALUE!</v>
      </c>
      <c r="G308" s="221" t="s">
        <v>147</v>
      </c>
      <c r="H308" s="229" t="s">
        <v>111</v>
      </c>
      <c r="I308" s="228" t="n">
        <f aca="false">VLOOKUP(H308,PersonelListesi!A$1:G$42,6,FALSE())</f>
        <v>30000</v>
      </c>
      <c r="J308" s="228" t="n">
        <f aca="false">VLOOKUP(H308,PersonelListesi!A$1:G$42,7,FALSE())</f>
        <v>25000</v>
      </c>
      <c r="K308" s="214" t="n">
        <v>0</v>
      </c>
      <c r="L308" s="228" t="e">
        <f aca="false">bordro[[#This Row],[E.]]+bordro[[#This Row],[SGK-BNK]]</f>
        <v>#VALUE!</v>
      </c>
      <c r="O308" s="212"/>
    </row>
    <row r="309" customFormat="false" ht="15" hidden="false" customHeight="true" outlineLevel="0" collapsed="false">
      <c r="B309" s="208" t="n">
        <v>2024</v>
      </c>
      <c r="C309" s="209" t="n">
        <v>12</v>
      </c>
      <c r="D309" s="226" t="str">
        <f aca="false">VLOOKUP(H309,PersonelListesi!A$1:K$46,4,FALSE())</f>
        <v>_D.ELEMAN</v>
      </c>
      <c r="E309" s="221" t="e">
        <f aca="false">VLOOKUP(H309,PersonelListesi!A$1:K$46,13,FALSE())</f>
        <v>#VALUE!</v>
      </c>
      <c r="F309" s="221" t="e">
        <f aca="false">VLOOKUP(H309,PersonelListesi!A$1:K$46,14,FALSE())</f>
        <v>#VALUE!</v>
      </c>
      <c r="G309" s="221" t="s">
        <v>147</v>
      </c>
      <c r="H309" s="229" t="s">
        <v>114</v>
      </c>
      <c r="I309" s="228" t="n">
        <f aca="false">VLOOKUP(H309,PersonelListesi!A$1:G$42,6,FALSE())</f>
        <v>0</v>
      </c>
      <c r="J309" s="228" t="n">
        <f aca="false">VLOOKUP(H309,PersonelListesi!A$1:G$42,7,FALSE())</f>
        <v>0</v>
      </c>
      <c r="K309" s="214" t="n">
        <v>6000</v>
      </c>
      <c r="L309" s="228" t="e">
        <f aca="false">bordro[[#This Row],[E.]]+bordro[[#This Row],[SGK-BNK]]</f>
        <v>#VALUE!</v>
      </c>
      <c r="O309" s="212"/>
    </row>
    <row r="310" customFormat="false" ht="15" hidden="false" customHeight="true" outlineLevel="0" collapsed="false">
      <c r="B310" s="208" t="n">
        <v>2024</v>
      </c>
      <c r="C310" s="209" t="n">
        <v>12</v>
      </c>
      <c r="D310" s="226" t="str">
        <f aca="false">VLOOKUP(H310,PersonelListesi!A$1:K$46,4,FALSE())</f>
        <v>_BEKÇİ</v>
      </c>
      <c r="E310" s="221" t="e">
        <f aca="false">VLOOKUP(H310,PersonelListesi!A$1:K$46,13,FALSE())</f>
        <v>#VALUE!</v>
      </c>
      <c r="F310" s="221" t="e">
        <f aca="false">VLOOKUP(H310,PersonelListesi!A$1:K$46,14,FALSE())</f>
        <v>#VALUE!</v>
      </c>
      <c r="G310" s="221" t="s">
        <v>147</v>
      </c>
      <c r="H310" s="229" t="s">
        <v>115</v>
      </c>
      <c r="I310" s="228" t="n">
        <f aca="false">VLOOKUP(H310,PersonelListesi!A$1:G$42,6,FALSE())</f>
        <v>30000</v>
      </c>
      <c r="J310" s="228" t="n">
        <f aca="false">VLOOKUP(H310,PersonelListesi!A$1:G$42,7,FALSE())</f>
        <v>0</v>
      </c>
      <c r="K310" s="214" t="n">
        <v>25000</v>
      </c>
      <c r="L310" s="228" t="e">
        <f aca="false">bordro[[#This Row],[E.]]+bordro[[#This Row],[SGK-BNK]]</f>
        <v>#VALUE!</v>
      </c>
      <c r="O310" s="212"/>
    </row>
    <row r="311" customFormat="false" ht="15" hidden="false" customHeight="true" outlineLevel="0" collapsed="false">
      <c r="B311" s="208" t="n">
        <v>2024</v>
      </c>
      <c r="C311" s="209" t="n">
        <v>12</v>
      </c>
      <c r="D311" s="226" t="str">
        <f aca="false">VLOOKUP(H311,PersonelListesi!A$1:K$46,4,FALSE())</f>
        <v>_ŞOFÖR</v>
      </c>
      <c r="E311" s="221" t="e">
        <f aca="false">VLOOKUP(H311,PersonelListesi!A$1:K$46,13,FALSE())</f>
        <v>#VALUE!</v>
      </c>
      <c r="F311" s="221" t="e">
        <f aca="false">VLOOKUP(H311,PersonelListesi!A$1:K$46,14,FALSE())</f>
        <v>#VALUE!</v>
      </c>
      <c r="G311" s="221" t="s">
        <v>147</v>
      </c>
      <c r="H311" s="233" t="s">
        <v>48</v>
      </c>
      <c r="I311" s="228" t="n">
        <f aca="false">VLOOKUP(H311,PersonelListesi!A$1:G$42,6,FALSE())</f>
        <v>40000</v>
      </c>
      <c r="J311" s="228" t="n">
        <f aca="false">VLOOKUP(H311,PersonelListesi!A$1:G$42,7,FALSE())</f>
        <v>0</v>
      </c>
      <c r="K311" s="214" t="n">
        <v>30999.9</v>
      </c>
      <c r="L311" s="228" t="e">
        <f aca="false">bordro[[#This Row],[E.]]+bordro[[#This Row],[SGK-BNK]]</f>
        <v>#VALUE!</v>
      </c>
      <c r="O311" s="212"/>
    </row>
    <row r="312" customFormat="false" ht="15" hidden="false" customHeight="true" outlineLevel="0" collapsed="false">
      <c r="B312" s="208" t="n">
        <v>2024</v>
      </c>
      <c r="C312" s="209" t="n">
        <v>12</v>
      </c>
      <c r="D312" s="226" t="str">
        <f aca="false">VLOOKUP(H312,PersonelListesi!A$1:K$46,4,FALSE())</f>
        <v>_ŞOFÖR</v>
      </c>
      <c r="E312" s="221" t="e">
        <f aca="false">VLOOKUP(H312,PersonelListesi!A$1:K$46,13,FALSE())</f>
        <v>#VALUE!</v>
      </c>
      <c r="F312" s="221" t="e">
        <f aca="false">VLOOKUP(H312,PersonelListesi!A$1:K$46,14,FALSE())</f>
        <v>#VALUE!</v>
      </c>
      <c r="G312" s="221" t="s">
        <v>147</v>
      </c>
      <c r="H312" s="233" t="s">
        <v>116</v>
      </c>
      <c r="I312" s="228" t="n">
        <f aca="false">VLOOKUP(H312,PersonelListesi!A$1:G$42,6,FALSE())</f>
        <v>43000</v>
      </c>
      <c r="J312" s="228" t="n">
        <f aca="false">VLOOKUP(H312,PersonelListesi!A$1:G$42,7,FALSE())</f>
        <v>1603</v>
      </c>
      <c r="K312" s="214" t="n">
        <v>33000</v>
      </c>
      <c r="L312" s="228" t="e">
        <f aca="false">bordro[[#This Row],[E.]]+bordro[[#This Row],[SGK-BNK]]</f>
        <v>#VALUE!</v>
      </c>
      <c r="O312" s="212"/>
    </row>
    <row r="313" customFormat="false" ht="15" hidden="false" customHeight="true" outlineLevel="0" collapsed="false">
      <c r="B313" s="208" t="n">
        <v>2024</v>
      </c>
      <c r="C313" s="209" t="n">
        <v>12</v>
      </c>
      <c r="D313" s="226" t="e">
        <f aca="false">VLOOKUP(H313,PersonelListesi!A$1:K$46,4,FALSE())</f>
        <v>#N/A</v>
      </c>
      <c r="E313" s="221" t="e">
        <f aca="false">VLOOKUP(H313,PersonelListesi!A$1:K$46,13,FALSE())</f>
        <v>#VALUE!</v>
      </c>
      <c r="F313" s="221" t="e">
        <f aca="false">VLOOKUP(H313,PersonelListesi!A$1:K$46,14,FALSE())</f>
        <v>#VALUE!</v>
      </c>
      <c r="G313" s="221" t="s">
        <v>146</v>
      </c>
      <c r="H313" s="233" t="s">
        <v>150</v>
      </c>
      <c r="I313" s="228" t="e">
        <f aca="false">VLOOKUP(H313,PersonelListesi!A$1:G$42,6,FALSE())</f>
        <v>#N/A</v>
      </c>
      <c r="J313" s="228" t="e">
        <f aca="false">VLOOKUP(H313,PersonelListesi!A$1:G$42,7,FALSE())</f>
        <v>#N/A</v>
      </c>
      <c r="K313" s="214" t="n">
        <v>15000</v>
      </c>
      <c r="L313" s="228" t="e">
        <f aca="false">bordro[[#This Row],[E.]]+bordro[[#This Row],[SGK-BNK]]</f>
        <v>#VALUE!</v>
      </c>
      <c r="O313" s="212"/>
    </row>
    <row r="314" customFormat="false" ht="15" hidden="false" customHeight="true" outlineLevel="0" collapsed="false">
      <c r="B314" s="208" t="n">
        <v>2024</v>
      </c>
      <c r="C314" s="209" t="n">
        <v>12</v>
      </c>
      <c r="D314" s="226" t="str">
        <f aca="false">VLOOKUP(H314,PersonelListesi!A$1:K$46,4,FALSE())</f>
        <v>_OPERATÖR</v>
      </c>
      <c r="E314" s="221" t="e">
        <f aca="false">VLOOKUP(H314,PersonelListesi!A$1:K$46,13,FALSE())</f>
        <v>#VALUE!</v>
      </c>
      <c r="F314" s="221" t="e">
        <f aca="false">VLOOKUP(H314,PersonelListesi!A$1:K$46,14,FALSE())</f>
        <v>#VALUE!</v>
      </c>
      <c r="G314" s="221" t="s">
        <v>147</v>
      </c>
      <c r="H314" s="233" t="s">
        <v>117</v>
      </c>
      <c r="I314" s="228" t="n">
        <f aca="false">VLOOKUP(H314,PersonelListesi!A$1:G$42,6,FALSE())</f>
        <v>50000</v>
      </c>
      <c r="J314" s="228" t="n">
        <f aca="false">VLOOKUP(H314,PersonelListesi!A$1:G$42,7,FALSE())-20000</f>
        <v>30000</v>
      </c>
      <c r="K314" s="214" t="n">
        <v>2833.33</v>
      </c>
      <c r="L314" s="228" t="e">
        <f aca="false">bordro[[#This Row],[E.]]+bordro[[#This Row],[SGK-BNK]]</f>
        <v>#VALUE!</v>
      </c>
      <c r="M314" s="213" t="n">
        <v>-20000</v>
      </c>
      <c r="N314" s="215" t="s">
        <v>173</v>
      </c>
      <c r="O314" s="212"/>
    </row>
    <row r="315" customFormat="false" ht="15" hidden="false" customHeight="true" outlineLevel="0" collapsed="false">
      <c r="B315" s="208" t="n">
        <v>2024</v>
      </c>
      <c r="C315" s="209" t="n">
        <v>12</v>
      </c>
      <c r="D315" s="226" t="str">
        <f aca="false">VLOOKUP(H315,PersonelListesi!A$1:K$46,4,FALSE())</f>
        <v>_AİLE</v>
      </c>
      <c r="E315" s="221" t="e">
        <f aca="false">VLOOKUP(H315,PersonelListesi!A$1:K$46,13,FALSE())</f>
        <v>#VALUE!</v>
      </c>
      <c r="F315" s="221" t="e">
        <f aca="false">VLOOKUP(H315,PersonelListesi!A$1:K$46,14,FALSE())</f>
        <v>#VALUE!</v>
      </c>
      <c r="G315" s="221" t="s">
        <v>146</v>
      </c>
      <c r="H315" s="233" t="s">
        <v>131</v>
      </c>
      <c r="I315" s="228" t="n">
        <f aca="false">VLOOKUP(H315,PersonelListesi!A$1:G$42,6,FALSE())</f>
        <v>30000</v>
      </c>
      <c r="J315" s="228" t="n">
        <f aca="false">VLOOKUP(H315,PersonelListesi!A$1:G$42,7,FALSE())</f>
        <v>22104</v>
      </c>
      <c r="K315" s="214" t="n">
        <v>12998</v>
      </c>
      <c r="L315" s="228" t="e">
        <f aca="false">bordro[[#This Row],[E.]]+bordro[[#This Row],[SGK-BNK]]</f>
        <v>#VALUE!</v>
      </c>
      <c r="O315" s="212"/>
    </row>
    <row r="316" customFormat="false" ht="15" hidden="false" customHeight="true" outlineLevel="0" collapsed="false">
      <c r="B316" s="208" t="n">
        <v>2024</v>
      </c>
      <c r="C316" s="209" t="n">
        <v>12</v>
      </c>
      <c r="D316" s="226" t="str">
        <f aca="false">VLOOKUP(H316,PersonelListesi!A$1:K$46,4,FALSE())</f>
        <v>_AİLE</v>
      </c>
      <c r="E316" s="221" t="e">
        <f aca="false">VLOOKUP(H316,PersonelListesi!A$1:K$46,13,FALSE())</f>
        <v>#VALUE!</v>
      </c>
      <c r="F316" s="221" t="e">
        <f aca="false">VLOOKUP(H316,PersonelListesi!A$1:K$46,14,FALSE())</f>
        <v>#VALUE!</v>
      </c>
      <c r="G316" s="221" t="s">
        <v>146</v>
      </c>
      <c r="H316" s="229" t="s">
        <v>129</v>
      </c>
      <c r="I316" s="228" t="n">
        <f aca="false">VLOOKUP(H316,PersonelListesi!A$1:G$42,6,FALSE())</f>
        <v>40000</v>
      </c>
      <c r="J316" s="228" t="n">
        <f aca="false">VLOOKUP(H316,PersonelListesi!A$1:G$42,7,FALSE())</f>
        <v>22104</v>
      </c>
      <c r="K316" s="214" t="n">
        <v>-2</v>
      </c>
      <c r="L316" s="228" t="e">
        <f aca="false">bordro[[#This Row],[E.]]+bordro[[#This Row],[SGK-BNK]]</f>
        <v>#VALUE!</v>
      </c>
      <c r="M316" s="213" t="n">
        <v>-13000</v>
      </c>
      <c r="N316" s="215" t="s">
        <v>173</v>
      </c>
      <c r="O316" s="212"/>
    </row>
    <row r="317" customFormat="false" ht="15" hidden="false" customHeight="true" outlineLevel="0" collapsed="false">
      <c r="B317" s="208" t="n">
        <v>2024</v>
      </c>
      <c r="C317" s="209" t="n">
        <v>12</v>
      </c>
      <c r="D317" s="226" t="str">
        <f aca="false">VLOOKUP(H317,PersonelListesi!A$1:K$46,4,FALSE())</f>
        <v>_AİLE</v>
      </c>
      <c r="E317" s="221" t="e">
        <f aca="false">VLOOKUP(H317,PersonelListesi!A$1:K$46,13,FALSE())</f>
        <v>#VALUE!</v>
      </c>
      <c r="F317" s="221" t="e">
        <f aca="false">VLOOKUP(H317,PersonelListesi!A$1:K$46,14,FALSE())</f>
        <v>#VALUE!</v>
      </c>
      <c r="G317" s="221" t="s">
        <v>146</v>
      </c>
      <c r="H317" s="229" t="s">
        <v>134</v>
      </c>
      <c r="I317" s="228" t="n">
        <v>30000</v>
      </c>
      <c r="J317" s="228" t="n">
        <f aca="false">VLOOKUP(H317,PersonelListesi!A$1:G$42,7,FALSE())</f>
        <v>0</v>
      </c>
      <c r="K317" s="214" t="n">
        <v>30000</v>
      </c>
      <c r="L317" s="228" t="e">
        <f aca="false">bordro[[#This Row],[E.]]+bordro[[#This Row],[SGK-BNK]]</f>
        <v>#VALUE!</v>
      </c>
      <c r="M317" s="228"/>
      <c r="O317" s="212"/>
    </row>
    <row r="318" customFormat="false" ht="15" hidden="false" customHeight="true" outlineLevel="0" collapsed="false">
      <c r="B318" s="208" t="n">
        <v>2024</v>
      </c>
      <c r="C318" s="209" t="n">
        <v>12</v>
      </c>
      <c r="D318" s="226" t="str">
        <f aca="false">VLOOKUP(H318,PersonelListesi!A$1:K$46,4,FALSE())</f>
        <v>_AİLE</v>
      </c>
      <c r="E318" s="221" t="e">
        <f aca="false">VLOOKUP(H318,PersonelListesi!A$1:K$46,13,FALSE())</f>
        <v>#VALUE!</v>
      </c>
      <c r="F318" s="221" t="e">
        <f aca="false">VLOOKUP(H318,PersonelListesi!A$1:K$46,14,FALSE())</f>
        <v>#VALUE!</v>
      </c>
      <c r="G318" s="221" t="s">
        <v>146</v>
      </c>
      <c r="H318" s="229" t="s">
        <v>133</v>
      </c>
      <c r="I318" s="228" t="n">
        <v>50000</v>
      </c>
      <c r="J318" s="228" t="n">
        <f aca="false">VLOOKUP(H318,PersonelListesi!A$1:G$42,7,FALSE())</f>
        <v>30000</v>
      </c>
      <c r="K318" s="214" t="n">
        <v>50000</v>
      </c>
      <c r="L318" s="228" t="e">
        <f aca="false">bordro[[#This Row],[E.]]+bordro[[#This Row],[SGK-BNK]]</f>
        <v>#VALUE!</v>
      </c>
      <c r="M318" s="228"/>
      <c r="O318" s="212"/>
    </row>
    <row r="319" customFormat="false" ht="15" hidden="false" customHeight="true" outlineLevel="0" collapsed="false">
      <c r="B319" s="208" t="n">
        <v>2024</v>
      </c>
      <c r="C319" s="209" t="n">
        <v>12</v>
      </c>
      <c r="D319" s="226" t="str">
        <f aca="false">VLOOKUP(H319,PersonelListesi!A$1:K$46,4,FALSE())</f>
        <v>_AİLE</v>
      </c>
      <c r="E319" s="221" t="e">
        <f aca="false">VLOOKUP(H319,PersonelListesi!A$1:K$46,13,FALSE())</f>
        <v>#VALUE!</v>
      </c>
      <c r="F319" s="221" t="e">
        <f aca="false">VLOOKUP(H319,PersonelListesi!A$1:K$46,14,FALSE())</f>
        <v>#VALUE!</v>
      </c>
      <c r="G319" s="221" t="s">
        <v>146</v>
      </c>
      <c r="H319" s="229" t="s">
        <v>55</v>
      </c>
      <c r="I319" s="228" t="n">
        <v>50000</v>
      </c>
      <c r="J319" s="228" t="n">
        <f aca="false">VLOOKUP(H319,PersonelListesi!A$1:G$42,7,FALSE())</f>
        <v>30000</v>
      </c>
      <c r="K319" s="214" t="n">
        <v>50000</v>
      </c>
      <c r="L319" s="228" t="e">
        <f aca="false">bordro[[#This Row],[E.]]+bordro[[#This Row],[SGK-BNK]]</f>
        <v>#VALUE!</v>
      </c>
      <c r="M319" s="228"/>
      <c r="O319" s="212"/>
    </row>
    <row r="320" customFormat="false" ht="15" hidden="false" customHeight="false" outlineLevel="0" collapsed="false">
      <c r="D320" s="234"/>
      <c r="E320" s="235"/>
      <c r="F320" s="235"/>
      <c r="G320" s="236"/>
      <c r="H320" s="229"/>
      <c r="I320" s="237" t="n">
        <f aca="false">SUBTOTAL(109,bordro[G. Maaş])</f>
        <v>654104</v>
      </c>
      <c r="J320" s="237" t="n">
        <f aca="false">SUBTOTAL(109,bordro[SGK-BNK])</f>
        <v>167315</v>
      </c>
      <c r="K320" s="237" t="n">
        <f aca="false">SUBTOTAL(109,bordro[E.])</f>
        <v>466789</v>
      </c>
      <c r="L320" s="214" t="n">
        <f aca="false">SUBTOTAL(109,bordro[B+E])</f>
        <v>634104</v>
      </c>
      <c r="M320" s="228"/>
      <c r="O320" s="212"/>
    </row>
  </sheetData>
  <dataValidations count="2">
    <dataValidation allowBlank="true" errorStyle="stop" operator="between" showDropDown="false" showErrorMessage="true" showInputMessage="true" sqref="H1" type="list">
      <formula1>#ref!</formula1>
      <formula2>0</formula2>
    </dataValidation>
    <dataValidation allowBlank="true" errorStyle="stop" operator="between" showDropDown="false" showErrorMessage="true" showInputMessage="true" sqref="H2:H319" type="list">
      <formula1>PersonelListesi!$A$2:$A$42</formula1>
      <formula2>0</formula2>
    </dataValidation>
  </dataValidations>
  <printOptions headings="false" gridLines="false" gridLinesSet="true" horizontalCentered="false" verticalCentered="false"/>
  <pageMargins left="0.629861111111111" right="0.240277777777778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true"/>
  </sheetPr>
  <dimension ref="A1:U962"/>
  <sheetViews>
    <sheetView showFormulas="false" showGridLines="true" showRowColHeaders="true" showZeros="true" rightToLeft="false" tabSelected="false" showOutlineSymbols="true" defaultGridColor="true" view="pageBreakPreview" topLeftCell="A1" colorId="64" zoomScale="90" zoomScaleNormal="90" zoomScalePageLayoutView="90" workbookViewId="0">
      <pane xSplit="0" ySplit="1" topLeftCell="A597" activePane="bottomLeft" state="frozen"/>
      <selection pane="topLeft" activeCell="A1" activeCellId="0" sqref="A1"/>
      <selection pane="bottomLeft" activeCell="M617" activeCellId="0" sqref="M617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207" width="2.71"/>
    <col collapsed="false" customWidth="true" hidden="false" outlineLevel="0" max="2" min="2" style="208" width="6.14"/>
    <col collapsed="false" customWidth="true" hidden="false" outlineLevel="0" max="3" min="3" style="209" width="6"/>
    <col collapsed="false" customWidth="true" hidden="false" outlineLevel="0" max="4" min="4" style="209" width="11.71"/>
    <col collapsed="false" customWidth="true" hidden="false" outlineLevel="0" max="5" min="5" style="209" width="13.86"/>
    <col collapsed="false" customWidth="true" hidden="false" outlineLevel="0" max="6" min="6" style="210" width="10.29"/>
    <col collapsed="false" customWidth="true" hidden="false" outlineLevel="0" max="7" min="7" style="211" width="4.86"/>
    <col collapsed="false" customWidth="true" hidden="false" outlineLevel="0" max="8" min="8" style="212" width="21.84"/>
    <col collapsed="false" customWidth="true" hidden="false" outlineLevel="0" max="9" min="9" style="212" width="11.43"/>
    <col collapsed="false" customWidth="true" hidden="false" outlineLevel="0" max="10" min="10" style="212" width="10.42"/>
    <col collapsed="false" customWidth="true" hidden="false" outlineLevel="0" max="11" min="11" style="212" width="11.29"/>
    <col collapsed="false" customWidth="true" hidden="false" outlineLevel="0" max="12" min="12" style="213" width="11.43"/>
    <col collapsed="false" customWidth="true" hidden="false" outlineLevel="0" max="13" min="13" style="214" width="11.43"/>
    <col collapsed="false" customWidth="true" hidden="false" outlineLevel="0" max="14" min="14" style="213" width="12.86"/>
    <col collapsed="false" customWidth="true" hidden="false" outlineLevel="0" max="15" min="15" style="212" width="16"/>
    <col collapsed="false" customWidth="true" hidden="true" outlineLevel="0" max="16" min="16" style="212" width="19"/>
    <col collapsed="false" customWidth="true" hidden="false" outlineLevel="0" max="17" min="17" style="207" width="5"/>
    <col collapsed="false" customWidth="true" hidden="false" outlineLevel="0" max="18" min="18" style="216" width="5.29"/>
    <col collapsed="false" customWidth="true" hidden="true" outlineLevel="0" max="19" min="19" style="238" width="29.86"/>
    <col collapsed="false" customWidth="true" hidden="false" outlineLevel="0" max="20" min="20" style="207" width="2.57"/>
    <col collapsed="false" customWidth="false" hidden="false" outlineLevel="0" max="16384" min="21" style="207" width="9.14"/>
  </cols>
  <sheetData>
    <row r="1" s="241" customFormat="true" ht="15" hidden="false" customHeight="false" outlineLevel="0" collapsed="false">
      <c r="A1" s="207"/>
      <c r="B1" s="217" t="s">
        <v>136</v>
      </c>
      <c r="C1" s="218" t="s">
        <v>137</v>
      </c>
      <c r="D1" s="219" t="s">
        <v>28</v>
      </c>
      <c r="E1" s="220" t="s">
        <v>29</v>
      </c>
      <c r="F1" s="220" t="s">
        <v>30</v>
      </c>
      <c r="G1" s="239" t="s">
        <v>31</v>
      </c>
      <c r="H1" s="222" t="s">
        <v>138</v>
      </c>
      <c r="I1" s="213" t="s">
        <v>241</v>
      </c>
      <c r="J1" s="223" t="s">
        <v>139</v>
      </c>
      <c r="K1" s="213" t="s">
        <v>140</v>
      </c>
      <c r="L1" s="223" t="s">
        <v>141</v>
      </c>
      <c r="M1" s="214" t="s">
        <v>142</v>
      </c>
      <c r="N1" s="213" t="s">
        <v>143</v>
      </c>
      <c r="O1" s="213" t="s">
        <v>144</v>
      </c>
      <c r="P1" s="213" t="s">
        <v>242</v>
      </c>
      <c r="Q1" s="213" t="s">
        <v>243</v>
      </c>
      <c r="R1" s="225" t="s">
        <v>145</v>
      </c>
      <c r="S1" s="240" t="s">
        <v>244</v>
      </c>
      <c r="T1" s="207"/>
      <c r="U1" s="207"/>
    </row>
    <row r="2" s="241" customFormat="true" ht="15" hidden="true" customHeight="false" outlineLevel="0" collapsed="false">
      <c r="B2" s="242" t="n">
        <v>2021</v>
      </c>
      <c r="C2" s="241" t="n">
        <v>1</v>
      </c>
      <c r="D2" s="243" t="s">
        <v>44</v>
      </c>
      <c r="E2" s="244" t="n">
        <v>28699369338</v>
      </c>
      <c r="F2" s="244" t="n">
        <v>96358353</v>
      </c>
      <c r="G2" s="245" t="n">
        <v>1</v>
      </c>
      <c r="H2" s="241" t="s">
        <v>79</v>
      </c>
      <c r="I2" s="246" t="n">
        <v>3350</v>
      </c>
      <c r="J2" s="246" t="n">
        <v>3350</v>
      </c>
      <c r="K2" s="246" t="n">
        <v>3350</v>
      </c>
      <c r="L2" s="246" t="n">
        <v>0</v>
      </c>
      <c r="M2" s="246" t="n">
        <v>3350</v>
      </c>
      <c r="N2" s="246"/>
      <c r="O2" s="246"/>
      <c r="P2" s="246"/>
      <c r="Q2" s="247"/>
      <c r="R2" s="247"/>
      <c r="S2" s="246"/>
    </row>
    <row r="3" s="241" customFormat="true" ht="15" hidden="true" customHeight="false" outlineLevel="0" collapsed="false">
      <c r="B3" s="242" t="n">
        <v>2021</v>
      </c>
      <c r="C3" s="241" t="n">
        <v>1</v>
      </c>
      <c r="D3" s="243" t="s">
        <v>44</v>
      </c>
      <c r="E3" s="244" t="n">
        <v>63097169876</v>
      </c>
      <c r="F3" s="244" t="n">
        <v>96843148</v>
      </c>
      <c r="G3" s="245" t="n">
        <v>1</v>
      </c>
      <c r="H3" s="248" t="s">
        <v>122</v>
      </c>
      <c r="I3" s="246" t="n">
        <v>547</v>
      </c>
      <c r="J3" s="246" t="n">
        <v>4000</v>
      </c>
      <c r="K3" s="246" t="n">
        <v>547</v>
      </c>
      <c r="L3" s="246" t="n">
        <v>3453</v>
      </c>
      <c r="M3" s="246" t="n">
        <v>4000</v>
      </c>
      <c r="N3" s="246"/>
      <c r="O3" s="246"/>
      <c r="P3" s="246"/>
      <c r="Q3" s="247" t="n">
        <v>25</v>
      </c>
      <c r="R3" s="247"/>
      <c r="S3" s="246"/>
    </row>
    <row r="4" s="241" customFormat="true" ht="15" hidden="true" customHeight="false" outlineLevel="0" collapsed="false">
      <c r="B4" s="242" t="n">
        <v>2021</v>
      </c>
      <c r="C4" s="241" t="n">
        <v>1</v>
      </c>
      <c r="D4" s="243" t="s">
        <v>44</v>
      </c>
      <c r="E4" s="244" t="n">
        <v>36826974454</v>
      </c>
      <c r="F4" s="244" t="n">
        <v>95573006</v>
      </c>
      <c r="G4" s="245" t="n">
        <v>1</v>
      </c>
      <c r="H4" s="248" t="s">
        <v>188</v>
      </c>
      <c r="I4" s="246" t="n">
        <v>3013.72</v>
      </c>
      <c r="J4" s="246" t="n">
        <v>3013.72</v>
      </c>
      <c r="K4" s="246" t="n">
        <v>3013.72</v>
      </c>
      <c r="L4" s="246" t="n">
        <v>0</v>
      </c>
      <c r="M4" s="246" t="n">
        <v>3013.72</v>
      </c>
      <c r="N4" s="246"/>
      <c r="O4" s="246"/>
      <c r="P4" s="246"/>
      <c r="Q4" s="247"/>
      <c r="R4" s="247"/>
      <c r="S4" s="246"/>
    </row>
    <row r="5" s="241" customFormat="true" ht="15" hidden="true" customHeight="false" outlineLevel="0" collapsed="false">
      <c r="B5" s="242" t="n">
        <v>2021</v>
      </c>
      <c r="C5" s="241" t="n">
        <v>1</v>
      </c>
      <c r="D5" s="243" t="s">
        <v>44</v>
      </c>
      <c r="E5" s="244" t="n">
        <v>17630785580</v>
      </c>
      <c r="F5" s="244" t="n">
        <v>95529415</v>
      </c>
      <c r="G5" s="245" t="n">
        <v>1</v>
      </c>
      <c r="H5" s="248" t="s">
        <v>81</v>
      </c>
      <c r="I5" s="246" t="n">
        <v>3188.13</v>
      </c>
      <c r="J5" s="246" t="n">
        <v>7188.13</v>
      </c>
      <c r="K5" s="246" t="n">
        <v>3188.13</v>
      </c>
      <c r="L5" s="246" t="n">
        <v>4000</v>
      </c>
      <c r="M5" s="246" t="n">
        <v>7188.13</v>
      </c>
      <c r="N5" s="246"/>
      <c r="O5" s="246"/>
      <c r="P5" s="246"/>
      <c r="Q5" s="247"/>
      <c r="R5" s="247"/>
      <c r="S5" s="246"/>
    </row>
    <row r="6" s="241" customFormat="true" ht="15" hidden="true" customHeight="false" outlineLevel="0" collapsed="false">
      <c r="B6" s="242" t="n">
        <v>2021</v>
      </c>
      <c r="C6" s="241" t="n">
        <v>1</v>
      </c>
      <c r="D6" s="243" t="s">
        <v>44</v>
      </c>
      <c r="E6" s="244" t="n">
        <v>27172394690</v>
      </c>
      <c r="F6" s="244" t="n">
        <v>95702622</v>
      </c>
      <c r="G6" s="245" t="n">
        <v>1</v>
      </c>
      <c r="H6" s="248" t="s">
        <v>72</v>
      </c>
      <c r="I6" s="246" t="n">
        <v>3300</v>
      </c>
      <c r="J6" s="246" t="n">
        <v>3300.03</v>
      </c>
      <c r="K6" s="246" t="n">
        <v>3300</v>
      </c>
      <c r="L6" s="246" t="n">
        <v>0.03</v>
      </c>
      <c r="M6" s="246" t="n">
        <v>3300.03</v>
      </c>
      <c r="N6" s="246"/>
      <c r="O6" s="246"/>
      <c r="P6" s="246"/>
      <c r="Q6" s="247"/>
      <c r="R6" s="247"/>
      <c r="S6" s="246"/>
    </row>
    <row r="7" s="241" customFormat="true" ht="15" hidden="true" customHeight="false" outlineLevel="0" collapsed="false">
      <c r="B7" s="242" t="n">
        <v>2021</v>
      </c>
      <c r="C7" s="241" t="n">
        <v>1</v>
      </c>
      <c r="D7" s="243" t="s">
        <v>44</v>
      </c>
      <c r="E7" s="244" t="n">
        <v>64996156028</v>
      </c>
      <c r="F7" s="244" t="n">
        <v>95539771</v>
      </c>
      <c r="G7" s="245" t="n">
        <v>1</v>
      </c>
      <c r="H7" s="241" t="s">
        <v>55</v>
      </c>
      <c r="I7" s="246" t="n">
        <v>2825.9</v>
      </c>
      <c r="J7" s="246" t="n">
        <v>2825.9</v>
      </c>
      <c r="K7" s="246" t="n">
        <v>2825.9</v>
      </c>
      <c r="L7" s="246" t="n">
        <v>0</v>
      </c>
      <c r="M7" s="246" t="n">
        <v>2825.9</v>
      </c>
      <c r="N7" s="246"/>
      <c r="O7" s="246"/>
      <c r="P7" s="246"/>
      <c r="Q7" s="247"/>
      <c r="R7" s="247"/>
      <c r="S7" s="246"/>
    </row>
    <row r="8" s="241" customFormat="true" ht="15" hidden="true" customHeight="false" outlineLevel="0" collapsed="false">
      <c r="B8" s="242" t="n">
        <v>2021</v>
      </c>
      <c r="C8" s="241" t="n">
        <v>1</v>
      </c>
      <c r="D8" s="243" t="s">
        <v>44</v>
      </c>
      <c r="E8" s="244" t="n">
        <v>59233322526</v>
      </c>
      <c r="F8" s="244" t="n">
        <v>96712272</v>
      </c>
      <c r="G8" s="245" t="n">
        <v>1</v>
      </c>
      <c r="H8" s="248" t="s">
        <v>68</v>
      </c>
      <c r="I8" s="246" t="n">
        <v>2216.83</v>
      </c>
      <c r="J8" s="246" t="n">
        <v>2216.83</v>
      </c>
      <c r="K8" s="246" t="n">
        <v>2216.83</v>
      </c>
      <c r="L8" s="246" t="n">
        <v>-1000</v>
      </c>
      <c r="M8" s="246" t="n">
        <v>1216.83</v>
      </c>
      <c r="N8" s="246" t="n">
        <v>-1000</v>
      </c>
      <c r="O8" s="246"/>
      <c r="P8" s="246" t="n">
        <v>-1283.17</v>
      </c>
      <c r="Q8" s="247" t="n">
        <v>4</v>
      </c>
      <c r="R8" s="247"/>
      <c r="S8" s="246"/>
    </row>
    <row r="9" s="241" customFormat="true" ht="15" hidden="true" customHeight="false" outlineLevel="0" collapsed="false">
      <c r="B9" s="242" t="n">
        <v>2021</v>
      </c>
      <c r="C9" s="241" t="n">
        <v>1</v>
      </c>
      <c r="D9" s="243" t="s">
        <v>44</v>
      </c>
      <c r="E9" s="244" t="n">
        <v>55186680706</v>
      </c>
      <c r="F9" s="244" t="n">
        <v>95787183</v>
      </c>
      <c r="G9" s="245" t="n">
        <v>1</v>
      </c>
      <c r="H9" s="241" t="s">
        <v>73</v>
      </c>
      <c r="I9" s="246" t="n">
        <v>1530.4</v>
      </c>
      <c r="J9" s="246" t="n">
        <v>5000</v>
      </c>
      <c r="K9" s="246" t="n">
        <v>1530.4</v>
      </c>
      <c r="L9" s="246" t="n">
        <v>3469.6</v>
      </c>
      <c r="M9" s="246" t="n">
        <v>5000</v>
      </c>
      <c r="N9" s="246"/>
      <c r="O9" s="246"/>
      <c r="P9" s="246"/>
      <c r="Q9" s="247"/>
      <c r="R9" s="247"/>
      <c r="S9" s="246"/>
    </row>
    <row r="10" s="241" customFormat="true" ht="15" hidden="true" customHeight="false" outlineLevel="0" collapsed="false">
      <c r="B10" s="242" t="n">
        <v>2021</v>
      </c>
      <c r="C10" s="241" t="n">
        <v>1</v>
      </c>
      <c r="D10" s="243" t="s">
        <v>44</v>
      </c>
      <c r="E10" s="244" t="n">
        <v>21242693324</v>
      </c>
      <c r="F10" s="244" t="n">
        <v>95532064</v>
      </c>
      <c r="G10" s="245" t="n">
        <v>1</v>
      </c>
      <c r="H10" s="248" t="s">
        <v>85</v>
      </c>
      <c r="I10" s="246" t="n">
        <v>2825.9</v>
      </c>
      <c r="J10" s="246" t="n">
        <v>2825.9</v>
      </c>
      <c r="K10" s="246" t="n">
        <v>2825.9</v>
      </c>
      <c r="L10" s="246" t="n">
        <v>0</v>
      </c>
      <c r="M10" s="246" t="n">
        <v>2825.9</v>
      </c>
      <c r="N10" s="246"/>
      <c r="O10" s="246"/>
      <c r="P10" s="246"/>
      <c r="Q10" s="247"/>
      <c r="R10" s="247"/>
      <c r="S10" s="246"/>
    </row>
    <row r="11" s="241" customFormat="true" ht="15" hidden="true" customHeight="false" outlineLevel="0" collapsed="false">
      <c r="B11" s="242" t="n">
        <v>2021</v>
      </c>
      <c r="C11" s="241" t="n">
        <v>1</v>
      </c>
      <c r="D11" s="243" t="s">
        <v>44</v>
      </c>
      <c r="E11" s="244" t="n">
        <v>17159801204</v>
      </c>
      <c r="F11" s="244" t="n">
        <v>95532066</v>
      </c>
      <c r="G11" s="245" t="n">
        <v>1</v>
      </c>
      <c r="H11" s="248" t="s">
        <v>87</v>
      </c>
      <c r="I11" s="246" t="n">
        <v>2919.81</v>
      </c>
      <c r="J11" s="246" t="n">
        <v>2919.81</v>
      </c>
      <c r="K11" s="246" t="n">
        <v>2919.81</v>
      </c>
      <c r="L11" s="246" t="n">
        <v>0</v>
      </c>
      <c r="M11" s="246" t="n">
        <v>2919.81</v>
      </c>
      <c r="N11" s="246"/>
      <c r="O11" s="246"/>
      <c r="P11" s="246"/>
      <c r="Q11" s="247"/>
      <c r="R11" s="247"/>
      <c r="S11" s="246"/>
    </row>
    <row r="12" s="241" customFormat="true" ht="15" hidden="true" customHeight="false" outlineLevel="0" collapsed="false">
      <c r="B12" s="242" t="n">
        <v>2021</v>
      </c>
      <c r="C12" s="241" t="n">
        <v>1</v>
      </c>
      <c r="D12" s="243" t="s">
        <v>44</v>
      </c>
      <c r="E12" s="244" t="n">
        <v>66385338732</v>
      </c>
      <c r="F12" s="244" t="n">
        <v>96717247</v>
      </c>
      <c r="G12" s="245" t="n">
        <v>1</v>
      </c>
      <c r="H12" s="248" t="s">
        <v>52</v>
      </c>
      <c r="I12" s="246" t="n">
        <v>2825.9</v>
      </c>
      <c r="J12" s="246" t="n">
        <v>2825.9</v>
      </c>
      <c r="K12" s="246" t="n">
        <v>2825.9</v>
      </c>
      <c r="L12" s="246" t="n">
        <v>0</v>
      </c>
      <c r="M12" s="246" t="n">
        <v>2825.9</v>
      </c>
      <c r="N12" s="246"/>
      <c r="O12" s="246"/>
      <c r="P12" s="246"/>
      <c r="Q12" s="247"/>
      <c r="R12" s="247"/>
      <c r="S12" s="246"/>
    </row>
    <row r="13" s="241" customFormat="true" ht="15" hidden="true" customHeight="false" outlineLevel="0" collapsed="false">
      <c r="B13" s="242" t="n">
        <v>2021</v>
      </c>
      <c r="C13" s="241" t="n">
        <v>1</v>
      </c>
      <c r="D13" s="243" t="s">
        <v>44</v>
      </c>
      <c r="E13" s="244" t="n">
        <v>23764482950</v>
      </c>
      <c r="F13" s="244" t="n">
        <v>95532077</v>
      </c>
      <c r="G13" s="245" t="n">
        <v>1</v>
      </c>
      <c r="H13" s="248" t="s">
        <v>93</v>
      </c>
      <c r="I13" s="246" t="n">
        <v>547</v>
      </c>
      <c r="J13" s="246" t="n">
        <v>3300</v>
      </c>
      <c r="K13" s="246" t="n">
        <v>547</v>
      </c>
      <c r="L13" s="246" t="n">
        <v>2253</v>
      </c>
      <c r="M13" s="246" t="n">
        <v>2800</v>
      </c>
      <c r="N13" s="246" t="n">
        <v>-500</v>
      </c>
      <c r="O13" s="246"/>
      <c r="P13" s="246"/>
      <c r="Q13" s="247" t="n">
        <v>25</v>
      </c>
      <c r="R13" s="247" t="n">
        <v>1</v>
      </c>
      <c r="S13" s="246"/>
    </row>
    <row r="14" s="241" customFormat="true" ht="15" hidden="true" customHeight="false" outlineLevel="0" collapsed="false">
      <c r="B14" s="242" t="n">
        <v>2021</v>
      </c>
      <c r="C14" s="241" t="n">
        <v>1</v>
      </c>
      <c r="D14" s="243" t="s">
        <v>36</v>
      </c>
      <c r="E14" s="244" t="n">
        <v>18274523170</v>
      </c>
      <c r="F14" s="244" t="n">
        <v>95532068</v>
      </c>
      <c r="G14" s="245" t="n">
        <v>1</v>
      </c>
      <c r="H14" s="248" t="s">
        <v>14</v>
      </c>
      <c r="I14" s="246" t="n">
        <v>547</v>
      </c>
      <c r="J14" s="246" t="n">
        <v>3300</v>
      </c>
      <c r="K14" s="246" t="n">
        <v>547</v>
      </c>
      <c r="L14" s="246" t="n">
        <v>2753</v>
      </c>
      <c r="M14" s="246" t="n">
        <v>3300</v>
      </c>
      <c r="N14" s="246"/>
      <c r="O14" s="246"/>
      <c r="P14" s="246"/>
      <c r="Q14" s="247" t="n">
        <v>25</v>
      </c>
      <c r="R14" s="247" t="n">
        <v>3</v>
      </c>
      <c r="S14" s="246"/>
    </row>
    <row r="15" s="241" customFormat="true" ht="15" hidden="true" customHeight="false" outlineLevel="0" collapsed="false">
      <c r="B15" s="242" t="n">
        <v>2021</v>
      </c>
      <c r="C15" s="241" t="n">
        <v>1</v>
      </c>
      <c r="D15" s="243" t="s">
        <v>36</v>
      </c>
      <c r="E15" s="244" t="n">
        <v>25672444846</v>
      </c>
      <c r="F15" s="244" t="n">
        <v>95693810</v>
      </c>
      <c r="G15" s="245" t="n">
        <v>1</v>
      </c>
      <c r="H15" s="248" t="s">
        <v>245</v>
      </c>
      <c r="I15" s="246" t="n">
        <v>3300</v>
      </c>
      <c r="J15" s="246" t="n">
        <v>3300</v>
      </c>
      <c r="K15" s="246" t="n">
        <v>3300</v>
      </c>
      <c r="L15" s="246" t="n">
        <v>0</v>
      </c>
      <c r="M15" s="246" t="n">
        <v>3300</v>
      </c>
      <c r="N15" s="246"/>
      <c r="O15" s="246"/>
      <c r="P15" s="246"/>
      <c r="Q15" s="247"/>
      <c r="R15" s="247"/>
      <c r="S15" s="246"/>
    </row>
    <row r="16" s="241" customFormat="true" ht="15" hidden="true" customHeight="false" outlineLevel="0" collapsed="false">
      <c r="B16" s="242" t="n">
        <v>2021</v>
      </c>
      <c r="C16" s="241" t="n">
        <v>1</v>
      </c>
      <c r="D16" s="243" t="s">
        <v>36</v>
      </c>
      <c r="E16" s="244" t="n">
        <v>39617231002</v>
      </c>
      <c r="F16" s="244" t="n">
        <v>95532072</v>
      </c>
      <c r="G16" s="245" t="n">
        <v>1</v>
      </c>
      <c r="H16" s="248" t="s">
        <v>38</v>
      </c>
      <c r="I16" s="246" t="n">
        <v>3300</v>
      </c>
      <c r="J16" s="246" t="n">
        <v>3300</v>
      </c>
      <c r="K16" s="246" t="n">
        <v>3300</v>
      </c>
      <c r="L16" s="246" t="n">
        <v>0</v>
      </c>
      <c r="M16" s="246" t="n">
        <v>3300</v>
      </c>
      <c r="N16" s="246"/>
      <c r="O16" s="246"/>
      <c r="P16" s="246"/>
      <c r="Q16" s="247"/>
      <c r="R16" s="247" t="n">
        <v>3</v>
      </c>
      <c r="S16" s="246"/>
    </row>
    <row r="17" s="241" customFormat="true" ht="15" hidden="true" customHeight="false" outlineLevel="0" collapsed="false">
      <c r="B17" s="242" t="n">
        <v>2021</v>
      </c>
      <c r="C17" s="241" t="n">
        <v>1</v>
      </c>
      <c r="D17" s="243" t="s">
        <v>36</v>
      </c>
      <c r="E17" s="244" t="n">
        <v>15394555838</v>
      </c>
      <c r="F17" s="244" t="n">
        <v>95580195</v>
      </c>
      <c r="G17" s="245" t="n">
        <v>1</v>
      </c>
      <c r="H17" s="248" t="s">
        <v>48</v>
      </c>
      <c r="I17" s="246" t="n">
        <v>547</v>
      </c>
      <c r="J17" s="246" t="n">
        <v>3300</v>
      </c>
      <c r="K17" s="246" t="n">
        <v>547</v>
      </c>
      <c r="L17" s="246" t="n">
        <v>2753</v>
      </c>
      <c r="M17" s="246" t="n">
        <v>3300</v>
      </c>
      <c r="N17" s="246"/>
      <c r="O17" s="246"/>
      <c r="P17" s="246"/>
      <c r="Q17" s="247" t="n">
        <v>25</v>
      </c>
      <c r="R17" s="247"/>
      <c r="S17" s="246"/>
    </row>
    <row r="18" s="241" customFormat="true" ht="15" hidden="true" customHeight="false" outlineLevel="0" collapsed="false">
      <c r="B18" s="242" t="n">
        <v>2021</v>
      </c>
      <c r="C18" s="241" t="n">
        <v>1</v>
      </c>
      <c r="D18" s="243" t="s">
        <v>36</v>
      </c>
      <c r="E18" s="244" t="n">
        <v>14084651324</v>
      </c>
      <c r="F18" s="244" t="n">
        <v>96100644</v>
      </c>
      <c r="G18" s="245" t="n">
        <v>1</v>
      </c>
      <c r="H18" s="241" t="s">
        <v>9</v>
      </c>
      <c r="I18" s="246" t="n">
        <v>2825.9</v>
      </c>
      <c r="J18" s="246" t="n">
        <v>2825.9</v>
      </c>
      <c r="K18" s="246" t="n">
        <v>2825.9</v>
      </c>
      <c r="L18" s="246" t="n">
        <v>0</v>
      </c>
      <c r="M18" s="246" t="n">
        <v>2825.9</v>
      </c>
      <c r="N18" s="246" t="n">
        <v>0</v>
      </c>
      <c r="O18" s="246" t="s">
        <v>246</v>
      </c>
      <c r="P18" s="246"/>
      <c r="Q18" s="247"/>
      <c r="R18" s="247"/>
      <c r="S18" s="246" t="s">
        <v>246</v>
      </c>
    </row>
    <row r="19" s="241" customFormat="true" ht="15" hidden="true" customHeight="false" outlineLevel="0" collapsed="false">
      <c r="B19" s="242" t="n">
        <v>2021</v>
      </c>
      <c r="C19" s="241" t="n">
        <v>1</v>
      </c>
      <c r="D19" s="243" t="s">
        <v>36</v>
      </c>
      <c r="E19" s="244" t="n">
        <v>36133121404</v>
      </c>
      <c r="F19" s="244" t="n">
        <v>94985817</v>
      </c>
      <c r="G19" s="245" t="n">
        <v>1</v>
      </c>
      <c r="H19" s="241" t="s">
        <v>10</v>
      </c>
      <c r="I19" s="246" t="n">
        <v>2825.9</v>
      </c>
      <c r="J19" s="246" t="n">
        <v>6000</v>
      </c>
      <c r="K19" s="246" t="n">
        <v>2825.9</v>
      </c>
      <c r="L19" s="246" t="n">
        <v>3174.1</v>
      </c>
      <c r="M19" s="246" t="n">
        <v>6000</v>
      </c>
      <c r="N19" s="246"/>
      <c r="O19" s="246"/>
      <c r="P19" s="246"/>
      <c r="Q19" s="247"/>
      <c r="R19" s="247"/>
      <c r="S19" s="246"/>
    </row>
    <row r="20" s="241" customFormat="true" ht="15" hidden="true" customHeight="false" outlineLevel="0" collapsed="false">
      <c r="B20" s="242" t="n">
        <v>2021</v>
      </c>
      <c r="C20" s="241" t="n">
        <v>1</v>
      </c>
      <c r="D20" s="243" t="s">
        <v>44</v>
      </c>
      <c r="E20" s="244" t="n">
        <v>33853146700</v>
      </c>
      <c r="F20" s="244" t="n">
        <v>96959868</v>
      </c>
      <c r="G20" s="245" t="n">
        <v>1</v>
      </c>
      <c r="H20" s="248" t="s">
        <v>247</v>
      </c>
      <c r="I20" s="246" t="n">
        <v>547</v>
      </c>
      <c r="J20" s="246" t="n">
        <v>4000</v>
      </c>
      <c r="K20" s="246" t="n">
        <v>547</v>
      </c>
      <c r="L20" s="246" t="n">
        <v>3453</v>
      </c>
      <c r="M20" s="246" t="n">
        <v>4000</v>
      </c>
      <c r="N20" s="246"/>
      <c r="O20" s="246"/>
      <c r="P20" s="246"/>
      <c r="Q20" s="247" t="n">
        <v>25</v>
      </c>
      <c r="R20" s="247"/>
      <c r="S20" s="246"/>
    </row>
    <row r="21" s="241" customFormat="true" ht="15" hidden="true" customHeight="false" outlineLevel="0" collapsed="false">
      <c r="B21" s="242" t="n">
        <v>2021</v>
      </c>
      <c r="C21" s="241" t="n">
        <v>1</v>
      </c>
      <c r="D21" s="243" t="s">
        <v>44</v>
      </c>
      <c r="E21" s="244" t="n">
        <v>51994540164</v>
      </c>
      <c r="F21" s="244" t="n">
        <v>96900867</v>
      </c>
      <c r="G21" s="245" t="n">
        <v>1</v>
      </c>
      <c r="H21" s="248" t="s">
        <v>97</v>
      </c>
      <c r="I21" s="246" t="n">
        <v>2825.9</v>
      </c>
      <c r="J21" s="246" t="n">
        <v>2825.9</v>
      </c>
      <c r="K21" s="246" t="n">
        <v>2825.9</v>
      </c>
      <c r="L21" s="246" t="n">
        <v>0</v>
      </c>
      <c r="M21" s="246" t="n">
        <v>2825.9</v>
      </c>
      <c r="N21" s="246"/>
      <c r="O21" s="246"/>
      <c r="P21" s="246"/>
      <c r="Q21" s="247"/>
      <c r="R21" s="247"/>
      <c r="S21" s="246"/>
    </row>
    <row r="22" s="241" customFormat="true" ht="15" hidden="true" customHeight="false" outlineLevel="0" collapsed="false">
      <c r="B22" s="242" t="n">
        <v>2021</v>
      </c>
      <c r="C22" s="241" t="n">
        <v>1</v>
      </c>
      <c r="D22" s="243" t="s">
        <v>44</v>
      </c>
      <c r="E22" s="244" t="n">
        <v>52657562356</v>
      </c>
      <c r="F22" s="244" t="n">
        <v>97011710</v>
      </c>
      <c r="G22" s="245" t="n">
        <v>1</v>
      </c>
      <c r="H22" s="248" t="s">
        <v>248</v>
      </c>
      <c r="I22" s="246" t="n">
        <v>2825.9</v>
      </c>
      <c r="J22" s="246" t="n">
        <v>2825.9</v>
      </c>
      <c r="K22" s="246" t="n">
        <v>2825.9</v>
      </c>
      <c r="L22" s="246" t="n">
        <v>0</v>
      </c>
      <c r="M22" s="246" t="n">
        <v>2825.9</v>
      </c>
      <c r="N22" s="246"/>
      <c r="O22" s="246"/>
      <c r="P22" s="246"/>
      <c r="Q22" s="246"/>
      <c r="R22" s="246"/>
      <c r="S22" s="246"/>
    </row>
    <row r="23" s="241" customFormat="true" ht="15" hidden="true" customHeight="false" outlineLevel="0" collapsed="false">
      <c r="B23" s="242" t="n">
        <v>2021</v>
      </c>
      <c r="C23" s="241" t="n">
        <v>1</v>
      </c>
      <c r="D23" s="243" t="s">
        <v>44</v>
      </c>
      <c r="E23" s="244" t="n">
        <v>34324181220</v>
      </c>
      <c r="F23" s="244" t="n">
        <v>95529414</v>
      </c>
      <c r="G23" s="245" t="n">
        <v>1</v>
      </c>
      <c r="H23" s="248" t="s">
        <v>249</v>
      </c>
      <c r="I23" s="246" t="n">
        <v>2131.82</v>
      </c>
      <c r="J23" s="246" t="n">
        <v>2131.82</v>
      </c>
      <c r="K23" s="246" t="n">
        <v>2131.82</v>
      </c>
      <c r="L23" s="246" t="n">
        <v>0</v>
      </c>
      <c r="M23" s="246" t="n">
        <v>2131.82</v>
      </c>
      <c r="N23" s="246"/>
      <c r="O23" s="246"/>
      <c r="P23" s="246"/>
      <c r="Q23" s="246"/>
      <c r="R23" s="246"/>
      <c r="S23" s="246"/>
    </row>
    <row r="24" s="241" customFormat="true" ht="15" hidden="true" customHeight="false" outlineLevel="0" collapsed="false">
      <c r="B24" s="242" t="n">
        <v>2021</v>
      </c>
      <c r="C24" s="241" t="n">
        <v>2</v>
      </c>
      <c r="D24" s="243" t="s">
        <v>44</v>
      </c>
      <c r="E24" s="244" t="n">
        <v>28699369338</v>
      </c>
      <c r="F24" s="244" t="n">
        <v>96358353</v>
      </c>
      <c r="G24" s="245" t="n">
        <v>1</v>
      </c>
      <c r="H24" s="241" t="s">
        <v>79</v>
      </c>
      <c r="I24" s="246" t="n">
        <v>3350</v>
      </c>
      <c r="J24" s="246" t="n">
        <v>3350</v>
      </c>
      <c r="K24" s="246" t="n">
        <v>3350</v>
      </c>
      <c r="L24" s="246" t="n">
        <v>0</v>
      </c>
      <c r="M24" s="246" t="n">
        <v>3350</v>
      </c>
      <c r="N24" s="246"/>
      <c r="O24" s="246"/>
      <c r="P24" s="246"/>
      <c r="Q24" s="249"/>
      <c r="R24" s="249"/>
      <c r="S24" s="246"/>
    </row>
    <row r="25" s="241" customFormat="true" ht="15" hidden="true" customHeight="false" outlineLevel="0" collapsed="false">
      <c r="B25" s="242" t="n">
        <v>2021</v>
      </c>
      <c r="C25" s="241" t="n">
        <v>2</v>
      </c>
      <c r="D25" s="243" t="s">
        <v>44</v>
      </c>
      <c r="E25" s="244" t="n">
        <v>63097169876</v>
      </c>
      <c r="F25" s="244" t="n">
        <v>96843148</v>
      </c>
      <c r="G25" s="245" t="n">
        <v>1</v>
      </c>
      <c r="H25" s="248" t="s">
        <v>122</v>
      </c>
      <c r="I25" s="246" t="n">
        <v>547</v>
      </c>
      <c r="J25" s="246" t="n">
        <v>4000</v>
      </c>
      <c r="K25" s="246" t="n">
        <v>547</v>
      </c>
      <c r="L25" s="246" t="n">
        <v>3453</v>
      </c>
      <c r="M25" s="246" t="n">
        <v>4000</v>
      </c>
      <c r="N25" s="246"/>
      <c r="O25" s="246"/>
      <c r="P25" s="246"/>
      <c r="Q25" s="249" t="n">
        <v>25</v>
      </c>
      <c r="R25" s="249"/>
      <c r="S25" s="246"/>
    </row>
    <row r="26" s="241" customFormat="true" ht="15" hidden="true" customHeight="false" outlineLevel="0" collapsed="false">
      <c r="B26" s="242" t="n">
        <v>2021</v>
      </c>
      <c r="C26" s="241" t="n">
        <v>2</v>
      </c>
      <c r="D26" s="243" t="s">
        <v>44</v>
      </c>
      <c r="E26" s="244" t="n">
        <v>36826974454</v>
      </c>
      <c r="F26" s="244" t="n">
        <v>95573006</v>
      </c>
      <c r="G26" s="245" t="n">
        <v>1</v>
      </c>
      <c r="H26" s="248" t="s">
        <v>188</v>
      </c>
      <c r="I26" s="246" t="n">
        <v>3013.72</v>
      </c>
      <c r="J26" s="246" t="n">
        <v>3013.72</v>
      </c>
      <c r="K26" s="246" t="n">
        <v>3013.72</v>
      </c>
      <c r="L26" s="246" t="n">
        <v>0</v>
      </c>
      <c r="M26" s="246" t="n">
        <v>3013.72</v>
      </c>
      <c r="N26" s="246"/>
      <c r="O26" s="246"/>
      <c r="P26" s="246"/>
      <c r="Q26" s="249"/>
      <c r="R26" s="249"/>
      <c r="S26" s="246"/>
    </row>
    <row r="27" s="241" customFormat="true" ht="15" hidden="true" customHeight="false" outlineLevel="0" collapsed="false">
      <c r="B27" s="242" t="n">
        <v>2021</v>
      </c>
      <c r="C27" s="241" t="n">
        <v>2</v>
      </c>
      <c r="D27" s="243" t="s">
        <v>44</v>
      </c>
      <c r="E27" s="244" t="n">
        <v>17630785580</v>
      </c>
      <c r="F27" s="244" t="n">
        <v>95529415</v>
      </c>
      <c r="G27" s="245" t="n">
        <v>1</v>
      </c>
      <c r="H27" s="248" t="s">
        <v>81</v>
      </c>
      <c r="I27" s="246" t="n">
        <v>3188.13</v>
      </c>
      <c r="J27" s="246" t="n">
        <v>7188.13</v>
      </c>
      <c r="K27" s="246" t="n">
        <v>3188.13</v>
      </c>
      <c r="L27" s="246" t="n">
        <v>4000</v>
      </c>
      <c r="M27" s="246" t="n">
        <v>7188.13</v>
      </c>
      <c r="N27" s="246"/>
      <c r="O27" s="246"/>
      <c r="P27" s="246"/>
      <c r="Q27" s="249"/>
      <c r="R27" s="249"/>
      <c r="S27" s="246"/>
    </row>
    <row r="28" s="241" customFormat="true" ht="15" hidden="true" customHeight="false" outlineLevel="0" collapsed="false">
      <c r="B28" s="242" t="n">
        <v>2021</v>
      </c>
      <c r="C28" s="241" t="n">
        <v>2</v>
      </c>
      <c r="D28" s="243" t="s">
        <v>44</v>
      </c>
      <c r="E28" s="244" t="n">
        <v>27172394690</v>
      </c>
      <c r="F28" s="244" t="n">
        <v>95702622</v>
      </c>
      <c r="G28" s="245" t="n">
        <v>1</v>
      </c>
      <c r="H28" s="248" t="s">
        <v>72</v>
      </c>
      <c r="I28" s="246" t="n">
        <v>2548</v>
      </c>
      <c r="J28" s="246" t="n">
        <v>2548.03</v>
      </c>
      <c r="K28" s="246" t="n">
        <v>2548</v>
      </c>
      <c r="L28" s="246" t="n">
        <v>0.03</v>
      </c>
      <c r="M28" s="246" t="n">
        <v>2548.03</v>
      </c>
      <c r="N28" s="246"/>
      <c r="O28" s="246"/>
      <c r="P28" s="246" t="n">
        <v>-752</v>
      </c>
      <c r="Q28" s="249"/>
      <c r="R28" s="249"/>
      <c r="S28" s="246"/>
    </row>
    <row r="29" s="241" customFormat="true" ht="15" hidden="true" customHeight="false" outlineLevel="0" collapsed="false">
      <c r="B29" s="242" t="n">
        <v>2021</v>
      </c>
      <c r="C29" s="241" t="n">
        <v>2</v>
      </c>
      <c r="D29" s="243" t="s">
        <v>44</v>
      </c>
      <c r="E29" s="244" t="n">
        <v>64996156028</v>
      </c>
      <c r="F29" s="244" t="n">
        <v>95539771</v>
      </c>
      <c r="G29" s="245" t="n">
        <v>1</v>
      </c>
      <c r="H29" s="241" t="s">
        <v>55</v>
      </c>
      <c r="I29" s="246" t="n">
        <v>2825.9</v>
      </c>
      <c r="J29" s="246" t="n">
        <v>2825.9</v>
      </c>
      <c r="K29" s="246" t="n">
        <v>2825.9</v>
      </c>
      <c r="L29" s="246" t="n">
        <v>0</v>
      </c>
      <c r="M29" s="246" t="n">
        <v>2825.9</v>
      </c>
      <c r="N29" s="246"/>
      <c r="O29" s="246"/>
      <c r="P29" s="246"/>
      <c r="Q29" s="249"/>
      <c r="R29" s="249"/>
      <c r="S29" s="246"/>
    </row>
    <row r="30" s="241" customFormat="true" ht="15" hidden="true" customHeight="false" outlineLevel="0" collapsed="false">
      <c r="B30" s="242" t="n">
        <v>2021</v>
      </c>
      <c r="C30" s="241" t="n">
        <v>2</v>
      </c>
      <c r="D30" s="243" t="s">
        <v>44</v>
      </c>
      <c r="E30" s="244" t="n">
        <v>59233322526</v>
      </c>
      <c r="F30" s="244" t="n">
        <v>96712272</v>
      </c>
      <c r="G30" s="245" t="n">
        <v>1</v>
      </c>
      <c r="H30" s="248" t="s">
        <v>68</v>
      </c>
      <c r="I30" s="246" t="n">
        <v>3500</v>
      </c>
      <c r="J30" s="246" t="n">
        <v>3500</v>
      </c>
      <c r="K30" s="246" t="n">
        <v>3500</v>
      </c>
      <c r="L30" s="246" t="n">
        <v>0</v>
      </c>
      <c r="M30" s="246" t="n">
        <v>3500</v>
      </c>
      <c r="N30" s="246"/>
      <c r="O30" s="246"/>
      <c r="P30" s="246"/>
      <c r="Q30" s="249"/>
      <c r="R30" s="249"/>
      <c r="S30" s="246"/>
    </row>
    <row r="31" s="241" customFormat="true" ht="15" hidden="true" customHeight="false" outlineLevel="0" collapsed="false">
      <c r="B31" s="242" t="n">
        <v>2021</v>
      </c>
      <c r="C31" s="241" t="n">
        <v>2</v>
      </c>
      <c r="D31" s="243" t="s">
        <v>44</v>
      </c>
      <c r="E31" s="244" t="n">
        <v>55186680706</v>
      </c>
      <c r="F31" s="244" t="n">
        <v>95787183</v>
      </c>
      <c r="G31" s="245" t="n">
        <v>1</v>
      </c>
      <c r="H31" s="241" t="s">
        <v>73</v>
      </c>
      <c r="I31" s="246" t="n">
        <v>1530.4</v>
      </c>
      <c r="J31" s="246" t="n">
        <v>5000</v>
      </c>
      <c r="K31" s="246" t="n">
        <v>1530.4</v>
      </c>
      <c r="L31" s="246" t="n">
        <v>3469.6</v>
      </c>
      <c r="M31" s="246" t="n">
        <v>5000</v>
      </c>
      <c r="N31" s="246"/>
      <c r="O31" s="246"/>
      <c r="P31" s="246"/>
      <c r="Q31" s="249"/>
      <c r="R31" s="249"/>
      <c r="S31" s="246"/>
    </row>
    <row r="32" s="241" customFormat="true" ht="15" hidden="true" customHeight="false" outlineLevel="0" collapsed="false">
      <c r="B32" s="242" t="n">
        <v>2021</v>
      </c>
      <c r="C32" s="241" t="n">
        <v>2</v>
      </c>
      <c r="D32" s="243" t="s">
        <v>44</v>
      </c>
      <c r="E32" s="244" t="n">
        <v>21242693324</v>
      </c>
      <c r="F32" s="244" t="n">
        <v>95532064</v>
      </c>
      <c r="G32" s="245" t="n">
        <v>1</v>
      </c>
      <c r="H32" s="248" t="s">
        <v>85</v>
      </c>
      <c r="I32" s="246" t="n">
        <v>2825.9</v>
      </c>
      <c r="J32" s="246" t="n">
        <v>2825.9</v>
      </c>
      <c r="K32" s="246" t="n">
        <v>2825.9</v>
      </c>
      <c r="L32" s="246" t="n">
        <v>0</v>
      </c>
      <c r="M32" s="246" t="n">
        <v>2825.9</v>
      </c>
      <c r="N32" s="246"/>
      <c r="O32" s="246"/>
      <c r="P32" s="246"/>
      <c r="Q32" s="249"/>
      <c r="R32" s="249"/>
      <c r="S32" s="246"/>
    </row>
    <row r="33" s="241" customFormat="true" ht="15" hidden="true" customHeight="false" outlineLevel="0" collapsed="false">
      <c r="B33" s="242" t="n">
        <v>2021</v>
      </c>
      <c r="C33" s="241" t="n">
        <v>2</v>
      </c>
      <c r="D33" s="243" t="s">
        <v>44</v>
      </c>
      <c r="E33" s="244" t="n">
        <v>17159801204</v>
      </c>
      <c r="F33" s="244" t="n">
        <v>95532066</v>
      </c>
      <c r="G33" s="245" t="n">
        <v>1</v>
      </c>
      <c r="H33" s="248" t="s">
        <v>87</v>
      </c>
      <c r="I33" s="246" t="n">
        <v>2919.81</v>
      </c>
      <c r="J33" s="246" t="n">
        <v>2919.81</v>
      </c>
      <c r="K33" s="246" t="n">
        <v>2919.81</v>
      </c>
      <c r="L33" s="246" t="n">
        <v>0</v>
      </c>
      <c r="M33" s="246" t="n">
        <v>2919.81</v>
      </c>
      <c r="N33" s="246"/>
      <c r="O33" s="246"/>
      <c r="P33" s="246"/>
      <c r="Q33" s="249"/>
      <c r="R33" s="249"/>
      <c r="S33" s="246"/>
    </row>
    <row r="34" s="241" customFormat="true" ht="15" hidden="true" customHeight="false" outlineLevel="0" collapsed="false">
      <c r="B34" s="242" t="n">
        <v>2021</v>
      </c>
      <c r="C34" s="241" t="n">
        <v>2</v>
      </c>
      <c r="D34" s="243" t="s">
        <v>44</v>
      </c>
      <c r="E34" s="244" t="n">
        <v>66385338732</v>
      </c>
      <c r="F34" s="244" t="n">
        <v>96717247</v>
      </c>
      <c r="G34" s="245" t="n">
        <v>1</v>
      </c>
      <c r="H34" s="248" t="s">
        <v>52</v>
      </c>
      <c r="I34" s="246" t="n">
        <v>2825.9</v>
      </c>
      <c r="J34" s="246" t="n">
        <v>2825.9</v>
      </c>
      <c r="K34" s="246" t="n">
        <v>2825.9</v>
      </c>
      <c r="L34" s="246" t="n">
        <v>0</v>
      </c>
      <c r="M34" s="246" t="n">
        <v>2825.9</v>
      </c>
      <c r="N34" s="246"/>
      <c r="O34" s="246"/>
      <c r="P34" s="246"/>
      <c r="Q34" s="249"/>
      <c r="R34" s="249"/>
      <c r="S34" s="246"/>
    </row>
    <row r="35" s="241" customFormat="true" ht="15" hidden="true" customHeight="false" outlineLevel="0" collapsed="false">
      <c r="B35" s="242" t="n">
        <v>2021</v>
      </c>
      <c r="C35" s="241" t="n">
        <v>2</v>
      </c>
      <c r="D35" s="243" t="s">
        <v>44</v>
      </c>
      <c r="E35" s="244" t="n">
        <v>23764482950</v>
      </c>
      <c r="F35" s="244" t="n">
        <v>95532077</v>
      </c>
      <c r="G35" s="245" t="n">
        <v>1</v>
      </c>
      <c r="H35" s="248" t="s">
        <v>93</v>
      </c>
      <c r="I35" s="246" t="n">
        <v>547</v>
      </c>
      <c r="J35" s="246" t="n">
        <v>3300</v>
      </c>
      <c r="K35" s="246" t="n">
        <v>547</v>
      </c>
      <c r="L35" s="246" t="n">
        <v>2753</v>
      </c>
      <c r="M35" s="246" t="n">
        <v>3300</v>
      </c>
      <c r="N35" s="246"/>
      <c r="O35" s="246"/>
      <c r="P35" s="246"/>
      <c r="Q35" s="249" t="n">
        <v>25</v>
      </c>
      <c r="R35" s="249"/>
      <c r="S35" s="246"/>
    </row>
    <row r="36" s="241" customFormat="true" ht="15" hidden="true" customHeight="false" outlineLevel="0" collapsed="false">
      <c r="B36" s="242" t="n">
        <v>2021</v>
      </c>
      <c r="C36" s="241" t="n">
        <v>2</v>
      </c>
      <c r="D36" s="243" t="s">
        <v>36</v>
      </c>
      <c r="E36" s="244" t="n">
        <v>18274523170</v>
      </c>
      <c r="F36" s="244" t="n">
        <v>95532068</v>
      </c>
      <c r="G36" s="245" t="n">
        <v>1</v>
      </c>
      <c r="H36" s="248" t="s">
        <v>14</v>
      </c>
      <c r="I36" s="246" t="n">
        <v>547</v>
      </c>
      <c r="J36" s="246" t="n">
        <v>3300</v>
      </c>
      <c r="K36" s="246" t="n">
        <v>547</v>
      </c>
      <c r="L36" s="246" t="n">
        <v>2753</v>
      </c>
      <c r="M36" s="246" t="n">
        <v>3300</v>
      </c>
      <c r="N36" s="246"/>
      <c r="O36" s="246"/>
      <c r="P36" s="246"/>
      <c r="Q36" s="249" t="n">
        <v>25</v>
      </c>
      <c r="R36" s="249"/>
      <c r="S36" s="246"/>
    </row>
    <row r="37" s="241" customFormat="true" ht="15" hidden="true" customHeight="false" outlineLevel="0" collapsed="false">
      <c r="B37" s="242" t="n">
        <v>2021</v>
      </c>
      <c r="C37" s="241" t="n">
        <v>2</v>
      </c>
      <c r="D37" s="243" t="s">
        <v>36</v>
      </c>
      <c r="E37" s="244" t="n">
        <v>25672444846</v>
      </c>
      <c r="F37" s="244" t="n">
        <v>95693810</v>
      </c>
      <c r="G37" s="245" t="n">
        <v>1</v>
      </c>
      <c r="H37" s="248" t="s">
        <v>245</v>
      </c>
      <c r="I37" s="246" t="n">
        <v>3300</v>
      </c>
      <c r="J37" s="246" t="n">
        <v>3300</v>
      </c>
      <c r="K37" s="246" t="n">
        <v>3300</v>
      </c>
      <c r="L37" s="246" t="n">
        <v>0</v>
      </c>
      <c r="M37" s="246" t="n">
        <v>3300</v>
      </c>
      <c r="N37" s="246"/>
      <c r="O37" s="246"/>
      <c r="P37" s="246"/>
      <c r="Q37" s="249"/>
      <c r="R37" s="249"/>
      <c r="S37" s="246"/>
    </row>
    <row r="38" s="241" customFormat="true" ht="15" hidden="true" customHeight="false" outlineLevel="0" collapsed="false">
      <c r="B38" s="242" t="n">
        <v>2021</v>
      </c>
      <c r="C38" s="241" t="n">
        <v>2</v>
      </c>
      <c r="D38" s="243" t="s">
        <v>36</v>
      </c>
      <c r="E38" s="244" t="n">
        <v>39617231002</v>
      </c>
      <c r="F38" s="244" t="n">
        <v>95532072</v>
      </c>
      <c r="G38" s="245" t="n">
        <v>1</v>
      </c>
      <c r="H38" s="248" t="s">
        <v>38</v>
      </c>
      <c r="I38" s="246" t="n">
        <v>3300</v>
      </c>
      <c r="J38" s="246" t="n">
        <v>3300</v>
      </c>
      <c r="K38" s="246" t="n">
        <v>3300</v>
      </c>
      <c r="L38" s="246" t="n">
        <v>0</v>
      </c>
      <c r="M38" s="246" t="n">
        <v>3300</v>
      </c>
      <c r="N38" s="246"/>
      <c r="O38" s="246"/>
      <c r="P38" s="246"/>
      <c r="Q38" s="249"/>
      <c r="R38" s="249"/>
      <c r="S38" s="246"/>
    </row>
    <row r="39" s="241" customFormat="true" ht="15" hidden="true" customHeight="false" outlineLevel="0" collapsed="false">
      <c r="B39" s="242" t="n">
        <v>2021</v>
      </c>
      <c r="C39" s="241" t="n">
        <v>2</v>
      </c>
      <c r="D39" s="243" t="s">
        <v>36</v>
      </c>
      <c r="E39" s="244" t="n">
        <v>15394555838</v>
      </c>
      <c r="F39" s="244" t="n">
        <v>95580195</v>
      </c>
      <c r="G39" s="245" t="n">
        <v>1</v>
      </c>
      <c r="H39" s="248" t="s">
        <v>48</v>
      </c>
      <c r="I39" s="246" t="n">
        <v>547</v>
      </c>
      <c r="J39" s="246" t="n">
        <v>3300</v>
      </c>
      <c r="K39" s="246" t="n">
        <v>547</v>
      </c>
      <c r="L39" s="246" t="n">
        <v>2753</v>
      </c>
      <c r="M39" s="246" t="n">
        <v>3300</v>
      </c>
      <c r="N39" s="246"/>
      <c r="O39" s="246"/>
      <c r="P39" s="246"/>
      <c r="Q39" s="249" t="n">
        <v>25</v>
      </c>
      <c r="R39" s="249"/>
      <c r="S39" s="246"/>
    </row>
    <row r="40" s="241" customFormat="true" ht="15" hidden="true" customHeight="false" outlineLevel="0" collapsed="false">
      <c r="B40" s="242" t="n">
        <v>2021</v>
      </c>
      <c r="C40" s="241" t="n">
        <v>2</v>
      </c>
      <c r="D40" s="243" t="s">
        <v>36</v>
      </c>
      <c r="E40" s="244" t="n">
        <v>14084651324</v>
      </c>
      <c r="F40" s="244" t="n">
        <v>96100644</v>
      </c>
      <c r="G40" s="245" t="n">
        <v>1</v>
      </c>
      <c r="H40" s="241" t="s">
        <v>9</v>
      </c>
      <c r="I40" s="246" t="n">
        <v>2825.9</v>
      </c>
      <c r="J40" s="246" t="n">
        <v>2825.9</v>
      </c>
      <c r="K40" s="246" t="n">
        <v>2825.9</v>
      </c>
      <c r="L40" s="246" t="n">
        <v>350</v>
      </c>
      <c r="M40" s="246" t="n">
        <v>3175.9</v>
      </c>
      <c r="N40" s="246" t="n">
        <v>350</v>
      </c>
      <c r="O40" s="246"/>
      <c r="P40" s="246"/>
      <c r="Q40" s="249"/>
      <c r="R40" s="249"/>
      <c r="S40" s="246"/>
    </row>
    <row r="41" s="241" customFormat="true" ht="15" hidden="true" customHeight="false" outlineLevel="0" collapsed="false">
      <c r="B41" s="242" t="n">
        <v>2021</v>
      </c>
      <c r="C41" s="241" t="n">
        <v>2</v>
      </c>
      <c r="D41" s="243" t="s">
        <v>36</v>
      </c>
      <c r="E41" s="244" t="n">
        <v>36133121404</v>
      </c>
      <c r="F41" s="244" t="n">
        <v>94985817</v>
      </c>
      <c r="G41" s="245" t="n">
        <v>1</v>
      </c>
      <c r="H41" s="241" t="s">
        <v>10</v>
      </c>
      <c r="I41" s="246" t="n">
        <v>2825.9</v>
      </c>
      <c r="J41" s="246" t="n">
        <v>6000</v>
      </c>
      <c r="K41" s="246" t="n">
        <v>2825.9</v>
      </c>
      <c r="L41" s="246" t="n">
        <v>3174.1</v>
      </c>
      <c r="M41" s="246" t="n">
        <v>6000</v>
      </c>
      <c r="N41" s="246"/>
      <c r="O41" s="246"/>
      <c r="P41" s="246"/>
      <c r="Q41" s="249" t="n">
        <v>15</v>
      </c>
      <c r="R41" s="249"/>
      <c r="S41" s="246"/>
    </row>
    <row r="42" s="241" customFormat="true" ht="15" hidden="true" customHeight="false" outlineLevel="0" collapsed="false">
      <c r="B42" s="242" t="n">
        <v>2021</v>
      </c>
      <c r="C42" s="241" t="n">
        <v>2</v>
      </c>
      <c r="D42" s="243" t="s">
        <v>44</v>
      </c>
      <c r="E42" s="244" t="n">
        <v>33853146700</v>
      </c>
      <c r="F42" s="244" t="n">
        <v>96959868</v>
      </c>
      <c r="G42" s="245" t="n">
        <v>1</v>
      </c>
      <c r="H42" s="248" t="s">
        <v>247</v>
      </c>
      <c r="I42" s="246" t="n">
        <v>547</v>
      </c>
      <c r="J42" s="246" t="n">
        <v>4000</v>
      </c>
      <c r="K42" s="246" t="n">
        <v>547</v>
      </c>
      <c r="L42" s="246" t="n">
        <v>3153</v>
      </c>
      <c r="M42" s="246" t="n">
        <v>3700</v>
      </c>
      <c r="N42" s="246" t="n">
        <v>-300</v>
      </c>
      <c r="O42" s="246"/>
      <c r="P42" s="246"/>
      <c r="Q42" s="249" t="n">
        <v>25</v>
      </c>
      <c r="R42" s="249"/>
      <c r="S42" s="246"/>
    </row>
    <row r="43" s="241" customFormat="true" ht="15" hidden="true" customHeight="false" outlineLevel="0" collapsed="false">
      <c r="B43" s="242" t="n">
        <v>2021</v>
      </c>
      <c r="C43" s="241" t="n">
        <v>2</v>
      </c>
      <c r="D43" s="243" t="s">
        <v>44</v>
      </c>
      <c r="E43" s="244" t="n">
        <v>51994540164</v>
      </c>
      <c r="F43" s="244" t="n">
        <v>96900867</v>
      </c>
      <c r="G43" s="245" t="n">
        <v>1</v>
      </c>
      <c r="H43" s="248" t="s">
        <v>97</v>
      </c>
      <c r="I43" s="246" t="n">
        <v>2825.9</v>
      </c>
      <c r="J43" s="246" t="n">
        <v>2825.9</v>
      </c>
      <c r="K43" s="246" t="n">
        <v>2825.9</v>
      </c>
      <c r="L43" s="246" t="n">
        <v>0</v>
      </c>
      <c r="M43" s="246" t="n">
        <v>2825.9</v>
      </c>
      <c r="N43" s="246"/>
      <c r="O43" s="246"/>
      <c r="P43" s="246"/>
      <c r="Q43" s="246"/>
      <c r="R43" s="246"/>
      <c r="S43" s="246"/>
    </row>
    <row r="44" s="241" customFormat="true" ht="15" hidden="true" customHeight="false" outlineLevel="0" collapsed="false">
      <c r="B44" s="242" t="n">
        <v>2021</v>
      </c>
      <c r="C44" s="241" t="n">
        <v>2</v>
      </c>
      <c r="D44" s="243" t="s">
        <v>44</v>
      </c>
      <c r="E44" s="244" t="n">
        <v>52657562356</v>
      </c>
      <c r="F44" s="244" t="n">
        <v>97011710</v>
      </c>
      <c r="G44" s="245" t="n">
        <v>1</v>
      </c>
      <c r="H44" s="248" t="s">
        <v>248</v>
      </c>
      <c r="I44" s="246" t="n">
        <v>2825.9</v>
      </c>
      <c r="J44" s="246" t="n">
        <v>2825.9</v>
      </c>
      <c r="K44" s="246" t="n">
        <v>2825.9</v>
      </c>
      <c r="L44" s="246" t="n">
        <v>0</v>
      </c>
      <c r="M44" s="246" t="n">
        <v>2825.9</v>
      </c>
      <c r="N44" s="246"/>
      <c r="O44" s="246"/>
      <c r="P44" s="246"/>
      <c r="Q44" s="246"/>
      <c r="R44" s="246"/>
      <c r="S44" s="246"/>
    </row>
    <row r="45" s="241" customFormat="true" ht="15" hidden="true" customHeight="false" outlineLevel="0" collapsed="false">
      <c r="B45" s="242" t="n">
        <v>2021</v>
      </c>
      <c r="C45" s="241" t="n">
        <v>3</v>
      </c>
      <c r="D45" s="243" t="s">
        <v>44</v>
      </c>
      <c r="E45" s="244" t="n">
        <v>28699369338</v>
      </c>
      <c r="F45" s="244" t="n">
        <v>96358353</v>
      </c>
      <c r="G45" s="245" t="n">
        <v>1</v>
      </c>
      <c r="H45" s="241" t="s">
        <v>79</v>
      </c>
      <c r="I45" s="246" t="n">
        <v>3350</v>
      </c>
      <c r="J45" s="246" t="n">
        <v>3350</v>
      </c>
      <c r="K45" s="246" t="n">
        <v>3350</v>
      </c>
      <c r="L45" s="246" t="n">
        <v>0</v>
      </c>
      <c r="M45" s="246" t="n">
        <v>3350</v>
      </c>
      <c r="N45" s="246"/>
      <c r="O45" s="246"/>
      <c r="P45" s="246"/>
      <c r="Q45" s="249"/>
      <c r="R45" s="249"/>
      <c r="S45" s="246"/>
    </row>
    <row r="46" s="241" customFormat="true" ht="15" hidden="true" customHeight="false" outlineLevel="0" collapsed="false">
      <c r="B46" s="242" t="n">
        <v>2021</v>
      </c>
      <c r="C46" s="241" t="n">
        <v>3</v>
      </c>
      <c r="D46" s="243" t="s">
        <v>44</v>
      </c>
      <c r="E46" s="244" t="n">
        <v>63097169876</v>
      </c>
      <c r="F46" s="244" t="n">
        <v>96843148</v>
      </c>
      <c r="G46" s="245" t="n">
        <v>1</v>
      </c>
      <c r="H46" s="248" t="s">
        <v>122</v>
      </c>
      <c r="I46" s="246" t="n">
        <v>547</v>
      </c>
      <c r="J46" s="246" t="n">
        <v>4000</v>
      </c>
      <c r="K46" s="246" t="n">
        <v>547</v>
      </c>
      <c r="L46" s="246" t="n">
        <v>3453</v>
      </c>
      <c r="M46" s="250" t="n">
        <v>4000</v>
      </c>
      <c r="N46" s="250"/>
      <c r="O46" s="246"/>
      <c r="P46" s="246"/>
      <c r="Q46" s="249" t="n">
        <v>25</v>
      </c>
      <c r="R46" s="249"/>
      <c r="S46" s="246"/>
    </row>
    <row r="47" s="241" customFormat="true" ht="15" hidden="true" customHeight="false" outlineLevel="0" collapsed="false">
      <c r="B47" s="242" t="n">
        <v>2021</v>
      </c>
      <c r="C47" s="241" t="n">
        <v>3</v>
      </c>
      <c r="D47" s="243" t="s">
        <v>44</v>
      </c>
      <c r="E47" s="244" t="n">
        <v>36826974454</v>
      </c>
      <c r="F47" s="244" t="n">
        <v>95573006</v>
      </c>
      <c r="G47" s="245" t="n">
        <v>1</v>
      </c>
      <c r="H47" s="248" t="s">
        <v>188</v>
      </c>
      <c r="I47" s="246" t="n">
        <v>3013.72</v>
      </c>
      <c r="J47" s="246" t="n">
        <v>3013.72</v>
      </c>
      <c r="K47" s="246" t="n">
        <v>3013.72</v>
      </c>
      <c r="L47" s="246" t="n">
        <v>0</v>
      </c>
      <c r="M47" s="246" t="n">
        <v>3013.72</v>
      </c>
      <c r="N47" s="246"/>
      <c r="O47" s="246"/>
      <c r="P47" s="246"/>
      <c r="Q47" s="249"/>
      <c r="R47" s="249"/>
      <c r="S47" s="246"/>
    </row>
    <row r="48" s="241" customFormat="true" ht="15" hidden="true" customHeight="false" outlineLevel="0" collapsed="false">
      <c r="B48" s="242" t="n">
        <v>2021</v>
      </c>
      <c r="C48" s="241" t="n">
        <v>3</v>
      </c>
      <c r="D48" s="243" t="s">
        <v>44</v>
      </c>
      <c r="E48" s="244" t="n">
        <v>17630785580</v>
      </c>
      <c r="F48" s="244" t="n">
        <v>95529415</v>
      </c>
      <c r="G48" s="245" t="n">
        <v>1</v>
      </c>
      <c r="H48" s="248" t="s">
        <v>81</v>
      </c>
      <c r="I48" s="246" t="n">
        <v>3188.13</v>
      </c>
      <c r="J48" s="246" t="n">
        <v>7188.13</v>
      </c>
      <c r="K48" s="246" t="n">
        <v>3188.13</v>
      </c>
      <c r="L48" s="246" t="n">
        <v>4000</v>
      </c>
      <c r="M48" s="246" t="n">
        <v>7188.13</v>
      </c>
      <c r="N48" s="246"/>
      <c r="O48" s="246"/>
      <c r="P48" s="246"/>
      <c r="Q48" s="249"/>
      <c r="R48" s="249"/>
      <c r="S48" s="246"/>
    </row>
    <row r="49" s="241" customFormat="true" ht="15" hidden="true" customHeight="false" outlineLevel="0" collapsed="false">
      <c r="B49" s="242" t="n">
        <v>2021</v>
      </c>
      <c r="C49" s="241" t="n">
        <v>3</v>
      </c>
      <c r="D49" s="243" t="s">
        <v>44</v>
      </c>
      <c r="E49" s="244" t="n">
        <v>27172394690</v>
      </c>
      <c r="F49" s="244" t="n">
        <v>95702622</v>
      </c>
      <c r="G49" s="245" t="n">
        <v>1</v>
      </c>
      <c r="H49" s="248" t="s">
        <v>72</v>
      </c>
      <c r="I49" s="246" t="n">
        <v>3300</v>
      </c>
      <c r="J49" s="246" t="n">
        <v>3300.03</v>
      </c>
      <c r="K49" s="246" t="n">
        <v>3300</v>
      </c>
      <c r="L49" s="246" t="n">
        <v>0.03</v>
      </c>
      <c r="M49" s="246" t="n">
        <v>3300.03</v>
      </c>
      <c r="N49" s="246"/>
      <c r="O49" s="246"/>
      <c r="P49" s="246"/>
      <c r="Q49" s="249"/>
      <c r="R49" s="249"/>
      <c r="S49" s="246"/>
    </row>
    <row r="50" s="241" customFormat="true" ht="15" hidden="true" customHeight="false" outlineLevel="0" collapsed="false">
      <c r="B50" s="242" t="n">
        <v>2021</v>
      </c>
      <c r="C50" s="241" t="n">
        <v>3</v>
      </c>
      <c r="D50" s="243" t="s">
        <v>44</v>
      </c>
      <c r="E50" s="244" t="n">
        <v>64996156028</v>
      </c>
      <c r="F50" s="244" t="n">
        <v>95539771</v>
      </c>
      <c r="G50" s="245" t="n">
        <v>1</v>
      </c>
      <c r="H50" s="241" t="s">
        <v>55</v>
      </c>
      <c r="I50" s="246" t="n">
        <v>2825.9</v>
      </c>
      <c r="J50" s="246" t="n">
        <v>2825.9</v>
      </c>
      <c r="K50" s="246" t="n">
        <v>2825.9</v>
      </c>
      <c r="L50" s="246" t="n">
        <v>0</v>
      </c>
      <c r="M50" s="246" t="n">
        <v>2825.9</v>
      </c>
      <c r="N50" s="246"/>
      <c r="O50" s="246"/>
      <c r="P50" s="246"/>
      <c r="Q50" s="249"/>
      <c r="R50" s="249"/>
      <c r="S50" s="246"/>
    </row>
    <row r="51" s="241" customFormat="true" ht="15" hidden="true" customHeight="false" outlineLevel="0" collapsed="false">
      <c r="B51" s="242" t="n">
        <v>2021</v>
      </c>
      <c r="C51" s="241" t="n">
        <v>3</v>
      </c>
      <c r="D51" s="243" t="s">
        <v>44</v>
      </c>
      <c r="E51" s="244" t="n">
        <v>59233322526</v>
      </c>
      <c r="F51" s="244" t="n">
        <v>96712272</v>
      </c>
      <c r="G51" s="245" t="n">
        <v>1</v>
      </c>
      <c r="H51" s="248" t="s">
        <v>68</v>
      </c>
      <c r="I51" s="246" t="n">
        <v>3500</v>
      </c>
      <c r="J51" s="246" t="n">
        <v>3500</v>
      </c>
      <c r="K51" s="246" t="n">
        <v>3500</v>
      </c>
      <c r="L51" s="246" t="n">
        <v>0</v>
      </c>
      <c r="M51" s="246" t="n">
        <v>3500</v>
      </c>
      <c r="N51" s="246"/>
      <c r="O51" s="246"/>
      <c r="P51" s="246"/>
      <c r="Q51" s="249"/>
      <c r="R51" s="249"/>
      <c r="S51" s="246"/>
    </row>
    <row r="52" s="241" customFormat="true" ht="15" hidden="true" customHeight="false" outlineLevel="0" collapsed="false">
      <c r="B52" s="242" t="n">
        <v>2021</v>
      </c>
      <c r="C52" s="241" t="n">
        <v>3</v>
      </c>
      <c r="D52" s="243" t="s">
        <v>44</v>
      </c>
      <c r="E52" s="244" t="n">
        <v>55186680706</v>
      </c>
      <c r="F52" s="244" t="n">
        <v>95787183</v>
      </c>
      <c r="G52" s="245" t="n">
        <v>1</v>
      </c>
      <c r="H52" s="241" t="s">
        <v>73</v>
      </c>
      <c r="I52" s="246" t="n">
        <v>1530.4</v>
      </c>
      <c r="J52" s="246" t="n">
        <v>5000</v>
      </c>
      <c r="K52" s="246" t="n">
        <v>1530.4</v>
      </c>
      <c r="L52" s="246" t="n">
        <v>3469.6</v>
      </c>
      <c r="M52" s="250" t="n">
        <v>5000</v>
      </c>
      <c r="N52" s="250"/>
      <c r="O52" s="246"/>
      <c r="P52" s="246"/>
      <c r="Q52" s="249" t="n">
        <v>15</v>
      </c>
      <c r="R52" s="249"/>
      <c r="S52" s="246"/>
    </row>
    <row r="53" s="241" customFormat="true" ht="15" hidden="true" customHeight="false" outlineLevel="0" collapsed="false">
      <c r="B53" s="242" t="n">
        <v>2021</v>
      </c>
      <c r="C53" s="241" t="n">
        <v>3</v>
      </c>
      <c r="D53" s="243" t="s">
        <v>44</v>
      </c>
      <c r="E53" s="244" t="n">
        <v>21242693324</v>
      </c>
      <c r="F53" s="244" t="n">
        <v>95532064</v>
      </c>
      <c r="G53" s="245" t="n">
        <v>1</v>
      </c>
      <c r="H53" s="248" t="s">
        <v>85</v>
      </c>
      <c r="I53" s="246" t="n">
        <v>2825.9</v>
      </c>
      <c r="J53" s="246" t="n">
        <v>2825.9</v>
      </c>
      <c r="K53" s="246" t="n">
        <v>2825.9</v>
      </c>
      <c r="L53" s="246" t="n">
        <v>0</v>
      </c>
      <c r="M53" s="246" t="n">
        <v>2825.9</v>
      </c>
      <c r="N53" s="246"/>
      <c r="O53" s="246"/>
      <c r="P53" s="246"/>
      <c r="Q53" s="249"/>
      <c r="R53" s="249"/>
      <c r="S53" s="246"/>
    </row>
    <row r="54" s="241" customFormat="true" ht="15" hidden="true" customHeight="false" outlineLevel="0" collapsed="false">
      <c r="B54" s="242" t="n">
        <v>2021</v>
      </c>
      <c r="C54" s="241" t="n">
        <v>3</v>
      </c>
      <c r="D54" s="243" t="s">
        <v>44</v>
      </c>
      <c r="E54" s="244" t="n">
        <v>17159801204</v>
      </c>
      <c r="F54" s="244" t="n">
        <v>95532066</v>
      </c>
      <c r="G54" s="245" t="n">
        <v>1</v>
      </c>
      <c r="H54" s="248" t="s">
        <v>87</v>
      </c>
      <c r="I54" s="246" t="n">
        <v>2919.81</v>
      </c>
      <c r="J54" s="246" t="n">
        <v>2919.81</v>
      </c>
      <c r="K54" s="246" t="n">
        <v>2919.81</v>
      </c>
      <c r="L54" s="246" t="n">
        <v>0</v>
      </c>
      <c r="M54" s="246" t="n">
        <v>2919.81</v>
      </c>
      <c r="N54" s="246"/>
      <c r="O54" s="246"/>
      <c r="P54" s="246"/>
      <c r="Q54" s="249"/>
      <c r="R54" s="249"/>
      <c r="S54" s="246"/>
    </row>
    <row r="55" s="241" customFormat="true" ht="15" hidden="true" customHeight="false" outlineLevel="0" collapsed="false">
      <c r="B55" s="242" t="n">
        <v>2021</v>
      </c>
      <c r="C55" s="241" t="n">
        <v>3</v>
      </c>
      <c r="D55" s="243" t="s">
        <v>44</v>
      </c>
      <c r="E55" s="244" t="n">
        <v>66385338732</v>
      </c>
      <c r="F55" s="244" t="n">
        <v>96717247</v>
      </c>
      <c r="G55" s="245" t="n">
        <v>1</v>
      </c>
      <c r="H55" s="248" t="s">
        <v>52</v>
      </c>
      <c r="I55" s="246" t="n">
        <v>2119.43</v>
      </c>
      <c r="J55" s="246" t="n">
        <v>2119.43</v>
      </c>
      <c r="K55" s="246" t="n">
        <v>2119.43</v>
      </c>
      <c r="L55" s="246" t="n">
        <v>0</v>
      </c>
      <c r="M55" s="246" t="n">
        <v>2119.43</v>
      </c>
      <c r="N55" s="246"/>
      <c r="O55" s="246" t="s">
        <v>250</v>
      </c>
      <c r="P55" s="246" t="n">
        <v>-706.48</v>
      </c>
      <c r="Q55" s="249"/>
      <c r="R55" s="249"/>
      <c r="S55" s="246" t="s">
        <v>250</v>
      </c>
    </row>
    <row r="56" s="241" customFormat="true" ht="15" hidden="true" customHeight="false" outlineLevel="0" collapsed="false">
      <c r="B56" s="242" t="n">
        <v>2021</v>
      </c>
      <c r="C56" s="241" t="n">
        <v>3</v>
      </c>
      <c r="D56" s="243" t="s">
        <v>44</v>
      </c>
      <c r="E56" s="244" t="n">
        <v>23764482950</v>
      </c>
      <c r="F56" s="244" t="n">
        <v>95532077</v>
      </c>
      <c r="G56" s="245" t="n">
        <v>1</v>
      </c>
      <c r="H56" s="248" t="s">
        <v>93</v>
      </c>
      <c r="I56" s="246" t="n">
        <v>547</v>
      </c>
      <c r="J56" s="246" t="n">
        <v>3300</v>
      </c>
      <c r="K56" s="246" t="n">
        <v>547</v>
      </c>
      <c r="L56" s="246" t="n">
        <v>2753</v>
      </c>
      <c r="M56" s="250" t="n">
        <v>3300</v>
      </c>
      <c r="N56" s="250"/>
      <c r="O56" s="246"/>
      <c r="P56" s="246"/>
      <c r="Q56" s="249" t="n">
        <v>25</v>
      </c>
      <c r="R56" s="249"/>
      <c r="S56" s="246"/>
    </row>
    <row r="57" s="241" customFormat="true" ht="15" hidden="true" customHeight="false" outlineLevel="0" collapsed="false">
      <c r="B57" s="242" t="n">
        <v>2021</v>
      </c>
      <c r="C57" s="241" t="n">
        <v>3</v>
      </c>
      <c r="D57" s="243" t="s">
        <v>36</v>
      </c>
      <c r="E57" s="244" t="n">
        <v>18274523170</v>
      </c>
      <c r="F57" s="244" t="n">
        <v>95532068</v>
      </c>
      <c r="G57" s="245" t="n">
        <v>1</v>
      </c>
      <c r="H57" s="248" t="s">
        <v>14</v>
      </c>
      <c r="I57" s="246" t="n">
        <v>547</v>
      </c>
      <c r="J57" s="246" t="n">
        <v>3300</v>
      </c>
      <c r="K57" s="246" t="n">
        <v>547</v>
      </c>
      <c r="L57" s="246" t="n">
        <v>2753</v>
      </c>
      <c r="M57" s="250" t="n">
        <v>3300</v>
      </c>
      <c r="N57" s="250"/>
      <c r="O57" s="246"/>
      <c r="P57" s="246"/>
      <c r="Q57" s="249" t="n">
        <v>25</v>
      </c>
      <c r="R57" s="249"/>
      <c r="S57" s="246"/>
    </row>
    <row r="58" s="241" customFormat="true" ht="15" hidden="true" customHeight="false" outlineLevel="0" collapsed="false">
      <c r="B58" s="242" t="n">
        <v>2021</v>
      </c>
      <c r="C58" s="241" t="n">
        <v>3</v>
      </c>
      <c r="D58" s="243" t="s">
        <v>36</v>
      </c>
      <c r="E58" s="244" t="n">
        <v>25672444846</v>
      </c>
      <c r="F58" s="244" t="n">
        <v>95693810</v>
      </c>
      <c r="G58" s="245" t="n">
        <v>1</v>
      </c>
      <c r="H58" s="248" t="s">
        <v>245</v>
      </c>
      <c r="I58" s="246" t="n">
        <v>3300</v>
      </c>
      <c r="J58" s="246" t="n">
        <v>3300</v>
      </c>
      <c r="K58" s="246" t="n">
        <v>3300</v>
      </c>
      <c r="L58" s="246" t="n">
        <v>0</v>
      </c>
      <c r="M58" s="246" t="n">
        <v>3300</v>
      </c>
      <c r="N58" s="246"/>
      <c r="O58" s="246"/>
      <c r="P58" s="246"/>
      <c r="Q58" s="249"/>
      <c r="R58" s="249"/>
      <c r="S58" s="246"/>
    </row>
    <row r="59" s="241" customFormat="true" ht="15" hidden="true" customHeight="false" outlineLevel="0" collapsed="false">
      <c r="B59" s="242" t="n">
        <v>2021</v>
      </c>
      <c r="C59" s="241" t="n">
        <v>3</v>
      </c>
      <c r="D59" s="243" t="s">
        <v>36</v>
      </c>
      <c r="E59" s="244" t="n">
        <v>39617231002</v>
      </c>
      <c r="F59" s="244" t="n">
        <v>95532072</v>
      </c>
      <c r="G59" s="245" t="n">
        <v>1</v>
      </c>
      <c r="H59" s="248" t="s">
        <v>38</v>
      </c>
      <c r="I59" s="246" t="n">
        <v>3300</v>
      </c>
      <c r="J59" s="246" t="n">
        <v>3300</v>
      </c>
      <c r="K59" s="246" t="n">
        <v>3300</v>
      </c>
      <c r="L59" s="246" t="n">
        <v>0</v>
      </c>
      <c r="M59" s="246" t="n">
        <v>3300</v>
      </c>
      <c r="N59" s="246"/>
      <c r="O59" s="246"/>
      <c r="P59" s="246"/>
      <c r="Q59" s="249"/>
      <c r="R59" s="249"/>
      <c r="S59" s="246"/>
    </row>
    <row r="60" s="241" customFormat="true" ht="15" hidden="true" customHeight="false" outlineLevel="0" collapsed="false">
      <c r="B60" s="242" t="n">
        <v>2021</v>
      </c>
      <c r="C60" s="241" t="n">
        <v>3</v>
      </c>
      <c r="D60" s="243" t="s">
        <v>36</v>
      </c>
      <c r="E60" s="244" t="n">
        <v>15394555838</v>
      </c>
      <c r="F60" s="244" t="n">
        <v>95580195</v>
      </c>
      <c r="G60" s="245" t="n">
        <v>1</v>
      </c>
      <c r="H60" s="248" t="s">
        <v>48</v>
      </c>
      <c r="I60" s="246" t="n">
        <v>547</v>
      </c>
      <c r="J60" s="246" t="n">
        <v>3300</v>
      </c>
      <c r="K60" s="246" t="n">
        <v>547</v>
      </c>
      <c r="L60" s="246" t="n">
        <v>2753</v>
      </c>
      <c r="M60" s="250" t="n">
        <v>3300</v>
      </c>
      <c r="N60" s="250"/>
      <c r="O60" s="246"/>
      <c r="P60" s="246"/>
      <c r="Q60" s="249" t="n">
        <v>25</v>
      </c>
      <c r="R60" s="249" t="n">
        <v>1</v>
      </c>
      <c r="S60" s="246"/>
    </row>
    <row r="61" s="241" customFormat="true" ht="15" hidden="true" customHeight="false" outlineLevel="0" collapsed="false">
      <c r="B61" s="242" t="n">
        <v>2021</v>
      </c>
      <c r="C61" s="241" t="n">
        <v>3</v>
      </c>
      <c r="D61" s="243" t="s">
        <v>44</v>
      </c>
      <c r="E61" s="244" t="n">
        <v>33853146700</v>
      </c>
      <c r="F61" s="244" t="n">
        <v>96959868</v>
      </c>
      <c r="G61" s="245" t="n">
        <v>1</v>
      </c>
      <c r="H61" s="248" t="s">
        <v>247</v>
      </c>
      <c r="I61" s="246" t="n">
        <v>547</v>
      </c>
      <c r="J61" s="246" t="n">
        <v>4000</v>
      </c>
      <c r="K61" s="246" t="n">
        <v>547</v>
      </c>
      <c r="L61" s="246" t="n">
        <v>3453</v>
      </c>
      <c r="M61" s="250" t="n">
        <v>4000</v>
      </c>
      <c r="N61" s="250"/>
      <c r="O61" s="246"/>
      <c r="P61" s="246"/>
      <c r="Q61" s="249" t="n">
        <v>25</v>
      </c>
      <c r="R61" s="249"/>
      <c r="S61" s="246"/>
    </row>
    <row r="62" s="241" customFormat="true" ht="15" hidden="true" customHeight="false" outlineLevel="0" collapsed="false">
      <c r="B62" s="242" t="n">
        <v>2021</v>
      </c>
      <c r="C62" s="241" t="n">
        <v>3</v>
      </c>
      <c r="D62" s="243" t="s">
        <v>44</v>
      </c>
      <c r="E62" s="244" t="n">
        <v>51994540164</v>
      </c>
      <c r="F62" s="244" t="n">
        <v>96900867</v>
      </c>
      <c r="G62" s="245" t="n">
        <v>1</v>
      </c>
      <c r="H62" s="248" t="s">
        <v>97</v>
      </c>
      <c r="I62" s="246" t="n">
        <v>2825.9</v>
      </c>
      <c r="J62" s="246" t="n">
        <v>2825.9</v>
      </c>
      <c r="K62" s="246" t="n">
        <v>2825.9</v>
      </c>
      <c r="L62" s="246" t="n">
        <v>0</v>
      </c>
      <c r="M62" s="246" t="n">
        <v>2825.9</v>
      </c>
      <c r="N62" s="246"/>
      <c r="O62" s="246"/>
      <c r="P62" s="246"/>
      <c r="Q62" s="249"/>
      <c r="R62" s="249"/>
      <c r="S62" s="246"/>
    </row>
    <row r="63" s="241" customFormat="true" ht="15" hidden="true" customHeight="false" outlineLevel="0" collapsed="false">
      <c r="B63" s="242" t="n">
        <v>2021</v>
      </c>
      <c r="C63" s="241" t="n">
        <v>3</v>
      </c>
      <c r="D63" s="243" t="s">
        <v>44</v>
      </c>
      <c r="E63" s="244" t="n">
        <v>52657562356</v>
      </c>
      <c r="F63" s="244" t="n">
        <v>97011710</v>
      </c>
      <c r="G63" s="245" t="n">
        <v>1</v>
      </c>
      <c r="H63" s="248" t="s">
        <v>248</v>
      </c>
      <c r="I63" s="246" t="n">
        <v>2825.9</v>
      </c>
      <c r="J63" s="246" t="n">
        <v>2825.9</v>
      </c>
      <c r="K63" s="246" t="n">
        <v>2825.9</v>
      </c>
      <c r="L63" s="246" t="n">
        <v>0</v>
      </c>
      <c r="M63" s="246" t="n">
        <v>2825.9</v>
      </c>
      <c r="N63" s="246"/>
      <c r="O63" s="246"/>
      <c r="P63" s="246"/>
      <c r="Q63" s="249"/>
      <c r="R63" s="249"/>
      <c r="S63" s="246"/>
    </row>
    <row r="64" s="241" customFormat="true" ht="15" hidden="true" customHeight="false" outlineLevel="0" collapsed="false">
      <c r="B64" s="242" t="n">
        <v>2021</v>
      </c>
      <c r="C64" s="241" t="n">
        <v>4</v>
      </c>
      <c r="D64" s="243" t="s">
        <v>44</v>
      </c>
      <c r="E64" s="244" t="n">
        <v>28699369338</v>
      </c>
      <c r="F64" s="244" t="n">
        <v>96358353</v>
      </c>
      <c r="G64" s="245" t="n">
        <v>1</v>
      </c>
      <c r="H64" s="241" t="s">
        <v>79</v>
      </c>
      <c r="I64" s="246" t="n">
        <v>4000</v>
      </c>
      <c r="J64" s="246" t="n">
        <v>4000</v>
      </c>
      <c r="K64" s="246" t="n">
        <v>4000</v>
      </c>
      <c r="L64" s="246" t="n">
        <v>0</v>
      </c>
      <c r="M64" s="246" t="n">
        <v>4000</v>
      </c>
      <c r="N64" s="246"/>
      <c r="O64" s="246"/>
      <c r="P64" s="246"/>
      <c r="Q64" s="249"/>
      <c r="R64" s="249"/>
      <c r="S64" s="246"/>
    </row>
    <row r="65" s="241" customFormat="true" ht="15" hidden="true" customHeight="false" outlineLevel="0" collapsed="false">
      <c r="B65" s="242" t="n">
        <v>2021</v>
      </c>
      <c r="C65" s="241" t="n">
        <v>4</v>
      </c>
      <c r="D65" s="243" t="s">
        <v>44</v>
      </c>
      <c r="E65" s="244" t="n">
        <v>63097169876</v>
      </c>
      <c r="F65" s="244" t="n">
        <v>96843148</v>
      </c>
      <c r="G65" s="245" t="n">
        <v>1</v>
      </c>
      <c r="H65" s="248" t="s">
        <v>122</v>
      </c>
      <c r="I65" s="246" t="n">
        <v>547</v>
      </c>
      <c r="J65" s="246" t="n">
        <v>4300</v>
      </c>
      <c r="K65" s="246" t="n">
        <v>547</v>
      </c>
      <c r="L65" s="246" t="n">
        <v>3753</v>
      </c>
      <c r="M65" s="250" t="n">
        <v>4300</v>
      </c>
      <c r="N65" s="250"/>
      <c r="O65" s="246"/>
      <c r="P65" s="246"/>
      <c r="Q65" s="249" t="n">
        <v>25</v>
      </c>
      <c r="R65" s="249"/>
      <c r="S65" s="246"/>
    </row>
    <row r="66" s="241" customFormat="true" ht="15" hidden="true" customHeight="false" outlineLevel="0" collapsed="false">
      <c r="B66" s="242" t="n">
        <v>2021</v>
      </c>
      <c r="C66" s="241" t="n">
        <v>4</v>
      </c>
      <c r="D66" s="243" t="s">
        <v>44</v>
      </c>
      <c r="E66" s="244" t="n">
        <v>36826974454</v>
      </c>
      <c r="F66" s="244" t="n">
        <v>95573006</v>
      </c>
      <c r="G66" s="245" t="n">
        <v>1</v>
      </c>
      <c r="H66" s="248" t="s">
        <v>188</v>
      </c>
      <c r="I66" s="246" t="n">
        <v>3313.72</v>
      </c>
      <c r="J66" s="246" t="n">
        <v>3313.72</v>
      </c>
      <c r="K66" s="246" t="n">
        <v>3313.72</v>
      </c>
      <c r="L66" s="246" t="n">
        <v>0</v>
      </c>
      <c r="M66" s="246" t="n">
        <v>3313.72</v>
      </c>
      <c r="N66" s="246"/>
      <c r="O66" s="246"/>
      <c r="P66" s="246"/>
      <c r="Q66" s="249"/>
      <c r="R66" s="249"/>
      <c r="S66" s="246"/>
    </row>
    <row r="67" s="241" customFormat="true" ht="15" hidden="true" customHeight="false" outlineLevel="0" collapsed="false">
      <c r="B67" s="242" t="n">
        <v>2021</v>
      </c>
      <c r="C67" s="241" t="n">
        <v>4</v>
      </c>
      <c r="D67" s="243" t="s">
        <v>44</v>
      </c>
      <c r="E67" s="244" t="n">
        <v>17630785580</v>
      </c>
      <c r="F67" s="244" t="n">
        <v>95529415</v>
      </c>
      <c r="G67" s="245" t="n">
        <v>1</v>
      </c>
      <c r="H67" s="248" t="s">
        <v>81</v>
      </c>
      <c r="I67" s="246" t="n">
        <v>3188.13</v>
      </c>
      <c r="J67" s="246" t="n">
        <v>7188.13</v>
      </c>
      <c r="K67" s="246" t="n">
        <v>3188.13</v>
      </c>
      <c r="L67" s="246" t="n">
        <v>4000</v>
      </c>
      <c r="M67" s="246" t="n">
        <v>7188.13</v>
      </c>
      <c r="N67" s="246"/>
      <c r="O67" s="246"/>
      <c r="P67" s="246"/>
      <c r="Q67" s="249"/>
      <c r="R67" s="249"/>
      <c r="S67" s="246"/>
    </row>
    <row r="68" s="241" customFormat="true" ht="15" hidden="true" customHeight="false" outlineLevel="0" collapsed="false">
      <c r="B68" s="242" t="n">
        <v>2021</v>
      </c>
      <c r="C68" s="241" t="n">
        <v>4</v>
      </c>
      <c r="D68" s="243" t="s">
        <v>44</v>
      </c>
      <c r="E68" s="244" t="n">
        <v>27172394690</v>
      </c>
      <c r="F68" s="244" t="n">
        <v>95702622</v>
      </c>
      <c r="G68" s="245" t="n">
        <v>1</v>
      </c>
      <c r="H68" s="248" t="s">
        <v>72</v>
      </c>
      <c r="I68" s="246" t="n">
        <v>3600</v>
      </c>
      <c r="J68" s="246" t="n">
        <v>3600.03</v>
      </c>
      <c r="K68" s="246" t="n">
        <v>3600</v>
      </c>
      <c r="L68" s="246" t="n">
        <v>0.03</v>
      </c>
      <c r="M68" s="246" t="n">
        <v>3600.03</v>
      </c>
      <c r="N68" s="246"/>
      <c r="O68" s="246"/>
      <c r="P68" s="246"/>
      <c r="Q68" s="249"/>
      <c r="R68" s="249"/>
      <c r="S68" s="246"/>
    </row>
    <row r="69" s="241" customFormat="true" ht="15" hidden="true" customHeight="false" outlineLevel="0" collapsed="false">
      <c r="B69" s="242" t="n">
        <v>2021</v>
      </c>
      <c r="C69" s="241" t="n">
        <v>4</v>
      </c>
      <c r="D69" s="243" t="s">
        <v>44</v>
      </c>
      <c r="E69" s="244" t="n">
        <v>64996156028</v>
      </c>
      <c r="F69" s="244" t="n">
        <v>95539771</v>
      </c>
      <c r="G69" s="245" t="n">
        <v>1</v>
      </c>
      <c r="H69" s="241" t="s">
        <v>55</v>
      </c>
      <c r="I69" s="246" t="n">
        <v>3000</v>
      </c>
      <c r="J69" s="246" t="n">
        <v>3000</v>
      </c>
      <c r="K69" s="246" t="n">
        <v>3000</v>
      </c>
      <c r="L69" s="246" t="n">
        <v>0</v>
      </c>
      <c r="M69" s="246" t="n">
        <v>3000</v>
      </c>
      <c r="N69" s="246"/>
      <c r="O69" s="246"/>
      <c r="P69" s="246"/>
      <c r="Q69" s="249"/>
      <c r="R69" s="249"/>
      <c r="S69" s="246"/>
    </row>
    <row r="70" s="241" customFormat="true" ht="15" hidden="true" customHeight="false" outlineLevel="0" collapsed="false">
      <c r="B70" s="242" t="n">
        <v>2021</v>
      </c>
      <c r="C70" s="241" t="n">
        <v>4</v>
      </c>
      <c r="D70" s="243" t="s">
        <v>44</v>
      </c>
      <c r="E70" s="244" t="n">
        <v>59233322526</v>
      </c>
      <c r="F70" s="244" t="n">
        <v>96712272</v>
      </c>
      <c r="G70" s="245" t="n">
        <v>1</v>
      </c>
      <c r="H70" s="248" t="s">
        <v>68</v>
      </c>
      <c r="I70" s="246" t="n">
        <v>4000</v>
      </c>
      <c r="J70" s="246" t="n">
        <v>4000</v>
      </c>
      <c r="K70" s="246" t="n">
        <v>4000</v>
      </c>
      <c r="L70" s="246" t="n">
        <v>0</v>
      </c>
      <c r="M70" s="246" t="n">
        <v>4000</v>
      </c>
      <c r="N70" s="246"/>
      <c r="O70" s="246"/>
      <c r="P70" s="246"/>
      <c r="Q70" s="249"/>
      <c r="R70" s="249"/>
      <c r="S70" s="246"/>
    </row>
    <row r="71" s="241" customFormat="true" ht="15" hidden="true" customHeight="false" outlineLevel="0" collapsed="false">
      <c r="B71" s="242" t="n">
        <v>2021</v>
      </c>
      <c r="C71" s="241" t="n">
        <v>4</v>
      </c>
      <c r="D71" s="243" t="s">
        <v>44</v>
      </c>
      <c r="E71" s="244" t="n">
        <v>55186680706</v>
      </c>
      <c r="F71" s="244" t="n">
        <v>95787183</v>
      </c>
      <c r="G71" s="245" t="n">
        <v>1</v>
      </c>
      <c r="H71" s="241" t="s">
        <v>73</v>
      </c>
      <c r="I71" s="246" t="n">
        <v>1530.4</v>
      </c>
      <c r="J71" s="246" t="n">
        <v>5000</v>
      </c>
      <c r="K71" s="246" t="n">
        <v>1530.4</v>
      </c>
      <c r="L71" s="246" t="n">
        <v>3469.6</v>
      </c>
      <c r="M71" s="250" t="n">
        <v>5000</v>
      </c>
      <c r="N71" s="250"/>
      <c r="O71" s="246"/>
      <c r="P71" s="246"/>
      <c r="Q71" s="249" t="n">
        <v>15</v>
      </c>
      <c r="R71" s="249"/>
      <c r="S71" s="246"/>
    </row>
    <row r="72" s="241" customFormat="true" ht="15" hidden="true" customHeight="false" outlineLevel="0" collapsed="false">
      <c r="B72" s="242" t="n">
        <v>2021</v>
      </c>
      <c r="C72" s="241" t="n">
        <v>4</v>
      </c>
      <c r="D72" s="243" t="s">
        <v>44</v>
      </c>
      <c r="E72" s="244" t="n">
        <v>21242693324</v>
      </c>
      <c r="F72" s="244" t="n">
        <v>95532064</v>
      </c>
      <c r="G72" s="245" t="n">
        <v>1</v>
      </c>
      <c r="H72" s="248" t="s">
        <v>85</v>
      </c>
      <c r="I72" s="246" t="n">
        <v>3600</v>
      </c>
      <c r="J72" s="246" t="n">
        <v>3600</v>
      </c>
      <c r="K72" s="246" t="n">
        <v>3600</v>
      </c>
      <c r="L72" s="246" t="n">
        <v>0</v>
      </c>
      <c r="M72" s="246" t="n">
        <v>3600</v>
      </c>
      <c r="N72" s="246"/>
      <c r="O72" s="246"/>
      <c r="P72" s="246"/>
      <c r="Q72" s="249"/>
      <c r="R72" s="249"/>
      <c r="S72" s="246"/>
    </row>
    <row r="73" s="241" customFormat="true" ht="15" hidden="true" customHeight="false" outlineLevel="0" collapsed="false">
      <c r="B73" s="242" t="n">
        <v>2021</v>
      </c>
      <c r="C73" s="241" t="n">
        <v>4</v>
      </c>
      <c r="D73" s="243" t="s">
        <v>44</v>
      </c>
      <c r="E73" s="244" t="n">
        <v>17159801204</v>
      </c>
      <c r="F73" s="244" t="n">
        <v>95532066</v>
      </c>
      <c r="G73" s="245" t="n">
        <v>1</v>
      </c>
      <c r="H73" s="248" t="s">
        <v>87</v>
      </c>
      <c r="I73" s="246" t="n">
        <v>3600</v>
      </c>
      <c r="J73" s="246" t="n">
        <v>3600</v>
      </c>
      <c r="K73" s="246" t="n">
        <v>3600</v>
      </c>
      <c r="L73" s="246" t="n">
        <v>0</v>
      </c>
      <c r="M73" s="246" t="n">
        <v>3600</v>
      </c>
      <c r="N73" s="246"/>
      <c r="O73" s="246"/>
      <c r="P73" s="246"/>
      <c r="Q73" s="249"/>
      <c r="R73" s="249"/>
      <c r="S73" s="246"/>
    </row>
    <row r="74" s="241" customFormat="true" ht="15" hidden="true" customHeight="false" outlineLevel="0" collapsed="false">
      <c r="B74" s="242" t="n">
        <v>2021</v>
      </c>
      <c r="C74" s="241" t="n">
        <v>4</v>
      </c>
      <c r="D74" s="243" t="s">
        <v>44</v>
      </c>
      <c r="E74" s="244" t="n">
        <v>66385338732</v>
      </c>
      <c r="F74" s="244" t="n">
        <v>96717247</v>
      </c>
      <c r="G74" s="245" t="n">
        <v>1</v>
      </c>
      <c r="H74" s="248" t="s">
        <v>52</v>
      </c>
      <c r="I74" s="246" t="n">
        <v>2418.53</v>
      </c>
      <c r="J74" s="246" t="n">
        <v>2418.53</v>
      </c>
      <c r="K74" s="246" t="n">
        <v>2418.53</v>
      </c>
      <c r="L74" s="246" t="n">
        <v>0</v>
      </c>
      <c r="M74" s="246" t="n">
        <v>2418.53</v>
      </c>
      <c r="N74" s="246"/>
      <c r="O74" s="246" t="s">
        <v>250</v>
      </c>
      <c r="P74" s="246" t="n">
        <v>-706.48</v>
      </c>
      <c r="Q74" s="249"/>
      <c r="R74" s="249"/>
      <c r="S74" s="246" t="s">
        <v>250</v>
      </c>
    </row>
    <row r="75" s="241" customFormat="true" ht="15" hidden="true" customHeight="false" outlineLevel="0" collapsed="false">
      <c r="B75" s="242" t="n">
        <v>2021</v>
      </c>
      <c r="C75" s="241" t="n">
        <v>4</v>
      </c>
      <c r="D75" s="243" t="s">
        <v>44</v>
      </c>
      <c r="E75" s="244" t="n">
        <v>23764482950</v>
      </c>
      <c r="F75" s="244" t="n">
        <v>95532077</v>
      </c>
      <c r="G75" s="245" t="n">
        <v>1</v>
      </c>
      <c r="H75" s="248" t="s">
        <v>93</v>
      </c>
      <c r="I75" s="246" t="n">
        <v>547</v>
      </c>
      <c r="J75" s="246" t="n">
        <v>3600</v>
      </c>
      <c r="K75" s="246" t="n">
        <v>547</v>
      </c>
      <c r="L75" s="246" t="n">
        <v>3053</v>
      </c>
      <c r="M75" s="250" t="n">
        <v>3600</v>
      </c>
      <c r="N75" s="250"/>
      <c r="O75" s="246"/>
      <c r="P75" s="246"/>
      <c r="Q75" s="249" t="n">
        <v>25</v>
      </c>
      <c r="R75" s="249"/>
      <c r="S75" s="246"/>
    </row>
    <row r="76" s="241" customFormat="true" ht="15" hidden="true" customHeight="false" outlineLevel="0" collapsed="false">
      <c r="B76" s="242" t="n">
        <v>2021</v>
      </c>
      <c r="C76" s="241" t="n">
        <v>4</v>
      </c>
      <c r="D76" s="243" t="s">
        <v>36</v>
      </c>
      <c r="E76" s="244" t="n">
        <v>18274523170</v>
      </c>
      <c r="F76" s="244" t="n">
        <v>95532068</v>
      </c>
      <c r="G76" s="245" t="n">
        <v>1</v>
      </c>
      <c r="H76" s="248" t="s">
        <v>14</v>
      </c>
      <c r="I76" s="246" t="n">
        <v>547</v>
      </c>
      <c r="J76" s="246" t="n">
        <v>3600</v>
      </c>
      <c r="K76" s="246" t="n">
        <v>547</v>
      </c>
      <c r="L76" s="246" t="n">
        <v>3053</v>
      </c>
      <c r="M76" s="250" t="n">
        <v>3600</v>
      </c>
      <c r="N76" s="250"/>
      <c r="O76" s="246"/>
      <c r="P76" s="246"/>
      <c r="Q76" s="249" t="n">
        <v>25</v>
      </c>
      <c r="R76" s="249"/>
      <c r="S76" s="246"/>
    </row>
    <row r="77" s="241" customFormat="true" ht="15" hidden="true" customHeight="false" outlineLevel="0" collapsed="false">
      <c r="B77" s="242" t="n">
        <v>2021</v>
      </c>
      <c r="C77" s="241" t="n">
        <v>4</v>
      </c>
      <c r="D77" s="243" t="s">
        <v>36</v>
      </c>
      <c r="E77" s="244" t="n">
        <v>25672444846</v>
      </c>
      <c r="F77" s="244" t="n">
        <v>95693810</v>
      </c>
      <c r="G77" s="245" t="n">
        <v>1</v>
      </c>
      <c r="H77" s="248" t="s">
        <v>245</v>
      </c>
      <c r="I77" s="246" t="n">
        <v>3600</v>
      </c>
      <c r="J77" s="246" t="n">
        <v>3600</v>
      </c>
      <c r="K77" s="246" t="n">
        <v>3600</v>
      </c>
      <c r="L77" s="246" t="n">
        <v>0</v>
      </c>
      <c r="M77" s="246" t="n">
        <v>3600</v>
      </c>
      <c r="N77" s="246"/>
      <c r="O77" s="246"/>
      <c r="P77" s="246"/>
      <c r="Q77" s="249"/>
      <c r="R77" s="249"/>
      <c r="S77" s="246"/>
    </row>
    <row r="78" s="241" customFormat="true" ht="15" hidden="true" customHeight="false" outlineLevel="0" collapsed="false">
      <c r="B78" s="242" t="n">
        <v>2021</v>
      </c>
      <c r="C78" s="241" t="n">
        <v>4</v>
      </c>
      <c r="D78" s="243" t="s">
        <v>36</v>
      </c>
      <c r="E78" s="244" t="n">
        <v>39617231002</v>
      </c>
      <c r="F78" s="244" t="n">
        <v>95532072</v>
      </c>
      <c r="G78" s="245" t="n">
        <v>1</v>
      </c>
      <c r="H78" s="248" t="s">
        <v>38</v>
      </c>
      <c r="I78" s="246" t="n">
        <v>3600</v>
      </c>
      <c r="J78" s="246" t="n">
        <v>3600</v>
      </c>
      <c r="K78" s="246" t="n">
        <v>3600</v>
      </c>
      <c r="L78" s="246" t="n">
        <v>0</v>
      </c>
      <c r="M78" s="246" t="n">
        <v>3600</v>
      </c>
      <c r="N78" s="246"/>
      <c r="O78" s="246"/>
      <c r="P78" s="246"/>
      <c r="Q78" s="249"/>
      <c r="R78" s="249"/>
      <c r="S78" s="246"/>
    </row>
    <row r="79" s="241" customFormat="true" ht="15" hidden="true" customHeight="false" outlineLevel="0" collapsed="false">
      <c r="B79" s="242" t="n">
        <v>2021</v>
      </c>
      <c r="C79" s="241" t="n">
        <v>4</v>
      </c>
      <c r="D79" s="243" t="s">
        <v>36</v>
      </c>
      <c r="E79" s="244" t="n">
        <v>15394555838</v>
      </c>
      <c r="F79" s="244" t="n">
        <v>95580195</v>
      </c>
      <c r="G79" s="245" t="n">
        <v>1</v>
      </c>
      <c r="H79" s="248" t="s">
        <v>48</v>
      </c>
      <c r="I79" s="246" t="n">
        <v>547</v>
      </c>
      <c r="J79" s="246" t="n">
        <v>3600</v>
      </c>
      <c r="K79" s="246" t="n">
        <v>547</v>
      </c>
      <c r="L79" s="246" t="n">
        <v>3053</v>
      </c>
      <c r="M79" s="250" t="n">
        <v>3600</v>
      </c>
      <c r="N79" s="250"/>
      <c r="O79" s="246"/>
      <c r="P79" s="246"/>
      <c r="Q79" s="249" t="n">
        <v>25</v>
      </c>
      <c r="R79" s="249"/>
      <c r="S79" s="246"/>
    </row>
    <row r="80" s="241" customFormat="true" ht="15" hidden="true" customHeight="false" outlineLevel="0" collapsed="false">
      <c r="B80" s="242" t="n">
        <v>2021</v>
      </c>
      <c r="C80" s="241" t="n">
        <v>4</v>
      </c>
      <c r="D80" s="243" t="s">
        <v>44</v>
      </c>
      <c r="E80" s="244" t="n">
        <v>33853146700</v>
      </c>
      <c r="F80" s="244" t="n">
        <v>96959868</v>
      </c>
      <c r="G80" s="245" t="n">
        <v>1</v>
      </c>
      <c r="H80" s="248" t="s">
        <v>247</v>
      </c>
      <c r="I80" s="246" t="n">
        <v>547</v>
      </c>
      <c r="J80" s="246" t="n">
        <v>4300</v>
      </c>
      <c r="K80" s="246" t="n">
        <v>547</v>
      </c>
      <c r="L80" s="246" t="n">
        <v>3753</v>
      </c>
      <c r="M80" s="250" t="n">
        <v>4300</v>
      </c>
      <c r="N80" s="250"/>
      <c r="O80" s="246"/>
      <c r="P80" s="246"/>
      <c r="Q80" s="249" t="n">
        <v>25</v>
      </c>
      <c r="R80" s="249"/>
      <c r="S80" s="246"/>
    </row>
    <row r="81" s="241" customFormat="true" ht="15" hidden="true" customHeight="false" outlineLevel="0" collapsed="false">
      <c r="B81" s="242" t="n">
        <v>2021</v>
      </c>
      <c r="C81" s="241" t="n">
        <v>4</v>
      </c>
      <c r="D81" s="243" t="s">
        <v>44</v>
      </c>
      <c r="E81" s="244" t="n">
        <v>51994540164</v>
      </c>
      <c r="F81" s="244" t="n">
        <v>96900867</v>
      </c>
      <c r="G81" s="245" t="n">
        <v>1</v>
      </c>
      <c r="H81" s="248" t="s">
        <v>97</v>
      </c>
      <c r="I81" s="246" t="n">
        <v>2825.9</v>
      </c>
      <c r="J81" s="246" t="n">
        <v>2825.9</v>
      </c>
      <c r="K81" s="246" t="n">
        <v>2825.9</v>
      </c>
      <c r="L81" s="246" t="n">
        <v>0</v>
      </c>
      <c r="M81" s="246" t="n">
        <v>2825.9</v>
      </c>
      <c r="N81" s="246"/>
      <c r="O81" s="246"/>
      <c r="P81" s="246"/>
      <c r="Q81" s="249"/>
      <c r="R81" s="249"/>
      <c r="S81" s="246"/>
    </row>
    <row r="82" s="241" customFormat="true" ht="15" hidden="true" customHeight="false" outlineLevel="0" collapsed="false">
      <c r="B82" s="242" t="n">
        <v>2021</v>
      </c>
      <c r="C82" s="241" t="n">
        <v>4</v>
      </c>
      <c r="D82" s="243" t="s">
        <v>44</v>
      </c>
      <c r="E82" s="244" t="n">
        <v>52657562356</v>
      </c>
      <c r="F82" s="244" t="n">
        <v>97011710</v>
      </c>
      <c r="G82" s="245" t="n">
        <v>1</v>
      </c>
      <c r="H82" s="248" t="s">
        <v>248</v>
      </c>
      <c r="I82" s="246" t="n">
        <v>2825.9</v>
      </c>
      <c r="J82" s="246" t="n">
        <v>2825.9</v>
      </c>
      <c r="K82" s="246" t="n">
        <v>2825.9</v>
      </c>
      <c r="L82" s="246" t="n">
        <v>0</v>
      </c>
      <c r="M82" s="246" t="n">
        <v>2825.9</v>
      </c>
      <c r="N82" s="246"/>
      <c r="O82" s="246"/>
      <c r="P82" s="246"/>
      <c r="Q82" s="249"/>
      <c r="R82" s="249"/>
      <c r="S82" s="246"/>
    </row>
    <row r="83" s="241" customFormat="true" ht="15" hidden="true" customHeight="false" outlineLevel="0" collapsed="false">
      <c r="B83" s="242" t="n">
        <v>2021</v>
      </c>
      <c r="C83" s="241" t="n">
        <v>5</v>
      </c>
      <c r="D83" s="243" t="s">
        <v>44</v>
      </c>
      <c r="E83" s="244" t="n">
        <v>28699369338</v>
      </c>
      <c r="F83" s="244" t="n">
        <v>96358353</v>
      </c>
      <c r="G83" s="245" t="n">
        <v>1</v>
      </c>
      <c r="H83" s="241" t="s">
        <v>79</v>
      </c>
      <c r="I83" s="246" t="n">
        <v>4000</v>
      </c>
      <c r="J83" s="246" t="n">
        <v>4000</v>
      </c>
      <c r="K83" s="246" t="n">
        <v>4000</v>
      </c>
      <c r="L83" s="246" t="n">
        <v>0</v>
      </c>
      <c r="M83" s="246" t="n">
        <v>4000</v>
      </c>
      <c r="N83" s="246"/>
      <c r="O83" s="246"/>
      <c r="P83" s="246"/>
      <c r="Q83" s="249"/>
      <c r="R83" s="249"/>
      <c r="S83" s="246"/>
    </row>
    <row r="84" s="241" customFormat="true" ht="15" hidden="true" customHeight="false" outlineLevel="0" collapsed="false">
      <c r="B84" s="242" t="n">
        <v>2021</v>
      </c>
      <c r="C84" s="241" t="n">
        <v>5</v>
      </c>
      <c r="D84" s="243" t="s">
        <v>44</v>
      </c>
      <c r="E84" s="244" t="n">
        <v>63097169876</v>
      </c>
      <c r="F84" s="244" t="n">
        <v>96843148</v>
      </c>
      <c r="G84" s="245" t="n">
        <v>1</v>
      </c>
      <c r="H84" s="248" t="s">
        <v>122</v>
      </c>
      <c r="I84" s="246" t="n">
        <v>547</v>
      </c>
      <c r="J84" s="246" t="n">
        <v>4300</v>
      </c>
      <c r="K84" s="246" t="n">
        <v>547</v>
      </c>
      <c r="L84" s="246" t="n">
        <v>3753</v>
      </c>
      <c r="M84" s="250" t="n">
        <v>4300</v>
      </c>
      <c r="N84" s="250"/>
      <c r="O84" s="246"/>
      <c r="P84" s="246"/>
      <c r="Q84" s="249" t="n">
        <v>25</v>
      </c>
      <c r="R84" s="249"/>
      <c r="S84" s="246"/>
    </row>
    <row r="85" s="241" customFormat="true" ht="15" hidden="true" customHeight="false" outlineLevel="0" collapsed="false">
      <c r="B85" s="242" t="n">
        <v>2021</v>
      </c>
      <c r="C85" s="241" t="n">
        <v>5</v>
      </c>
      <c r="D85" s="243" t="s">
        <v>44</v>
      </c>
      <c r="E85" s="244" t="n">
        <v>36826974454</v>
      </c>
      <c r="F85" s="244" t="n">
        <v>95573006</v>
      </c>
      <c r="G85" s="245" t="n">
        <v>1</v>
      </c>
      <c r="H85" s="248" t="s">
        <v>188</v>
      </c>
      <c r="I85" s="246" t="n">
        <v>3313.72</v>
      </c>
      <c r="J85" s="246" t="n">
        <v>3313.72</v>
      </c>
      <c r="K85" s="246" t="n">
        <v>3313.72</v>
      </c>
      <c r="L85" s="246" t="n">
        <v>0</v>
      </c>
      <c r="M85" s="246" t="n">
        <v>3313.72</v>
      </c>
      <c r="N85" s="246"/>
      <c r="O85" s="246"/>
      <c r="P85" s="246"/>
      <c r="Q85" s="249"/>
      <c r="R85" s="249"/>
      <c r="S85" s="246"/>
    </row>
    <row r="86" s="241" customFormat="true" ht="15" hidden="true" customHeight="false" outlineLevel="0" collapsed="false">
      <c r="B86" s="242" t="n">
        <v>2021</v>
      </c>
      <c r="C86" s="241" t="n">
        <v>5</v>
      </c>
      <c r="D86" s="243" t="s">
        <v>44</v>
      </c>
      <c r="E86" s="244" t="n">
        <v>17630785580</v>
      </c>
      <c r="F86" s="244" t="n">
        <v>95529415</v>
      </c>
      <c r="G86" s="245" t="n">
        <v>1</v>
      </c>
      <c r="H86" s="248" t="s">
        <v>81</v>
      </c>
      <c r="I86" s="246" t="n">
        <v>3188.13</v>
      </c>
      <c r="J86" s="246" t="n">
        <v>7188.13</v>
      </c>
      <c r="K86" s="246" t="n">
        <v>3188.13</v>
      </c>
      <c r="L86" s="246" t="n">
        <v>4000</v>
      </c>
      <c r="M86" s="246" t="n">
        <v>7188.13</v>
      </c>
      <c r="N86" s="246"/>
      <c r="O86" s="246"/>
      <c r="P86" s="246"/>
      <c r="Q86" s="249"/>
      <c r="R86" s="249"/>
      <c r="S86" s="246"/>
    </row>
    <row r="87" s="241" customFormat="true" ht="15" hidden="true" customHeight="false" outlineLevel="0" collapsed="false">
      <c r="B87" s="242" t="n">
        <v>2021</v>
      </c>
      <c r="C87" s="241" t="n">
        <v>5</v>
      </c>
      <c r="D87" s="243" t="s">
        <v>44</v>
      </c>
      <c r="E87" s="244" t="n">
        <v>27172394690</v>
      </c>
      <c r="F87" s="244" t="n">
        <v>95702622</v>
      </c>
      <c r="G87" s="245" t="n">
        <v>1</v>
      </c>
      <c r="H87" s="248" t="s">
        <v>72</v>
      </c>
      <c r="I87" s="246" t="n">
        <v>3600</v>
      </c>
      <c r="J87" s="246" t="n">
        <v>3600</v>
      </c>
      <c r="K87" s="246" t="n">
        <v>3300</v>
      </c>
      <c r="L87" s="246" t="n">
        <v>0</v>
      </c>
      <c r="M87" s="246" t="n">
        <v>3600</v>
      </c>
      <c r="N87" s="246"/>
      <c r="O87" s="246" t="s">
        <v>251</v>
      </c>
      <c r="P87" s="246"/>
      <c r="Q87" s="249"/>
      <c r="R87" s="249"/>
      <c r="S87" s="246" t="s">
        <v>251</v>
      </c>
    </row>
    <row r="88" s="241" customFormat="true" ht="15" hidden="true" customHeight="false" outlineLevel="0" collapsed="false">
      <c r="B88" s="242" t="n">
        <v>2021</v>
      </c>
      <c r="C88" s="241" t="n">
        <v>5</v>
      </c>
      <c r="D88" s="243" t="s">
        <v>44</v>
      </c>
      <c r="E88" s="244" t="n">
        <v>64996156028</v>
      </c>
      <c r="F88" s="244" t="n">
        <v>95539771</v>
      </c>
      <c r="G88" s="245" t="n">
        <v>1</v>
      </c>
      <c r="H88" s="241" t="s">
        <v>55</v>
      </c>
      <c r="I88" s="246" t="n">
        <v>3000</v>
      </c>
      <c r="J88" s="246" t="n">
        <v>3000</v>
      </c>
      <c r="K88" s="246" t="n">
        <v>3000</v>
      </c>
      <c r="L88" s="246" t="n">
        <v>0</v>
      </c>
      <c r="M88" s="246" t="n">
        <v>3000</v>
      </c>
      <c r="N88" s="246"/>
      <c r="O88" s="246"/>
      <c r="P88" s="246"/>
      <c r="Q88" s="249"/>
      <c r="R88" s="249"/>
      <c r="S88" s="246"/>
    </row>
    <row r="89" s="241" customFormat="true" ht="15" hidden="true" customHeight="false" outlineLevel="0" collapsed="false">
      <c r="B89" s="242" t="n">
        <v>2021</v>
      </c>
      <c r="C89" s="241" t="n">
        <v>5</v>
      </c>
      <c r="D89" s="243" t="s">
        <v>44</v>
      </c>
      <c r="E89" s="244" t="n">
        <v>59233322526</v>
      </c>
      <c r="F89" s="244" t="n">
        <v>96712272</v>
      </c>
      <c r="G89" s="245" t="n">
        <v>1</v>
      </c>
      <c r="H89" s="248" t="s">
        <v>68</v>
      </c>
      <c r="I89" s="246" t="n">
        <v>4000</v>
      </c>
      <c r="J89" s="246" t="n">
        <v>4000</v>
      </c>
      <c r="K89" s="246" t="n">
        <v>4000</v>
      </c>
      <c r="L89" s="246" t="n">
        <v>0</v>
      </c>
      <c r="M89" s="246" t="n">
        <v>4000</v>
      </c>
      <c r="N89" s="246"/>
      <c r="O89" s="246"/>
      <c r="P89" s="246"/>
      <c r="Q89" s="249"/>
      <c r="R89" s="249"/>
      <c r="S89" s="246"/>
    </row>
    <row r="90" s="241" customFormat="true" ht="15" hidden="true" customHeight="false" outlineLevel="0" collapsed="false">
      <c r="B90" s="242" t="n">
        <v>2021</v>
      </c>
      <c r="C90" s="241" t="n">
        <v>5</v>
      </c>
      <c r="D90" s="243" t="s">
        <v>44</v>
      </c>
      <c r="E90" s="244" t="n">
        <v>55186680706</v>
      </c>
      <c r="F90" s="244" t="n">
        <v>95787183</v>
      </c>
      <c r="G90" s="245" t="n">
        <v>1</v>
      </c>
      <c r="H90" s="241" t="s">
        <v>73</v>
      </c>
      <c r="I90" s="246" t="n">
        <v>1530.4</v>
      </c>
      <c r="J90" s="246" t="n">
        <v>5000</v>
      </c>
      <c r="K90" s="246" t="n">
        <v>1530.4</v>
      </c>
      <c r="L90" s="246" t="n">
        <v>3469.6</v>
      </c>
      <c r="M90" s="250" t="n">
        <v>5000</v>
      </c>
      <c r="N90" s="250"/>
      <c r="O90" s="246"/>
      <c r="P90" s="246"/>
      <c r="Q90" s="249" t="n">
        <v>15</v>
      </c>
      <c r="R90" s="249"/>
      <c r="S90" s="246"/>
    </row>
    <row r="91" s="241" customFormat="true" ht="15" hidden="true" customHeight="false" outlineLevel="0" collapsed="false">
      <c r="B91" s="242" t="n">
        <v>2021</v>
      </c>
      <c r="C91" s="241" t="n">
        <v>5</v>
      </c>
      <c r="D91" s="243" t="s">
        <v>44</v>
      </c>
      <c r="E91" s="244" t="n">
        <v>21242693324</v>
      </c>
      <c r="F91" s="244" t="n">
        <v>95532064</v>
      </c>
      <c r="G91" s="245" t="n">
        <v>1</v>
      </c>
      <c r="H91" s="248" t="s">
        <v>85</v>
      </c>
      <c r="I91" s="246" t="n">
        <v>3600</v>
      </c>
      <c r="J91" s="246" t="n">
        <v>3600</v>
      </c>
      <c r="K91" s="246" t="n">
        <v>3600</v>
      </c>
      <c r="L91" s="246" t="n">
        <v>0</v>
      </c>
      <c r="M91" s="246" t="n">
        <v>3600</v>
      </c>
      <c r="N91" s="246"/>
      <c r="O91" s="246"/>
      <c r="P91" s="246"/>
      <c r="Q91" s="249"/>
      <c r="R91" s="249"/>
      <c r="S91" s="246"/>
    </row>
    <row r="92" s="241" customFormat="true" ht="15" hidden="true" customHeight="false" outlineLevel="0" collapsed="false">
      <c r="B92" s="242" t="n">
        <v>2021</v>
      </c>
      <c r="C92" s="241" t="n">
        <v>5</v>
      </c>
      <c r="D92" s="243" t="s">
        <v>44</v>
      </c>
      <c r="E92" s="244" t="n">
        <v>17159801204</v>
      </c>
      <c r="F92" s="244" t="n">
        <v>95532066</v>
      </c>
      <c r="G92" s="245" t="n">
        <v>1</v>
      </c>
      <c r="H92" s="248" t="s">
        <v>87</v>
      </c>
      <c r="I92" s="246" t="n">
        <v>3600</v>
      </c>
      <c r="J92" s="246" t="n">
        <v>3600</v>
      </c>
      <c r="K92" s="246" t="n">
        <v>3600</v>
      </c>
      <c r="L92" s="246" t="n">
        <v>0</v>
      </c>
      <c r="M92" s="246" t="n">
        <v>3600</v>
      </c>
      <c r="N92" s="246"/>
      <c r="O92" s="246"/>
      <c r="P92" s="246"/>
      <c r="Q92" s="249"/>
      <c r="R92" s="249"/>
      <c r="S92" s="246"/>
    </row>
    <row r="93" s="241" customFormat="true" ht="15" hidden="true" customHeight="false" outlineLevel="0" collapsed="false">
      <c r="B93" s="242" t="n">
        <v>2021</v>
      </c>
      <c r="C93" s="241" t="n">
        <v>5</v>
      </c>
      <c r="D93" s="243" t="s">
        <v>44</v>
      </c>
      <c r="E93" s="244" t="n">
        <v>66385338732</v>
      </c>
      <c r="F93" s="244" t="n">
        <v>96717247</v>
      </c>
      <c r="G93" s="245" t="n">
        <v>1</v>
      </c>
      <c r="H93" s="248" t="s">
        <v>52</v>
      </c>
      <c r="I93" s="246" t="n">
        <v>2418.53</v>
      </c>
      <c r="J93" s="246" t="n">
        <v>2418.53</v>
      </c>
      <c r="K93" s="246" t="n">
        <v>2418.53</v>
      </c>
      <c r="L93" s="246" t="n">
        <v>0</v>
      </c>
      <c r="M93" s="246" t="n">
        <v>2418.53</v>
      </c>
      <c r="N93" s="246"/>
      <c r="O93" s="246" t="s">
        <v>250</v>
      </c>
      <c r="P93" s="246" t="n">
        <v>-706.48</v>
      </c>
      <c r="Q93" s="249"/>
      <c r="R93" s="249"/>
      <c r="S93" s="246" t="s">
        <v>250</v>
      </c>
    </row>
    <row r="94" s="241" customFormat="true" ht="15" hidden="true" customHeight="false" outlineLevel="0" collapsed="false">
      <c r="B94" s="242" t="n">
        <v>2021</v>
      </c>
      <c r="C94" s="241" t="n">
        <v>5</v>
      </c>
      <c r="D94" s="243" t="s">
        <v>44</v>
      </c>
      <c r="E94" s="244" t="n">
        <v>23764482950</v>
      </c>
      <c r="F94" s="244" t="n">
        <v>95532077</v>
      </c>
      <c r="G94" s="245" t="n">
        <v>1</v>
      </c>
      <c r="H94" s="248" t="s">
        <v>93</v>
      </c>
      <c r="I94" s="246" t="n">
        <v>547</v>
      </c>
      <c r="J94" s="246" t="n">
        <v>3600</v>
      </c>
      <c r="K94" s="246" t="n">
        <v>547</v>
      </c>
      <c r="L94" s="246" t="n">
        <v>3053</v>
      </c>
      <c r="M94" s="250" t="n">
        <v>3600</v>
      </c>
      <c r="N94" s="250"/>
      <c r="O94" s="246"/>
      <c r="P94" s="246"/>
      <c r="Q94" s="249" t="n">
        <v>25</v>
      </c>
      <c r="R94" s="249"/>
      <c r="S94" s="246"/>
    </row>
    <row r="95" s="241" customFormat="true" ht="15" hidden="true" customHeight="false" outlineLevel="0" collapsed="false">
      <c r="B95" s="242" t="n">
        <v>2021</v>
      </c>
      <c r="C95" s="241" t="n">
        <v>5</v>
      </c>
      <c r="D95" s="243" t="s">
        <v>36</v>
      </c>
      <c r="E95" s="244" t="n">
        <v>18274523170</v>
      </c>
      <c r="F95" s="244" t="n">
        <v>95532068</v>
      </c>
      <c r="G95" s="245" t="n">
        <v>1</v>
      </c>
      <c r="H95" s="248" t="s">
        <v>14</v>
      </c>
      <c r="I95" s="246" t="n">
        <v>547</v>
      </c>
      <c r="J95" s="246" t="n">
        <v>1267</v>
      </c>
      <c r="K95" s="246" t="n">
        <v>547</v>
      </c>
      <c r="L95" s="246" t="n">
        <v>720</v>
      </c>
      <c r="M95" s="250" t="n">
        <v>1267</v>
      </c>
      <c r="N95" s="250"/>
      <c r="O95" s="246"/>
      <c r="P95" s="246"/>
      <c r="Q95" s="249" t="n">
        <v>25</v>
      </c>
      <c r="R95" s="249"/>
      <c r="S95" s="246"/>
    </row>
    <row r="96" s="241" customFormat="true" ht="15" hidden="true" customHeight="false" outlineLevel="0" collapsed="false">
      <c r="B96" s="242" t="n">
        <v>2021</v>
      </c>
      <c r="C96" s="241" t="n">
        <v>5</v>
      </c>
      <c r="D96" s="243" t="s">
        <v>36</v>
      </c>
      <c r="E96" s="244" t="n">
        <v>25672444846</v>
      </c>
      <c r="F96" s="244" t="n">
        <v>95693810</v>
      </c>
      <c r="G96" s="245" t="n">
        <v>1</v>
      </c>
      <c r="H96" s="248" t="s">
        <v>245</v>
      </c>
      <c r="I96" s="246" t="n">
        <v>3600</v>
      </c>
      <c r="J96" s="246" t="n">
        <v>3600</v>
      </c>
      <c r="K96" s="246" t="n">
        <v>3600</v>
      </c>
      <c r="L96" s="246" t="n">
        <v>0</v>
      </c>
      <c r="M96" s="246" t="n">
        <v>3600</v>
      </c>
      <c r="N96" s="246"/>
      <c r="O96" s="246"/>
      <c r="P96" s="246"/>
      <c r="Q96" s="249"/>
      <c r="R96" s="249"/>
      <c r="S96" s="246"/>
    </row>
    <row r="97" s="241" customFormat="true" ht="15" hidden="true" customHeight="false" outlineLevel="0" collapsed="false">
      <c r="B97" s="242" t="n">
        <v>2021</v>
      </c>
      <c r="C97" s="241" t="n">
        <v>5</v>
      </c>
      <c r="D97" s="243" t="s">
        <v>36</v>
      </c>
      <c r="E97" s="244" t="n">
        <v>39617231002</v>
      </c>
      <c r="F97" s="244" t="n">
        <v>95532072</v>
      </c>
      <c r="G97" s="245" t="n">
        <v>1</v>
      </c>
      <c r="H97" s="248" t="s">
        <v>38</v>
      </c>
      <c r="I97" s="246" t="n">
        <v>3600</v>
      </c>
      <c r="J97" s="246" t="n">
        <v>3600</v>
      </c>
      <c r="K97" s="246" t="n">
        <v>3600</v>
      </c>
      <c r="L97" s="246" t="n">
        <v>0</v>
      </c>
      <c r="M97" s="246" t="n">
        <v>3600</v>
      </c>
      <c r="N97" s="246"/>
      <c r="O97" s="246"/>
      <c r="P97" s="246"/>
      <c r="Q97" s="249"/>
      <c r="R97" s="249"/>
      <c r="S97" s="246"/>
    </row>
    <row r="98" s="241" customFormat="true" ht="15" hidden="true" customHeight="false" outlineLevel="0" collapsed="false">
      <c r="B98" s="242" t="n">
        <v>2021</v>
      </c>
      <c r="C98" s="241" t="n">
        <v>5</v>
      </c>
      <c r="D98" s="243" t="s">
        <v>36</v>
      </c>
      <c r="E98" s="244" t="n">
        <v>15394555838</v>
      </c>
      <c r="F98" s="244" t="n">
        <v>95580195</v>
      </c>
      <c r="G98" s="245" t="n">
        <v>1</v>
      </c>
      <c r="H98" s="248" t="s">
        <v>48</v>
      </c>
      <c r="I98" s="246" t="n">
        <v>547</v>
      </c>
      <c r="J98" s="246" t="n">
        <v>3600</v>
      </c>
      <c r="K98" s="246" t="n">
        <v>547</v>
      </c>
      <c r="L98" s="246" t="n">
        <v>3053</v>
      </c>
      <c r="M98" s="246" t="n">
        <v>3600</v>
      </c>
      <c r="N98" s="246"/>
      <c r="O98" s="246"/>
      <c r="P98" s="246"/>
      <c r="Q98" s="249" t="n">
        <v>25</v>
      </c>
      <c r="R98" s="249"/>
      <c r="S98" s="246"/>
    </row>
    <row r="99" s="241" customFormat="true" ht="15" hidden="true" customHeight="false" outlineLevel="0" collapsed="false">
      <c r="B99" s="242" t="n">
        <v>2021</v>
      </c>
      <c r="C99" s="241" t="n">
        <v>5</v>
      </c>
      <c r="D99" s="243" t="s">
        <v>44</v>
      </c>
      <c r="E99" s="244" t="n">
        <v>33853146700</v>
      </c>
      <c r="F99" s="244" t="n">
        <v>96959868</v>
      </c>
      <c r="G99" s="245" t="n">
        <v>1</v>
      </c>
      <c r="H99" s="248" t="s">
        <v>247</v>
      </c>
      <c r="I99" s="246" t="n">
        <v>547</v>
      </c>
      <c r="J99" s="246" t="n">
        <v>4300</v>
      </c>
      <c r="K99" s="246" t="n">
        <v>547</v>
      </c>
      <c r="L99" s="246" t="n">
        <v>3753</v>
      </c>
      <c r="M99" s="246" t="n">
        <v>4300</v>
      </c>
      <c r="N99" s="246"/>
      <c r="O99" s="246"/>
      <c r="P99" s="246"/>
      <c r="Q99" s="249" t="n">
        <v>25</v>
      </c>
      <c r="R99" s="249"/>
      <c r="S99" s="246"/>
    </row>
    <row r="100" s="241" customFormat="true" ht="15" hidden="true" customHeight="false" outlineLevel="0" collapsed="false">
      <c r="B100" s="242" t="n">
        <v>2021</v>
      </c>
      <c r="C100" s="241" t="n">
        <v>5</v>
      </c>
      <c r="D100" s="243" t="s">
        <v>44</v>
      </c>
      <c r="E100" s="244" t="n">
        <v>51994540164</v>
      </c>
      <c r="F100" s="244" t="n">
        <v>96900867</v>
      </c>
      <c r="G100" s="245" t="n">
        <v>1</v>
      </c>
      <c r="H100" s="248" t="s">
        <v>97</v>
      </c>
      <c r="I100" s="246" t="n">
        <v>2825.9</v>
      </c>
      <c r="J100" s="246" t="n">
        <v>2825.9</v>
      </c>
      <c r="K100" s="246" t="n">
        <v>2825.9</v>
      </c>
      <c r="L100" s="246" t="n">
        <v>0</v>
      </c>
      <c r="M100" s="246" t="n">
        <v>2825.9</v>
      </c>
      <c r="N100" s="246"/>
      <c r="O100" s="246"/>
      <c r="P100" s="246"/>
      <c r="Q100" s="249"/>
      <c r="R100" s="249"/>
      <c r="S100" s="246"/>
    </row>
    <row r="101" s="241" customFormat="true" ht="15" hidden="true" customHeight="false" outlineLevel="0" collapsed="false">
      <c r="B101" s="242" t="n">
        <v>2021</v>
      </c>
      <c r="C101" s="241" t="n">
        <v>5</v>
      </c>
      <c r="D101" s="243" t="s">
        <v>44</v>
      </c>
      <c r="E101" s="244" t="n">
        <v>52657562356</v>
      </c>
      <c r="F101" s="244" t="n">
        <v>97011710</v>
      </c>
      <c r="G101" s="245" t="n">
        <v>1</v>
      </c>
      <c r="H101" s="248" t="s">
        <v>248</v>
      </c>
      <c r="I101" s="246" t="n">
        <v>2825.9</v>
      </c>
      <c r="J101" s="246" t="n">
        <v>2825.9</v>
      </c>
      <c r="K101" s="246" t="n">
        <v>2825.9</v>
      </c>
      <c r="L101" s="246" t="n">
        <v>0</v>
      </c>
      <c r="M101" s="246" t="n">
        <v>2825.9</v>
      </c>
      <c r="N101" s="246"/>
      <c r="O101" s="246"/>
      <c r="P101" s="246"/>
      <c r="Q101" s="249"/>
      <c r="R101" s="249"/>
      <c r="S101" s="246"/>
    </row>
    <row r="102" s="241" customFormat="true" ht="15" hidden="true" customHeight="false" outlineLevel="0" collapsed="false">
      <c r="B102" s="242" t="n">
        <v>2021</v>
      </c>
      <c r="C102" s="241" t="n">
        <v>5</v>
      </c>
      <c r="D102" s="243" t="s">
        <v>44</v>
      </c>
      <c r="E102" s="244" t="n">
        <v>10459950610</v>
      </c>
      <c r="F102" s="244" t="n">
        <v>97226520</v>
      </c>
      <c r="G102" s="245" t="n">
        <v>1</v>
      </c>
      <c r="H102" s="248" t="s">
        <v>195</v>
      </c>
      <c r="I102" s="246" t="n">
        <v>1320</v>
      </c>
      <c r="J102" s="246" t="n">
        <v>1320</v>
      </c>
      <c r="K102" s="246" t="n">
        <v>1320</v>
      </c>
      <c r="L102" s="246" t="n">
        <v>0</v>
      </c>
      <c r="M102" s="246" t="n">
        <v>1320</v>
      </c>
      <c r="N102" s="246"/>
      <c r="O102" s="246"/>
      <c r="P102" s="246"/>
      <c r="Q102" s="246" t="n">
        <v>19</v>
      </c>
      <c r="R102" s="246"/>
      <c r="S102" s="246"/>
    </row>
    <row r="103" s="241" customFormat="true" ht="15" hidden="true" customHeight="false" outlineLevel="0" collapsed="false">
      <c r="B103" s="242" t="n">
        <v>2021</v>
      </c>
      <c r="C103" s="241" t="n">
        <v>5</v>
      </c>
      <c r="D103" s="243" t="s">
        <v>44</v>
      </c>
      <c r="E103" s="244" t="n">
        <v>23713484608</v>
      </c>
      <c r="F103" s="244" t="n">
        <v>97189681</v>
      </c>
      <c r="G103" s="245" t="n">
        <v>1</v>
      </c>
      <c r="H103" s="248" t="s">
        <v>100</v>
      </c>
      <c r="I103" s="246" t="n">
        <v>3300</v>
      </c>
      <c r="J103" s="246" t="n">
        <v>3300</v>
      </c>
      <c r="K103" s="246" t="n">
        <v>3300</v>
      </c>
      <c r="L103" s="246" t="n">
        <v>0</v>
      </c>
      <c r="M103" s="246" t="n">
        <v>3300</v>
      </c>
      <c r="N103" s="246"/>
      <c r="O103" s="246"/>
      <c r="P103" s="246"/>
      <c r="Q103" s="246"/>
      <c r="R103" s="246"/>
      <c r="S103" s="246"/>
    </row>
    <row r="104" s="241" customFormat="true" ht="15" hidden="true" customHeight="false" outlineLevel="0" collapsed="false">
      <c r="B104" s="242" t="n">
        <v>2021</v>
      </c>
      <c r="C104" s="241" t="n">
        <v>6</v>
      </c>
      <c r="D104" s="243" t="s">
        <v>44</v>
      </c>
      <c r="E104" s="244" t="n">
        <v>28699369338</v>
      </c>
      <c r="F104" s="244" t="n">
        <v>96358353</v>
      </c>
      <c r="G104" s="245" t="n">
        <v>1</v>
      </c>
      <c r="H104" s="241" t="s">
        <v>79</v>
      </c>
      <c r="I104" s="246" t="n">
        <v>4000</v>
      </c>
      <c r="J104" s="246" t="n">
        <v>4500</v>
      </c>
      <c r="K104" s="246" t="n">
        <v>4000</v>
      </c>
      <c r="L104" s="246" t="n">
        <v>500</v>
      </c>
      <c r="M104" s="250" t="n">
        <v>4500</v>
      </c>
      <c r="N104" s="250"/>
      <c r="O104" s="246"/>
      <c r="P104" s="246"/>
      <c r="Q104" s="249"/>
      <c r="R104" s="249"/>
      <c r="S104" s="246"/>
    </row>
    <row r="105" s="241" customFormat="true" ht="15" hidden="true" customHeight="false" outlineLevel="0" collapsed="false">
      <c r="B105" s="242" t="n">
        <v>2021</v>
      </c>
      <c r="C105" s="241" t="n">
        <v>6</v>
      </c>
      <c r="D105" s="243" t="s">
        <v>44</v>
      </c>
      <c r="E105" s="244" t="n">
        <v>63097169876</v>
      </c>
      <c r="F105" s="244" t="n">
        <v>96843148</v>
      </c>
      <c r="G105" s="245" t="n">
        <v>1</v>
      </c>
      <c r="H105" s="248" t="s">
        <v>122</v>
      </c>
      <c r="I105" s="246" t="n">
        <v>547</v>
      </c>
      <c r="J105" s="246" t="n">
        <v>4600</v>
      </c>
      <c r="K105" s="246" t="n">
        <v>547</v>
      </c>
      <c r="L105" s="246" t="n">
        <v>4053</v>
      </c>
      <c r="M105" s="250" t="n">
        <v>4600</v>
      </c>
      <c r="N105" s="250"/>
      <c r="O105" s="246"/>
      <c r="P105" s="246"/>
      <c r="Q105" s="249" t="n">
        <v>25</v>
      </c>
      <c r="R105" s="249"/>
      <c r="S105" s="246"/>
    </row>
    <row r="106" s="241" customFormat="true" ht="15" hidden="true" customHeight="false" outlineLevel="0" collapsed="false">
      <c r="B106" s="242" t="n">
        <v>2021</v>
      </c>
      <c r="C106" s="241" t="n">
        <v>6</v>
      </c>
      <c r="D106" s="243" t="s">
        <v>44</v>
      </c>
      <c r="E106" s="244" t="n">
        <v>36826974454</v>
      </c>
      <c r="F106" s="244" t="n">
        <v>95573006</v>
      </c>
      <c r="G106" s="245" t="n">
        <v>1</v>
      </c>
      <c r="H106" s="248" t="s">
        <v>188</v>
      </c>
      <c r="I106" s="246" t="n">
        <v>2286.35</v>
      </c>
      <c r="J106" s="246" t="n">
        <v>3313.72</v>
      </c>
      <c r="K106" s="246" t="n">
        <v>2286.35</v>
      </c>
      <c r="L106" s="246" t="n">
        <v>0</v>
      </c>
      <c r="M106" s="250" t="n">
        <v>2286.35</v>
      </c>
      <c r="N106" s="250"/>
      <c r="O106" s="246" t="s">
        <v>252</v>
      </c>
      <c r="P106" s="246"/>
      <c r="Q106" s="249"/>
      <c r="R106" s="249"/>
      <c r="S106" s="246" t="s">
        <v>252</v>
      </c>
    </row>
    <row r="107" s="241" customFormat="true" ht="15" hidden="true" customHeight="false" outlineLevel="0" collapsed="false">
      <c r="B107" s="242" t="n">
        <v>2021</v>
      </c>
      <c r="C107" s="241" t="n">
        <v>6</v>
      </c>
      <c r="D107" s="243" t="s">
        <v>44</v>
      </c>
      <c r="E107" s="244" t="n">
        <v>17630785580</v>
      </c>
      <c r="F107" s="244" t="n">
        <v>95529415</v>
      </c>
      <c r="G107" s="245" t="n">
        <v>1</v>
      </c>
      <c r="H107" s="248" t="s">
        <v>81</v>
      </c>
      <c r="I107" s="246" t="n">
        <v>1641.01</v>
      </c>
      <c r="J107" s="246" t="n">
        <v>8188.13</v>
      </c>
      <c r="K107" s="246" t="n">
        <v>1641.01</v>
      </c>
      <c r="L107" s="246" t="n">
        <v>4000</v>
      </c>
      <c r="M107" s="250" t="n">
        <v>5641.01</v>
      </c>
      <c r="N107" s="250"/>
      <c r="O107" s="246" t="s">
        <v>253</v>
      </c>
      <c r="P107" s="246"/>
      <c r="Q107" s="249"/>
      <c r="R107" s="249"/>
      <c r="S107" s="246" t="s">
        <v>253</v>
      </c>
    </row>
    <row r="108" s="241" customFormat="true" ht="15" hidden="true" customHeight="false" outlineLevel="0" collapsed="false">
      <c r="B108" s="242" t="n">
        <v>2021</v>
      </c>
      <c r="C108" s="241" t="n">
        <v>6</v>
      </c>
      <c r="D108" s="243" t="s">
        <v>44</v>
      </c>
      <c r="E108" s="244" t="n">
        <v>27172394690</v>
      </c>
      <c r="F108" s="244" t="n">
        <v>95702622</v>
      </c>
      <c r="G108" s="245" t="n">
        <v>1</v>
      </c>
      <c r="H108" s="248" t="s">
        <v>72</v>
      </c>
      <c r="I108" s="246" t="n">
        <v>2944.42</v>
      </c>
      <c r="J108" s="246" t="n">
        <v>3600</v>
      </c>
      <c r="K108" s="246" t="n">
        <v>2944.42</v>
      </c>
      <c r="L108" s="246" t="n">
        <v>655.58</v>
      </c>
      <c r="M108" s="250" t="n">
        <v>3600</v>
      </c>
      <c r="N108" s="250"/>
      <c r="O108" s="246" t="s">
        <v>254</v>
      </c>
      <c r="P108" s="246"/>
      <c r="Q108" s="249" t="n">
        <v>6</v>
      </c>
      <c r="R108" s="249"/>
      <c r="S108" s="246" t="s">
        <v>254</v>
      </c>
    </row>
    <row r="109" s="241" customFormat="true" ht="15" hidden="true" customHeight="false" outlineLevel="0" collapsed="false">
      <c r="B109" s="242" t="n">
        <v>2021</v>
      </c>
      <c r="C109" s="241" t="n">
        <v>6</v>
      </c>
      <c r="D109" s="243" t="s">
        <v>44</v>
      </c>
      <c r="E109" s="244" t="n">
        <v>64996156028</v>
      </c>
      <c r="F109" s="244" t="n">
        <v>95539771</v>
      </c>
      <c r="G109" s="245" t="n">
        <v>1</v>
      </c>
      <c r="H109" s="241" t="s">
        <v>55</v>
      </c>
      <c r="I109" s="246" t="n">
        <v>3000</v>
      </c>
      <c r="J109" s="246" t="n">
        <v>3000</v>
      </c>
      <c r="K109" s="246" t="n">
        <v>3000</v>
      </c>
      <c r="L109" s="246" t="n">
        <v>0</v>
      </c>
      <c r="M109" s="250" t="n">
        <v>3000</v>
      </c>
      <c r="N109" s="250"/>
      <c r="O109" s="246"/>
      <c r="P109" s="246"/>
      <c r="Q109" s="249"/>
      <c r="R109" s="249"/>
      <c r="S109" s="246"/>
    </row>
    <row r="110" s="241" customFormat="true" ht="15" hidden="true" customHeight="false" outlineLevel="0" collapsed="false">
      <c r="B110" s="242" t="n">
        <v>2021</v>
      </c>
      <c r="C110" s="241" t="n">
        <v>6</v>
      </c>
      <c r="D110" s="243" t="s">
        <v>44</v>
      </c>
      <c r="E110" s="244" t="n">
        <v>59233322526</v>
      </c>
      <c r="F110" s="244" t="n">
        <v>96712272</v>
      </c>
      <c r="G110" s="245" t="n">
        <v>1</v>
      </c>
      <c r="H110" s="248" t="s">
        <v>68</v>
      </c>
      <c r="I110" s="246" t="n">
        <v>4000</v>
      </c>
      <c r="J110" s="246" t="n">
        <v>4000</v>
      </c>
      <c r="K110" s="246" t="n">
        <v>4000</v>
      </c>
      <c r="L110" s="246" t="n">
        <v>0</v>
      </c>
      <c r="M110" s="250" t="n">
        <v>4000</v>
      </c>
      <c r="N110" s="250"/>
      <c r="O110" s="246"/>
      <c r="P110" s="246"/>
      <c r="Q110" s="249"/>
      <c r="R110" s="249"/>
      <c r="S110" s="246"/>
    </row>
    <row r="111" s="241" customFormat="true" ht="15" hidden="true" customHeight="false" outlineLevel="0" collapsed="false">
      <c r="B111" s="242" t="n">
        <v>2021</v>
      </c>
      <c r="C111" s="241" t="n">
        <v>6</v>
      </c>
      <c r="D111" s="243" t="s">
        <v>44</v>
      </c>
      <c r="E111" s="244" t="n">
        <v>55186680706</v>
      </c>
      <c r="F111" s="244" t="n">
        <v>95787183</v>
      </c>
      <c r="G111" s="245" t="n">
        <v>1</v>
      </c>
      <c r="H111" s="241" t="s">
        <v>73</v>
      </c>
      <c r="I111" s="246" t="n">
        <v>3000</v>
      </c>
      <c r="J111" s="246" t="n">
        <v>5000</v>
      </c>
      <c r="K111" s="246" t="n">
        <v>3000</v>
      </c>
      <c r="L111" s="246" t="n">
        <v>5470</v>
      </c>
      <c r="M111" s="250" t="n">
        <v>8470</v>
      </c>
      <c r="N111" s="250" t="n">
        <v>3470</v>
      </c>
      <c r="O111" s="246" t="s">
        <v>255</v>
      </c>
      <c r="P111" s="246"/>
      <c r="Q111" s="249"/>
      <c r="R111" s="249"/>
      <c r="S111" s="246" t="s">
        <v>255</v>
      </c>
    </row>
    <row r="112" s="241" customFormat="true" ht="15" hidden="true" customHeight="false" outlineLevel="0" collapsed="false">
      <c r="B112" s="242" t="n">
        <v>2021</v>
      </c>
      <c r="C112" s="241" t="n">
        <v>6</v>
      </c>
      <c r="D112" s="243" t="s">
        <v>44</v>
      </c>
      <c r="E112" s="244" t="n">
        <v>21242693324</v>
      </c>
      <c r="F112" s="244" t="n">
        <v>95532064</v>
      </c>
      <c r="G112" s="245" t="n">
        <v>1</v>
      </c>
      <c r="H112" s="248" t="s">
        <v>85</v>
      </c>
      <c r="I112" s="246" t="n">
        <v>2467.31</v>
      </c>
      <c r="J112" s="246" t="n">
        <v>3600</v>
      </c>
      <c r="K112" s="246" t="n">
        <v>2467.31</v>
      </c>
      <c r="L112" s="246" t="n">
        <v>0</v>
      </c>
      <c r="M112" s="250" t="n">
        <v>2467.31</v>
      </c>
      <c r="N112" s="250"/>
      <c r="O112" s="246" t="s">
        <v>252</v>
      </c>
      <c r="P112" s="246"/>
      <c r="Q112" s="249"/>
      <c r="R112" s="249"/>
      <c r="S112" s="246" t="s">
        <v>252</v>
      </c>
    </row>
    <row r="113" s="241" customFormat="true" ht="15" hidden="true" customHeight="false" outlineLevel="0" collapsed="false">
      <c r="B113" s="242" t="n">
        <v>2021</v>
      </c>
      <c r="C113" s="241" t="n">
        <v>6</v>
      </c>
      <c r="D113" s="243" t="s">
        <v>44</v>
      </c>
      <c r="E113" s="244" t="n">
        <v>17159801204</v>
      </c>
      <c r="F113" s="244" t="n">
        <v>95532066</v>
      </c>
      <c r="G113" s="245" t="n">
        <v>1</v>
      </c>
      <c r="H113" s="248" t="s">
        <v>87</v>
      </c>
      <c r="I113" s="246" t="n">
        <v>2309.73</v>
      </c>
      <c r="J113" s="246" t="n">
        <v>3600</v>
      </c>
      <c r="K113" s="246" t="n">
        <v>2309.73</v>
      </c>
      <c r="L113" s="246" t="n">
        <v>0</v>
      </c>
      <c r="M113" s="250" t="n">
        <v>2309.73</v>
      </c>
      <c r="N113" s="250"/>
      <c r="O113" s="246" t="s">
        <v>252</v>
      </c>
      <c r="P113" s="246"/>
      <c r="Q113" s="249"/>
      <c r="R113" s="249"/>
      <c r="S113" s="246" t="s">
        <v>252</v>
      </c>
    </row>
    <row r="114" s="241" customFormat="true" ht="15" hidden="true" customHeight="false" outlineLevel="0" collapsed="false">
      <c r="B114" s="242" t="n">
        <v>2021</v>
      </c>
      <c r="C114" s="241" t="n">
        <v>6</v>
      </c>
      <c r="D114" s="243" t="s">
        <v>44</v>
      </c>
      <c r="E114" s="244" t="n">
        <v>66385338732</v>
      </c>
      <c r="F114" s="244" t="n">
        <v>96717247</v>
      </c>
      <c r="G114" s="245" t="n">
        <v>1</v>
      </c>
      <c r="H114" s="248" t="s">
        <v>52</v>
      </c>
      <c r="I114" s="246" t="n">
        <v>2418.53</v>
      </c>
      <c r="J114" s="246" t="n">
        <v>2418.53</v>
      </c>
      <c r="K114" s="246" t="n">
        <v>2418.53</v>
      </c>
      <c r="L114" s="246" t="n">
        <v>0</v>
      </c>
      <c r="M114" s="250" t="n">
        <v>2418.53</v>
      </c>
      <c r="N114" s="250"/>
      <c r="O114" s="246" t="s">
        <v>250</v>
      </c>
      <c r="P114" s="246" t="n">
        <v>-706.48</v>
      </c>
      <c r="Q114" s="249"/>
      <c r="R114" s="249"/>
      <c r="S114" s="246" t="s">
        <v>250</v>
      </c>
    </row>
    <row r="115" s="241" customFormat="true" ht="15" hidden="true" customHeight="false" outlineLevel="0" collapsed="false">
      <c r="B115" s="242" t="n">
        <v>2021</v>
      </c>
      <c r="C115" s="241" t="n">
        <v>6</v>
      </c>
      <c r="D115" s="243" t="s">
        <v>44</v>
      </c>
      <c r="E115" s="244" t="n">
        <v>23764482950</v>
      </c>
      <c r="F115" s="244" t="n">
        <v>95532077</v>
      </c>
      <c r="G115" s="245" t="n">
        <v>1</v>
      </c>
      <c r="H115" s="248" t="s">
        <v>93</v>
      </c>
      <c r="I115" s="246" t="n">
        <v>547</v>
      </c>
      <c r="J115" s="246" t="n">
        <v>3600</v>
      </c>
      <c r="K115" s="246" t="n">
        <v>547</v>
      </c>
      <c r="L115" s="246" t="n">
        <v>4793</v>
      </c>
      <c r="M115" s="250" t="n">
        <v>5340</v>
      </c>
      <c r="N115" s="250" t="n">
        <v>1740</v>
      </c>
      <c r="O115" s="246" t="s">
        <v>256</v>
      </c>
      <c r="P115" s="246"/>
      <c r="Q115" s="249" t="n">
        <v>25</v>
      </c>
      <c r="R115" s="249"/>
      <c r="S115" s="246" t="s">
        <v>256</v>
      </c>
    </row>
    <row r="116" s="241" customFormat="true" ht="15" hidden="true" customHeight="false" outlineLevel="0" collapsed="false">
      <c r="B116" s="242" t="n">
        <v>2021</v>
      </c>
      <c r="C116" s="241" t="n">
        <v>6</v>
      </c>
      <c r="D116" s="243" t="s">
        <v>36</v>
      </c>
      <c r="E116" s="244" t="n">
        <v>25672444846</v>
      </c>
      <c r="F116" s="244" t="n">
        <v>95693810</v>
      </c>
      <c r="G116" s="245" t="n">
        <v>1</v>
      </c>
      <c r="H116" s="248" t="s">
        <v>245</v>
      </c>
      <c r="I116" s="246" t="n">
        <v>3600</v>
      </c>
      <c r="J116" s="246" t="n">
        <v>3600</v>
      </c>
      <c r="K116" s="246" t="n">
        <v>3600</v>
      </c>
      <c r="L116" s="246" t="n">
        <v>0</v>
      </c>
      <c r="M116" s="250" t="n">
        <v>3600</v>
      </c>
      <c r="N116" s="250"/>
      <c r="O116" s="246"/>
      <c r="P116" s="246"/>
      <c r="Q116" s="249"/>
      <c r="R116" s="249"/>
      <c r="S116" s="246"/>
    </row>
    <row r="117" s="241" customFormat="true" ht="15" hidden="true" customHeight="false" outlineLevel="0" collapsed="false">
      <c r="B117" s="242" t="n">
        <v>2021</v>
      </c>
      <c r="C117" s="241" t="n">
        <v>6</v>
      </c>
      <c r="D117" s="243" t="s">
        <v>36</v>
      </c>
      <c r="E117" s="244" t="n">
        <v>15394555838</v>
      </c>
      <c r="F117" s="244" t="n">
        <v>95580195</v>
      </c>
      <c r="G117" s="245" t="n">
        <v>1</v>
      </c>
      <c r="H117" s="248" t="s">
        <v>48</v>
      </c>
      <c r="I117" s="246" t="n">
        <v>547</v>
      </c>
      <c r="J117" s="246" t="n">
        <v>3600</v>
      </c>
      <c r="K117" s="246" t="n">
        <v>547</v>
      </c>
      <c r="L117" s="246" t="n">
        <v>3053</v>
      </c>
      <c r="M117" s="250" t="n">
        <v>3600</v>
      </c>
      <c r="N117" s="250"/>
      <c r="O117" s="246"/>
      <c r="P117" s="246"/>
      <c r="Q117" s="249" t="n">
        <v>25</v>
      </c>
      <c r="R117" s="249"/>
      <c r="S117" s="246"/>
    </row>
    <row r="118" s="241" customFormat="true" ht="15" hidden="true" customHeight="false" outlineLevel="0" collapsed="false">
      <c r="B118" s="242" t="n">
        <v>2021</v>
      </c>
      <c r="C118" s="241" t="n">
        <v>6</v>
      </c>
      <c r="D118" s="243" t="s">
        <v>44</v>
      </c>
      <c r="E118" s="244" t="n">
        <v>33853146700</v>
      </c>
      <c r="F118" s="244" t="n">
        <v>96959868</v>
      </c>
      <c r="G118" s="245" t="n">
        <v>1</v>
      </c>
      <c r="H118" s="248" t="s">
        <v>247</v>
      </c>
      <c r="I118" s="246" t="n">
        <v>547</v>
      </c>
      <c r="J118" s="246" t="n">
        <v>4800</v>
      </c>
      <c r="K118" s="246" t="n">
        <v>547</v>
      </c>
      <c r="L118" s="246" t="n">
        <v>4753</v>
      </c>
      <c r="M118" s="250" t="n">
        <v>5300</v>
      </c>
      <c r="N118" s="250" t="n">
        <v>500</v>
      </c>
      <c r="O118" s="246" t="s">
        <v>257</v>
      </c>
      <c r="P118" s="246"/>
      <c r="Q118" s="249" t="n">
        <v>25</v>
      </c>
      <c r="R118" s="249"/>
      <c r="S118" s="246" t="s">
        <v>257</v>
      </c>
    </row>
    <row r="119" s="241" customFormat="true" ht="15" hidden="true" customHeight="false" outlineLevel="0" collapsed="false">
      <c r="B119" s="242" t="n">
        <v>2021</v>
      </c>
      <c r="C119" s="241" t="n">
        <v>6</v>
      </c>
      <c r="D119" s="243" t="s">
        <v>44</v>
      </c>
      <c r="E119" s="244" t="n">
        <v>51994540164</v>
      </c>
      <c r="F119" s="244" t="n">
        <v>96900867</v>
      </c>
      <c r="G119" s="245" t="n">
        <v>1</v>
      </c>
      <c r="H119" s="248" t="s">
        <v>97</v>
      </c>
      <c r="I119" s="246" t="n">
        <v>2825.9</v>
      </c>
      <c r="J119" s="246" t="n">
        <v>2825.9</v>
      </c>
      <c r="K119" s="246" t="n">
        <v>2825.9</v>
      </c>
      <c r="L119" s="246" t="n">
        <v>0</v>
      </c>
      <c r="M119" s="250" t="n">
        <v>2825.9</v>
      </c>
      <c r="N119" s="250"/>
      <c r="O119" s="246"/>
      <c r="P119" s="246"/>
      <c r="Q119" s="249"/>
      <c r="R119" s="249"/>
      <c r="S119" s="246"/>
    </row>
    <row r="120" s="241" customFormat="true" ht="15" hidden="true" customHeight="false" outlineLevel="0" collapsed="false">
      <c r="B120" s="242" t="n">
        <v>2021</v>
      </c>
      <c r="C120" s="241" t="n">
        <v>6</v>
      </c>
      <c r="D120" s="243" t="s">
        <v>44</v>
      </c>
      <c r="E120" s="244" t="n">
        <v>52657562356</v>
      </c>
      <c r="F120" s="244" t="n">
        <v>97011710</v>
      </c>
      <c r="G120" s="245" t="n">
        <v>1</v>
      </c>
      <c r="H120" s="248" t="s">
        <v>248</v>
      </c>
      <c r="I120" s="246" t="n">
        <v>2825.9</v>
      </c>
      <c r="J120" s="246" t="n">
        <v>2825.9</v>
      </c>
      <c r="K120" s="246" t="n">
        <v>2825.9</v>
      </c>
      <c r="L120" s="246" t="n">
        <v>0</v>
      </c>
      <c r="M120" s="250" t="n">
        <v>2825.9</v>
      </c>
      <c r="N120" s="250"/>
      <c r="O120" s="246"/>
      <c r="P120" s="246"/>
      <c r="Q120" s="249"/>
      <c r="R120" s="249"/>
      <c r="S120" s="246"/>
    </row>
    <row r="121" s="241" customFormat="true" ht="15" hidden="true" customHeight="false" outlineLevel="0" collapsed="false">
      <c r="B121" s="242" t="n">
        <v>2021</v>
      </c>
      <c r="C121" s="241" t="n">
        <v>6</v>
      </c>
      <c r="D121" s="243" t="s">
        <v>36</v>
      </c>
      <c r="E121" s="244" t="n">
        <v>10459950610</v>
      </c>
      <c r="F121" s="244" t="n">
        <v>97226520</v>
      </c>
      <c r="G121" s="245" t="n">
        <v>1</v>
      </c>
      <c r="H121" s="248" t="s">
        <v>195</v>
      </c>
      <c r="I121" s="246" t="n">
        <v>3600</v>
      </c>
      <c r="J121" s="246" t="n">
        <v>3600</v>
      </c>
      <c r="K121" s="246" t="n">
        <v>3600</v>
      </c>
      <c r="L121" s="246" t="n">
        <v>0</v>
      </c>
      <c r="M121" s="250" t="n">
        <v>3600</v>
      </c>
      <c r="N121" s="250"/>
      <c r="O121" s="246"/>
      <c r="P121" s="246"/>
      <c r="Q121" s="246"/>
      <c r="R121" s="246"/>
      <c r="S121" s="246"/>
      <c r="T121" s="241" t="s">
        <v>258</v>
      </c>
    </row>
    <row r="122" s="241" customFormat="true" ht="15" hidden="true" customHeight="false" outlineLevel="0" collapsed="false">
      <c r="B122" s="242" t="n">
        <v>2021</v>
      </c>
      <c r="C122" s="241" t="n">
        <v>6</v>
      </c>
      <c r="D122" s="243" t="s">
        <v>44</v>
      </c>
      <c r="E122" s="244" t="n">
        <v>23713484608</v>
      </c>
      <c r="F122" s="244" t="n">
        <v>97189681</v>
      </c>
      <c r="G122" s="245" t="n">
        <v>1</v>
      </c>
      <c r="H122" s="248" t="s">
        <v>100</v>
      </c>
      <c r="I122" s="246" t="n">
        <v>3600</v>
      </c>
      <c r="J122" s="246" t="n">
        <v>3600</v>
      </c>
      <c r="K122" s="246" t="n">
        <v>3600</v>
      </c>
      <c r="L122" s="246" t="n">
        <v>0</v>
      </c>
      <c r="M122" s="250" t="n">
        <v>3600</v>
      </c>
      <c r="N122" s="250"/>
      <c r="O122" s="246"/>
      <c r="P122" s="246"/>
      <c r="Q122" s="246"/>
      <c r="R122" s="246"/>
      <c r="S122" s="246"/>
    </row>
    <row r="123" s="241" customFormat="true" ht="15" hidden="true" customHeight="false" outlineLevel="0" collapsed="false">
      <c r="B123" s="242" t="n">
        <v>2021</v>
      </c>
      <c r="C123" s="241" t="n">
        <v>6</v>
      </c>
      <c r="D123" s="243" t="s">
        <v>44</v>
      </c>
      <c r="E123" s="244" t="n">
        <v>17891875174</v>
      </c>
      <c r="F123" s="244" t="n">
        <v>6214238</v>
      </c>
      <c r="G123" s="245" t="n">
        <v>1</v>
      </c>
      <c r="H123" s="248" t="s">
        <v>190</v>
      </c>
      <c r="I123" s="246" t="n">
        <v>1358.08</v>
      </c>
      <c r="J123" s="246" t="n">
        <v>3300</v>
      </c>
      <c r="K123" s="246" t="n">
        <v>1358.08</v>
      </c>
      <c r="L123" s="246" t="n">
        <v>1941.92</v>
      </c>
      <c r="M123" s="250" t="n">
        <v>3300</v>
      </c>
      <c r="N123" s="250"/>
      <c r="O123" s="246"/>
      <c r="P123" s="246"/>
      <c r="Q123" s="246"/>
      <c r="R123" s="246"/>
      <c r="S123" s="246"/>
    </row>
    <row r="124" s="241" customFormat="true" ht="15" hidden="true" customHeight="false" outlineLevel="0" collapsed="false">
      <c r="B124" s="242" t="n">
        <v>2021</v>
      </c>
      <c r="C124" s="241" t="n">
        <v>6</v>
      </c>
      <c r="D124" s="243" t="s">
        <v>44</v>
      </c>
      <c r="E124" s="244" t="n">
        <v>40340193420</v>
      </c>
      <c r="F124" s="244" t="n">
        <v>97253706</v>
      </c>
      <c r="G124" s="245" t="n">
        <v>1</v>
      </c>
      <c r="H124" s="248" t="s">
        <v>42</v>
      </c>
      <c r="I124" s="246" t="n">
        <v>3168.25</v>
      </c>
      <c r="J124" s="246" t="n">
        <v>3353.97</v>
      </c>
      <c r="K124" s="246" t="n">
        <v>3168.25</v>
      </c>
      <c r="L124" s="246" t="n">
        <v>185.72</v>
      </c>
      <c r="M124" s="250" t="n">
        <v>3353.97</v>
      </c>
      <c r="N124" s="250"/>
      <c r="O124" s="246"/>
      <c r="P124" s="246"/>
      <c r="Q124" s="246"/>
      <c r="R124" s="246"/>
      <c r="S124" s="246"/>
    </row>
    <row r="125" s="241" customFormat="true" ht="15" hidden="true" customHeight="false" outlineLevel="0" collapsed="false">
      <c r="B125" s="242" t="n">
        <v>2021</v>
      </c>
      <c r="C125" s="241" t="n">
        <v>6</v>
      </c>
      <c r="D125" s="243" t="s">
        <v>36</v>
      </c>
      <c r="E125" s="244" t="n">
        <v>18274523170</v>
      </c>
      <c r="F125" s="244" t="n">
        <v>95532068</v>
      </c>
      <c r="G125" s="245" t="n">
        <v>1</v>
      </c>
      <c r="H125" s="248" t="s">
        <v>14</v>
      </c>
      <c r="I125" s="246" t="n">
        <v>0</v>
      </c>
      <c r="J125" s="246" t="n">
        <v>0</v>
      </c>
      <c r="K125" s="246" t="n">
        <v>0</v>
      </c>
      <c r="L125" s="246" t="n">
        <v>720</v>
      </c>
      <c r="M125" s="250" t="n">
        <v>720</v>
      </c>
      <c r="N125" s="250" t="n">
        <v>720</v>
      </c>
      <c r="O125" s="246" t="s">
        <v>259</v>
      </c>
      <c r="P125" s="246"/>
      <c r="Q125" s="246"/>
      <c r="R125" s="246"/>
      <c r="S125" s="246" t="s">
        <v>259</v>
      </c>
    </row>
    <row r="126" s="241" customFormat="true" ht="15" hidden="true" customHeight="false" outlineLevel="0" collapsed="false">
      <c r="B126" s="242" t="n">
        <v>2021</v>
      </c>
      <c r="C126" s="241" t="n">
        <v>6</v>
      </c>
      <c r="D126" s="243" t="s">
        <v>44</v>
      </c>
      <c r="E126" s="244" t="n">
        <v>0</v>
      </c>
      <c r="F126" s="244" t="n">
        <v>0</v>
      </c>
      <c r="G126" s="245" t="n">
        <v>0</v>
      </c>
      <c r="H126" s="248" t="s">
        <v>260</v>
      </c>
      <c r="I126" s="246" t="n">
        <v>0</v>
      </c>
      <c r="J126" s="246" t="n">
        <v>3600</v>
      </c>
      <c r="K126" s="246" t="n">
        <v>0</v>
      </c>
      <c r="L126" s="246" t="n">
        <v>2520</v>
      </c>
      <c r="M126" s="250" t="n">
        <v>2520</v>
      </c>
      <c r="N126" s="250"/>
      <c r="O126" s="246" t="s">
        <v>261</v>
      </c>
      <c r="P126" s="246"/>
      <c r="Q126" s="246"/>
      <c r="R126" s="246"/>
      <c r="S126" s="246" t="s">
        <v>261</v>
      </c>
    </row>
    <row r="127" s="241" customFormat="true" ht="15" hidden="true" customHeight="false" outlineLevel="0" collapsed="false">
      <c r="B127" s="242" t="n">
        <v>2021</v>
      </c>
      <c r="C127" s="241" t="n">
        <v>6</v>
      </c>
      <c r="D127" s="243" t="s">
        <v>36</v>
      </c>
      <c r="E127" s="244" t="n">
        <v>39617231002</v>
      </c>
      <c r="F127" s="244" t="n">
        <v>95532072</v>
      </c>
      <c r="G127" s="245" t="n">
        <v>1</v>
      </c>
      <c r="H127" s="248" t="s">
        <v>38</v>
      </c>
      <c r="I127" s="246" t="n">
        <v>965</v>
      </c>
      <c r="J127" s="246" t="n">
        <v>3600</v>
      </c>
      <c r="K127" s="246" t="n">
        <v>965</v>
      </c>
      <c r="L127" s="246" t="n">
        <v>0</v>
      </c>
      <c r="M127" s="250" t="n">
        <v>965</v>
      </c>
      <c r="N127" s="250"/>
      <c r="O127" s="246"/>
      <c r="P127" s="246"/>
      <c r="Q127" s="246"/>
      <c r="R127" s="246"/>
      <c r="S127" s="246"/>
    </row>
    <row r="128" s="241" customFormat="true" ht="15" hidden="true" customHeight="false" outlineLevel="0" collapsed="false">
      <c r="B128" s="242" t="n">
        <v>2021</v>
      </c>
      <c r="C128" s="241" t="n">
        <v>7</v>
      </c>
      <c r="D128" s="243" t="s">
        <v>44</v>
      </c>
      <c r="E128" s="244" t="n">
        <v>28699369338</v>
      </c>
      <c r="F128" s="244" t="n">
        <v>96358353</v>
      </c>
      <c r="G128" s="245" t="n">
        <v>1</v>
      </c>
      <c r="H128" s="241" t="s">
        <v>79</v>
      </c>
      <c r="I128" s="246" t="n">
        <v>4000</v>
      </c>
      <c r="J128" s="246" t="n">
        <v>4500</v>
      </c>
      <c r="K128" s="246" t="n">
        <v>4000</v>
      </c>
      <c r="L128" s="246" t="n">
        <v>500</v>
      </c>
      <c r="M128" s="246" t="n">
        <v>4500</v>
      </c>
      <c r="N128" s="246"/>
      <c r="O128" s="246"/>
      <c r="P128" s="246"/>
      <c r="Q128" s="249"/>
      <c r="R128" s="249"/>
      <c r="S128" s="246"/>
    </row>
    <row r="129" s="241" customFormat="true" ht="15" hidden="true" customHeight="false" outlineLevel="0" collapsed="false">
      <c r="B129" s="242" t="n">
        <v>2021</v>
      </c>
      <c r="C129" s="241" t="n">
        <v>7</v>
      </c>
      <c r="D129" s="243" t="s">
        <v>44</v>
      </c>
      <c r="E129" s="244" t="n">
        <v>63097169876</v>
      </c>
      <c r="F129" s="244" t="n">
        <v>96843148</v>
      </c>
      <c r="G129" s="245" t="n">
        <v>1</v>
      </c>
      <c r="H129" s="248" t="s">
        <v>122</v>
      </c>
      <c r="I129" s="246" t="n">
        <v>547</v>
      </c>
      <c r="J129" s="246" t="n">
        <v>4600</v>
      </c>
      <c r="K129" s="246" t="n">
        <v>547</v>
      </c>
      <c r="L129" s="246" t="n">
        <v>4053</v>
      </c>
      <c r="M129" s="246" t="n">
        <v>4600</v>
      </c>
      <c r="N129" s="246"/>
      <c r="O129" s="246"/>
      <c r="P129" s="246"/>
      <c r="Q129" s="249" t="n">
        <v>25</v>
      </c>
      <c r="R129" s="249"/>
      <c r="S129" s="246"/>
    </row>
    <row r="130" s="241" customFormat="true" ht="15" hidden="true" customHeight="false" outlineLevel="0" collapsed="false">
      <c r="B130" s="242" t="n">
        <v>2021</v>
      </c>
      <c r="C130" s="241" t="n">
        <v>7</v>
      </c>
      <c r="D130" s="243" t="s">
        <v>44</v>
      </c>
      <c r="E130" s="244" t="n">
        <v>36826974454</v>
      </c>
      <c r="F130" s="244" t="n">
        <v>95573006</v>
      </c>
      <c r="G130" s="245" t="n">
        <v>1</v>
      </c>
      <c r="H130" s="248" t="s">
        <v>188</v>
      </c>
      <c r="I130" s="246" t="n">
        <v>1105.02</v>
      </c>
      <c r="J130" s="246" t="n">
        <v>3313.72</v>
      </c>
      <c r="K130" s="246" t="n">
        <v>1105.02</v>
      </c>
      <c r="L130" s="246" t="n">
        <v>0</v>
      </c>
      <c r="M130" s="246" t="n">
        <v>1105.02</v>
      </c>
      <c r="N130" s="246"/>
      <c r="O130" s="246" t="s">
        <v>262</v>
      </c>
      <c r="P130" s="246"/>
      <c r="Q130" s="249" t="n">
        <v>18</v>
      </c>
      <c r="R130" s="249"/>
      <c r="S130" s="246" t="s">
        <v>262</v>
      </c>
    </row>
    <row r="131" s="241" customFormat="true" ht="15" hidden="true" customHeight="false" outlineLevel="0" collapsed="false">
      <c r="B131" s="242" t="n">
        <v>2021</v>
      </c>
      <c r="C131" s="241" t="n">
        <v>7</v>
      </c>
      <c r="D131" s="243" t="s">
        <v>44</v>
      </c>
      <c r="E131" s="244" t="n">
        <v>17630785580</v>
      </c>
      <c r="F131" s="244" t="n">
        <v>95529415</v>
      </c>
      <c r="G131" s="245" t="n">
        <v>1</v>
      </c>
      <c r="H131" s="248" t="s">
        <v>81</v>
      </c>
      <c r="I131" s="246" t="n">
        <v>3188.13</v>
      </c>
      <c r="J131" s="246" t="n">
        <v>8188.13</v>
      </c>
      <c r="K131" s="246" t="n">
        <v>3188.13</v>
      </c>
      <c r="L131" s="246" t="n">
        <v>5000</v>
      </c>
      <c r="M131" s="246" t="n">
        <v>8188.13</v>
      </c>
      <c r="N131" s="246"/>
      <c r="O131" s="246"/>
      <c r="P131" s="246"/>
      <c r="Q131" s="249"/>
      <c r="R131" s="249"/>
      <c r="S131" s="246"/>
    </row>
    <row r="132" s="241" customFormat="true" ht="15" hidden="true" customHeight="false" outlineLevel="0" collapsed="false">
      <c r="B132" s="242" t="n">
        <v>2021</v>
      </c>
      <c r="C132" s="241" t="n">
        <v>7</v>
      </c>
      <c r="D132" s="243" t="s">
        <v>44</v>
      </c>
      <c r="E132" s="244" t="n">
        <v>27172394690</v>
      </c>
      <c r="F132" s="244" t="n">
        <v>95702622</v>
      </c>
      <c r="G132" s="245" t="n">
        <v>1</v>
      </c>
      <c r="H132" s="248" t="s">
        <v>72</v>
      </c>
      <c r="I132" s="246" t="n">
        <v>0</v>
      </c>
      <c r="J132" s="246" t="n">
        <v>3600.03</v>
      </c>
      <c r="K132" s="246" t="n">
        <v>0</v>
      </c>
      <c r="L132" s="246" t="n">
        <v>1680</v>
      </c>
      <c r="M132" s="246" t="n">
        <v>1680</v>
      </c>
      <c r="N132" s="246"/>
      <c r="O132" s="246" t="s">
        <v>263</v>
      </c>
      <c r="P132" s="246"/>
      <c r="Q132" s="249" t="n">
        <v>16</v>
      </c>
      <c r="R132" s="249"/>
      <c r="S132" s="246" t="s">
        <v>263</v>
      </c>
    </row>
    <row r="133" s="241" customFormat="true" ht="15" hidden="true" customHeight="false" outlineLevel="0" collapsed="false">
      <c r="B133" s="242" t="n">
        <v>2021</v>
      </c>
      <c r="C133" s="241" t="n">
        <v>7</v>
      </c>
      <c r="D133" s="243" t="s">
        <v>44</v>
      </c>
      <c r="E133" s="244" t="n">
        <v>64996156028</v>
      </c>
      <c r="F133" s="244" t="n">
        <v>95539771</v>
      </c>
      <c r="G133" s="245" t="n">
        <v>1</v>
      </c>
      <c r="H133" s="241" t="s">
        <v>55</v>
      </c>
      <c r="I133" s="246" t="n">
        <v>3000</v>
      </c>
      <c r="J133" s="246" t="n">
        <v>3000</v>
      </c>
      <c r="K133" s="246" t="n">
        <v>3000</v>
      </c>
      <c r="L133" s="246" t="n">
        <v>0</v>
      </c>
      <c r="M133" s="246" t="n">
        <v>3000</v>
      </c>
      <c r="N133" s="246"/>
      <c r="O133" s="246"/>
      <c r="P133" s="246"/>
      <c r="Q133" s="249"/>
      <c r="R133" s="249"/>
      <c r="S133" s="246"/>
    </row>
    <row r="134" s="241" customFormat="true" ht="15" hidden="true" customHeight="false" outlineLevel="0" collapsed="false">
      <c r="B134" s="242" t="n">
        <v>2021</v>
      </c>
      <c r="C134" s="241" t="n">
        <v>7</v>
      </c>
      <c r="D134" s="243" t="s">
        <v>44</v>
      </c>
      <c r="E134" s="244" t="n">
        <v>59233322526</v>
      </c>
      <c r="F134" s="244" t="n">
        <v>96712272</v>
      </c>
      <c r="G134" s="245" t="n">
        <v>1</v>
      </c>
      <c r="H134" s="248" t="s">
        <v>68</v>
      </c>
      <c r="I134" s="246" t="n">
        <v>4000</v>
      </c>
      <c r="J134" s="246" t="n">
        <v>4000</v>
      </c>
      <c r="K134" s="246" t="n">
        <v>4000</v>
      </c>
      <c r="L134" s="246" t="n">
        <v>0</v>
      </c>
      <c r="M134" s="246" t="n">
        <v>4000</v>
      </c>
      <c r="N134" s="246"/>
      <c r="O134" s="246"/>
      <c r="P134" s="246"/>
      <c r="Q134" s="249"/>
      <c r="R134" s="249"/>
      <c r="S134" s="246"/>
    </row>
    <row r="135" s="241" customFormat="true" ht="15" hidden="true" customHeight="false" outlineLevel="0" collapsed="false">
      <c r="B135" s="242" t="n">
        <v>2021</v>
      </c>
      <c r="C135" s="241" t="n">
        <v>7</v>
      </c>
      <c r="D135" s="243" t="s">
        <v>44</v>
      </c>
      <c r="E135" s="244" t="n">
        <v>55186680706</v>
      </c>
      <c r="F135" s="244" t="n">
        <v>95787183</v>
      </c>
      <c r="G135" s="245" t="n">
        <v>1</v>
      </c>
      <c r="H135" s="241" t="s">
        <v>73</v>
      </c>
      <c r="I135" s="246" t="n">
        <v>1530.4</v>
      </c>
      <c r="J135" s="246" t="n">
        <v>5000</v>
      </c>
      <c r="K135" s="246" t="n">
        <v>1530.4</v>
      </c>
      <c r="L135" s="246" t="n">
        <v>3939.6</v>
      </c>
      <c r="M135" s="246" t="n">
        <v>5470</v>
      </c>
      <c r="N135" s="246" t="n">
        <v>470</v>
      </c>
      <c r="O135" s="246" t="s">
        <v>182</v>
      </c>
      <c r="P135" s="246"/>
      <c r="Q135" s="249"/>
      <c r="R135" s="249"/>
      <c r="S135" s="246" t="s">
        <v>182</v>
      </c>
    </row>
    <row r="136" s="241" customFormat="true" ht="15" hidden="true" customHeight="false" outlineLevel="0" collapsed="false">
      <c r="B136" s="242" t="n">
        <v>2021</v>
      </c>
      <c r="C136" s="241" t="n">
        <v>7</v>
      </c>
      <c r="D136" s="243" t="s">
        <v>44</v>
      </c>
      <c r="E136" s="244" t="n">
        <v>21242693324</v>
      </c>
      <c r="F136" s="244" t="n">
        <v>95532064</v>
      </c>
      <c r="G136" s="245" t="n">
        <v>1</v>
      </c>
      <c r="H136" s="248" t="s">
        <v>85</v>
      </c>
      <c r="I136" s="246" t="n">
        <v>3505.61</v>
      </c>
      <c r="J136" s="246" t="n">
        <v>3600</v>
      </c>
      <c r="K136" s="246" t="n">
        <v>3505.61</v>
      </c>
      <c r="L136" s="246" t="n">
        <v>0</v>
      </c>
      <c r="M136" s="246" t="n">
        <v>3505.61</v>
      </c>
      <c r="N136" s="246"/>
      <c r="O136" s="246" t="s">
        <v>262</v>
      </c>
      <c r="P136" s="246"/>
      <c r="Q136" s="249"/>
      <c r="R136" s="249"/>
      <c r="S136" s="246" t="s">
        <v>262</v>
      </c>
    </row>
    <row r="137" s="241" customFormat="true" ht="15" hidden="true" customHeight="false" outlineLevel="0" collapsed="false">
      <c r="B137" s="242" t="n">
        <v>2021</v>
      </c>
      <c r="C137" s="241" t="n">
        <v>7</v>
      </c>
      <c r="D137" s="243" t="s">
        <v>44</v>
      </c>
      <c r="E137" s="244" t="n">
        <v>17159801204</v>
      </c>
      <c r="F137" s="244" t="n">
        <v>95532066</v>
      </c>
      <c r="G137" s="245" t="n">
        <v>1</v>
      </c>
      <c r="H137" s="248" t="s">
        <v>87</v>
      </c>
      <c r="I137" s="246" t="n">
        <v>3600</v>
      </c>
      <c r="J137" s="246" t="n">
        <v>3600</v>
      </c>
      <c r="K137" s="246" t="n">
        <v>3600</v>
      </c>
      <c r="L137" s="246" t="n">
        <v>0</v>
      </c>
      <c r="M137" s="246" t="n">
        <v>3600</v>
      </c>
      <c r="N137" s="246"/>
      <c r="O137" s="246"/>
      <c r="P137" s="246"/>
      <c r="Q137" s="249"/>
      <c r="R137" s="249"/>
      <c r="S137" s="246"/>
    </row>
    <row r="138" s="241" customFormat="true" ht="15" hidden="true" customHeight="false" outlineLevel="0" collapsed="false">
      <c r="B138" s="242" t="n">
        <v>2021</v>
      </c>
      <c r="C138" s="241" t="n">
        <v>7</v>
      </c>
      <c r="D138" s="243" t="s">
        <v>44</v>
      </c>
      <c r="E138" s="244" t="n">
        <v>66385338732</v>
      </c>
      <c r="F138" s="244" t="n">
        <v>96717247</v>
      </c>
      <c r="G138" s="245" t="n">
        <v>1</v>
      </c>
      <c r="H138" s="248" t="s">
        <v>52</v>
      </c>
      <c r="I138" s="246" t="n">
        <v>2418.53</v>
      </c>
      <c r="J138" s="246" t="n">
        <v>2418.53</v>
      </c>
      <c r="K138" s="246" t="n">
        <v>2418.53</v>
      </c>
      <c r="L138" s="246" t="n">
        <v>0</v>
      </c>
      <c r="M138" s="246" t="n">
        <v>2418.53</v>
      </c>
      <c r="N138" s="246"/>
      <c r="O138" s="246" t="s">
        <v>250</v>
      </c>
      <c r="P138" s="246" t="n">
        <v>-706.48</v>
      </c>
      <c r="Q138" s="249"/>
      <c r="R138" s="249"/>
      <c r="S138" s="246" t="s">
        <v>250</v>
      </c>
    </row>
    <row r="139" s="241" customFormat="true" ht="15" hidden="true" customHeight="false" outlineLevel="0" collapsed="false">
      <c r="B139" s="242" t="n">
        <v>2021</v>
      </c>
      <c r="C139" s="241" t="n">
        <v>7</v>
      </c>
      <c r="D139" s="243" t="s">
        <v>44</v>
      </c>
      <c r="E139" s="244" t="n">
        <v>23764482950</v>
      </c>
      <c r="F139" s="244" t="n">
        <v>95532077</v>
      </c>
      <c r="G139" s="245" t="n">
        <v>1</v>
      </c>
      <c r="H139" s="248" t="s">
        <v>93</v>
      </c>
      <c r="I139" s="246" t="n">
        <v>547</v>
      </c>
      <c r="J139" s="246" t="n">
        <v>3600</v>
      </c>
      <c r="K139" s="246" t="n">
        <v>547</v>
      </c>
      <c r="L139" s="246" t="n">
        <v>3053</v>
      </c>
      <c r="M139" s="246" t="n">
        <v>3600</v>
      </c>
      <c r="N139" s="246"/>
      <c r="O139" s="246"/>
      <c r="P139" s="246"/>
      <c r="Q139" s="249" t="n">
        <v>25</v>
      </c>
      <c r="R139" s="249"/>
      <c r="S139" s="246"/>
    </row>
    <row r="140" s="241" customFormat="true" ht="15" hidden="true" customHeight="false" outlineLevel="0" collapsed="false">
      <c r="B140" s="242" t="n">
        <v>2021</v>
      </c>
      <c r="C140" s="241" t="n">
        <v>7</v>
      </c>
      <c r="D140" s="243" t="s">
        <v>36</v>
      </c>
      <c r="E140" s="244" t="n">
        <v>25672444846</v>
      </c>
      <c r="F140" s="244" t="n">
        <v>95693810</v>
      </c>
      <c r="G140" s="245" t="n">
        <v>1</v>
      </c>
      <c r="H140" s="248" t="s">
        <v>245</v>
      </c>
      <c r="I140" s="246" t="n">
        <v>3600</v>
      </c>
      <c r="J140" s="246" t="n">
        <v>3600</v>
      </c>
      <c r="K140" s="246" t="n">
        <v>3600</v>
      </c>
      <c r="L140" s="246" t="n">
        <v>0</v>
      </c>
      <c r="M140" s="246" t="n">
        <v>3600</v>
      </c>
      <c r="N140" s="246"/>
      <c r="O140" s="246"/>
      <c r="P140" s="246"/>
      <c r="Q140" s="249"/>
      <c r="R140" s="249"/>
      <c r="S140" s="246"/>
    </row>
    <row r="141" s="241" customFormat="true" ht="15" hidden="true" customHeight="false" outlineLevel="0" collapsed="false">
      <c r="B141" s="242" t="n">
        <v>2021</v>
      </c>
      <c r="C141" s="241" t="n">
        <v>7</v>
      </c>
      <c r="D141" s="243" t="s">
        <v>36</v>
      </c>
      <c r="E141" s="244" t="n">
        <v>15394555838</v>
      </c>
      <c r="F141" s="244" t="n">
        <v>95580195</v>
      </c>
      <c r="G141" s="245" t="n">
        <v>1</v>
      </c>
      <c r="H141" s="248" t="s">
        <v>48</v>
      </c>
      <c r="I141" s="246" t="n">
        <v>547</v>
      </c>
      <c r="J141" s="246" t="n">
        <v>3600</v>
      </c>
      <c r="K141" s="246" t="n">
        <v>547</v>
      </c>
      <c r="L141" s="246" t="n">
        <v>3053</v>
      </c>
      <c r="M141" s="246" t="n">
        <v>3600</v>
      </c>
      <c r="N141" s="246"/>
      <c r="O141" s="246"/>
      <c r="P141" s="246"/>
      <c r="Q141" s="249" t="n">
        <v>25</v>
      </c>
      <c r="R141" s="249"/>
      <c r="S141" s="246"/>
    </row>
    <row r="142" s="241" customFormat="true" ht="15" hidden="true" customHeight="false" outlineLevel="0" collapsed="false">
      <c r="B142" s="242" t="n">
        <v>2021</v>
      </c>
      <c r="C142" s="241" t="n">
        <v>7</v>
      </c>
      <c r="D142" s="243" t="s">
        <v>44</v>
      </c>
      <c r="E142" s="244" t="n">
        <v>33853146700</v>
      </c>
      <c r="F142" s="244" t="n">
        <v>96959868</v>
      </c>
      <c r="G142" s="245" t="n">
        <v>1</v>
      </c>
      <c r="H142" s="248" t="s">
        <v>247</v>
      </c>
      <c r="I142" s="246" t="n">
        <v>547</v>
      </c>
      <c r="J142" s="246" t="n">
        <v>4800</v>
      </c>
      <c r="K142" s="246" t="n">
        <v>547</v>
      </c>
      <c r="L142" s="246" t="n">
        <v>4253</v>
      </c>
      <c r="M142" s="246" t="n">
        <v>4800</v>
      </c>
      <c r="N142" s="246"/>
      <c r="O142" s="246"/>
      <c r="P142" s="246"/>
      <c r="Q142" s="249" t="n">
        <v>25</v>
      </c>
      <c r="R142" s="249"/>
      <c r="S142" s="246"/>
    </row>
    <row r="143" s="241" customFormat="true" ht="15" hidden="true" customHeight="false" outlineLevel="0" collapsed="false">
      <c r="B143" s="242" t="n">
        <v>2021</v>
      </c>
      <c r="C143" s="241" t="n">
        <v>7</v>
      </c>
      <c r="D143" s="243" t="s">
        <v>44</v>
      </c>
      <c r="E143" s="244" t="n">
        <v>51994540164</v>
      </c>
      <c r="F143" s="244" t="n">
        <v>96900867</v>
      </c>
      <c r="G143" s="245" t="n">
        <v>1</v>
      </c>
      <c r="H143" s="248" t="s">
        <v>97</v>
      </c>
      <c r="I143" s="246" t="n">
        <v>2825.9</v>
      </c>
      <c r="J143" s="246" t="n">
        <v>2825.9</v>
      </c>
      <c r="K143" s="246" t="n">
        <v>2825.9</v>
      </c>
      <c r="L143" s="246" t="n">
        <v>0</v>
      </c>
      <c r="M143" s="246" t="n">
        <v>2825.9</v>
      </c>
      <c r="N143" s="246"/>
      <c r="O143" s="246"/>
      <c r="P143" s="246"/>
      <c r="Q143" s="249"/>
      <c r="R143" s="249"/>
      <c r="S143" s="246"/>
    </row>
    <row r="144" s="241" customFormat="true" ht="15" hidden="true" customHeight="false" outlineLevel="0" collapsed="false">
      <c r="B144" s="242" t="n">
        <v>2021</v>
      </c>
      <c r="C144" s="241" t="n">
        <v>7</v>
      </c>
      <c r="D144" s="243" t="s">
        <v>44</v>
      </c>
      <c r="E144" s="244" t="n">
        <v>52657562356</v>
      </c>
      <c r="F144" s="244" t="n">
        <v>97011710</v>
      </c>
      <c r="G144" s="245" t="n">
        <v>1</v>
      </c>
      <c r="H144" s="248" t="s">
        <v>248</v>
      </c>
      <c r="I144" s="246" t="n">
        <v>2825.9</v>
      </c>
      <c r="J144" s="246" t="n">
        <v>2825.9</v>
      </c>
      <c r="K144" s="246" t="n">
        <v>2825.9</v>
      </c>
      <c r="L144" s="246" t="n">
        <v>0</v>
      </c>
      <c r="M144" s="246" t="n">
        <v>2825.9</v>
      </c>
      <c r="N144" s="246"/>
      <c r="O144" s="246"/>
      <c r="P144" s="246"/>
      <c r="Q144" s="249"/>
      <c r="R144" s="249"/>
      <c r="S144" s="246"/>
    </row>
    <row r="145" s="241" customFormat="true" ht="15" hidden="true" customHeight="false" outlineLevel="0" collapsed="false">
      <c r="B145" s="242" t="n">
        <v>2021</v>
      </c>
      <c r="C145" s="241" t="n">
        <v>7</v>
      </c>
      <c r="D145" s="243" t="s">
        <v>36</v>
      </c>
      <c r="E145" s="244" t="n">
        <v>10459950610</v>
      </c>
      <c r="F145" s="244" t="n">
        <v>97226520</v>
      </c>
      <c r="G145" s="245" t="n">
        <v>1</v>
      </c>
      <c r="H145" s="248" t="s">
        <v>195</v>
      </c>
      <c r="I145" s="246" t="n">
        <v>3222.44</v>
      </c>
      <c r="J145" s="246" t="n">
        <v>3600</v>
      </c>
      <c r="K145" s="246" t="n">
        <v>3222.44</v>
      </c>
      <c r="L145" s="246" t="n">
        <v>0</v>
      </c>
      <c r="M145" s="246" t="n">
        <v>3222.44</v>
      </c>
      <c r="N145" s="246"/>
      <c r="O145" s="246" t="s">
        <v>262</v>
      </c>
      <c r="P145" s="246"/>
      <c r="Q145" s="246"/>
      <c r="R145" s="246"/>
      <c r="S145" s="246" t="s">
        <v>262</v>
      </c>
    </row>
    <row r="146" s="241" customFormat="true" ht="15" hidden="true" customHeight="false" outlineLevel="0" collapsed="false">
      <c r="B146" s="242" t="n">
        <v>2021</v>
      </c>
      <c r="C146" s="241" t="n">
        <v>7</v>
      </c>
      <c r="D146" s="243" t="s">
        <v>44</v>
      </c>
      <c r="E146" s="244" t="n">
        <v>23713484608</v>
      </c>
      <c r="F146" s="244" t="n">
        <v>97189681</v>
      </c>
      <c r="G146" s="245" t="n">
        <v>1</v>
      </c>
      <c r="H146" s="248" t="s">
        <v>100</v>
      </c>
      <c r="I146" s="246" t="n">
        <v>3600</v>
      </c>
      <c r="J146" s="246" t="n">
        <v>3600</v>
      </c>
      <c r="K146" s="246" t="n">
        <v>3600</v>
      </c>
      <c r="L146" s="246" t="n">
        <v>0</v>
      </c>
      <c r="M146" s="246" t="n">
        <v>3600</v>
      </c>
      <c r="N146" s="246"/>
      <c r="O146" s="246"/>
      <c r="P146" s="246"/>
      <c r="Q146" s="246"/>
      <c r="R146" s="246"/>
      <c r="S146" s="246"/>
    </row>
    <row r="147" s="241" customFormat="true" ht="15" hidden="true" customHeight="false" outlineLevel="0" collapsed="false">
      <c r="B147" s="242" t="n">
        <v>2021</v>
      </c>
      <c r="C147" s="241" t="n">
        <v>7</v>
      </c>
      <c r="D147" s="243" t="s">
        <v>44</v>
      </c>
      <c r="E147" s="244" t="n">
        <v>17891875174</v>
      </c>
      <c r="F147" s="244" t="n">
        <v>6214238</v>
      </c>
      <c r="G147" s="245" t="n">
        <v>1</v>
      </c>
      <c r="H147" s="248" t="s">
        <v>190</v>
      </c>
      <c r="I147" s="246" t="n">
        <v>3300</v>
      </c>
      <c r="J147" s="246" t="n">
        <v>3300</v>
      </c>
      <c r="K147" s="246" t="n">
        <v>3300</v>
      </c>
      <c r="L147" s="246" t="n">
        <v>0</v>
      </c>
      <c r="M147" s="246" t="n">
        <v>3300</v>
      </c>
      <c r="N147" s="246"/>
      <c r="O147" s="246"/>
      <c r="P147" s="246"/>
      <c r="Q147" s="246"/>
      <c r="R147" s="246"/>
      <c r="S147" s="246"/>
    </row>
    <row r="148" s="241" customFormat="true" ht="15" hidden="true" customHeight="false" outlineLevel="0" collapsed="false">
      <c r="B148" s="242" t="n">
        <v>2021</v>
      </c>
      <c r="C148" s="241" t="n">
        <v>7</v>
      </c>
      <c r="D148" s="243" t="s">
        <v>44</v>
      </c>
      <c r="E148" s="244" t="n">
        <v>40340193420</v>
      </c>
      <c r="F148" s="244" t="n">
        <v>97253706</v>
      </c>
      <c r="G148" s="245" t="n">
        <v>1</v>
      </c>
      <c r="H148" s="248" t="s">
        <v>42</v>
      </c>
      <c r="I148" s="246" t="n">
        <v>3353.97</v>
      </c>
      <c r="J148" s="246" t="n">
        <v>3353.97</v>
      </c>
      <c r="K148" s="246" t="n">
        <v>3353.97</v>
      </c>
      <c r="L148" s="246" t="n">
        <v>0</v>
      </c>
      <c r="M148" s="246" t="n">
        <v>3353.97</v>
      </c>
      <c r="N148" s="246"/>
      <c r="O148" s="246"/>
      <c r="P148" s="246"/>
      <c r="Q148" s="246"/>
      <c r="R148" s="246"/>
      <c r="S148" s="246"/>
    </row>
    <row r="149" s="241" customFormat="true" ht="15" hidden="true" customHeight="false" outlineLevel="0" collapsed="false">
      <c r="B149" s="242" t="n">
        <v>2021</v>
      </c>
      <c r="C149" s="241" t="n">
        <v>7</v>
      </c>
      <c r="D149" s="243" t="s">
        <v>44</v>
      </c>
      <c r="E149" s="244" t="n">
        <v>0</v>
      </c>
      <c r="F149" s="244" t="n">
        <v>0</v>
      </c>
      <c r="G149" s="245" t="n">
        <v>0</v>
      </c>
      <c r="H149" s="248" t="s">
        <v>260</v>
      </c>
      <c r="I149" s="246" t="n">
        <v>0</v>
      </c>
      <c r="J149" s="246" t="n">
        <v>3600</v>
      </c>
      <c r="K149" s="246" t="n">
        <v>0</v>
      </c>
      <c r="L149" s="246" t="n">
        <v>3600</v>
      </c>
      <c r="M149" s="246" t="n">
        <v>3600</v>
      </c>
      <c r="N149" s="246"/>
      <c r="O149" s="246"/>
      <c r="P149" s="246"/>
      <c r="Q149" s="246"/>
      <c r="R149" s="246"/>
      <c r="S149" s="246"/>
    </row>
    <row r="150" s="241" customFormat="true" ht="15" hidden="true" customHeight="false" outlineLevel="0" collapsed="false">
      <c r="B150" s="242" t="n">
        <v>2021</v>
      </c>
      <c r="C150" s="241" t="n">
        <v>8</v>
      </c>
      <c r="D150" s="243" t="s">
        <v>44</v>
      </c>
      <c r="E150" s="244" t="n">
        <v>28699369338</v>
      </c>
      <c r="F150" s="244" t="n">
        <v>96358353</v>
      </c>
      <c r="G150" s="245" t="n">
        <v>1</v>
      </c>
      <c r="H150" s="241" t="s">
        <v>79</v>
      </c>
      <c r="I150" s="246" t="n">
        <v>4000</v>
      </c>
      <c r="J150" s="246" t="n">
        <v>4500</v>
      </c>
      <c r="K150" s="246" t="n">
        <v>4000</v>
      </c>
      <c r="L150" s="246" t="n">
        <v>500</v>
      </c>
      <c r="M150" s="246" t="n">
        <v>4500</v>
      </c>
      <c r="N150" s="246"/>
      <c r="O150" s="246"/>
      <c r="P150" s="246"/>
      <c r="Q150" s="249"/>
      <c r="R150" s="249"/>
      <c r="S150" s="246"/>
    </row>
    <row r="151" s="241" customFormat="true" ht="15" hidden="true" customHeight="false" outlineLevel="0" collapsed="false">
      <c r="B151" s="242" t="n">
        <v>2021</v>
      </c>
      <c r="C151" s="241" t="n">
        <v>8</v>
      </c>
      <c r="D151" s="243" t="s">
        <v>44</v>
      </c>
      <c r="E151" s="244" t="n">
        <v>63097169876</v>
      </c>
      <c r="F151" s="244" t="n">
        <v>96843148</v>
      </c>
      <c r="G151" s="245" t="n">
        <v>1</v>
      </c>
      <c r="H151" s="248" t="s">
        <v>122</v>
      </c>
      <c r="I151" s="246" t="n">
        <v>547</v>
      </c>
      <c r="J151" s="246" t="n">
        <v>4600</v>
      </c>
      <c r="K151" s="246" t="n">
        <v>547</v>
      </c>
      <c r="L151" s="246" t="n">
        <v>4053</v>
      </c>
      <c r="M151" s="246" t="n">
        <v>4600</v>
      </c>
      <c r="N151" s="246"/>
      <c r="O151" s="246"/>
      <c r="P151" s="246"/>
      <c r="Q151" s="249" t="n">
        <v>25</v>
      </c>
      <c r="R151" s="249"/>
      <c r="S151" s="246"/>
    </row>
    <row r="152" s="241" customFormat="true" ht="15" hidden="true" customHeight="false" outlineLevel="0" collapsed="false">
      <c r="B152" s="242" t="n">
        <v>2021</v>
      </c>
      <c r="C152" s="241" t="n">
        <v>8</v>
      </c>
      <c r="D152" s="243" t="s">
        <v>44</v>
      </c>
      <c r="E152" s="244" t="n">
        <v>36826974454</v>
      </c>
      <c r="F152" s="244" t="n">
        <v>95573006</v>
      </c>
      <c r="G152" s="245" t="n">
        <v>1</v>
      </c>
      <c r="H152" s="248" t="s">
        <v>188</v>
      </c>
      <c r="I152" s="246" t="n">
        <v>3163.72</v>
      </c>
      <c r="J152" s="246" t="n">
        <v>3163.72</v>
      </c>
      <c r="K152" s="246" t="n">
        <v>3163.72</v>
      </c>
      <c r="L152" s="246" t="n">
        <v>0</v>
      </c>
      <c r="M152" s="246" t="n">
        <v>3163.72</v>
      </c>
      <c r="N152" s="246"/>
      <c r="O152" s="246"/>
      <c r="P152" s="246"/>
      <c r="Q152" s="249"/>
      <c r="R152" s="249"/>
      <c r="S152" s="246"/>
    </row>
    <row r="153" s="241" customFormat="true" ht="15" hidden="true" customHeight="false" outlineLevel="0" collapsed="false">
      <c r="B153" s="242" t="n">
        <v>2021</v>
      </c>
      <c r="C153" s="241" t="n">
        <v>8</v>
      </c>
      <c r="D153" s="243" t="s">
        <v>44</v>
      </c>
      <c r="E153" s="244" t="n">
        <v>17630785580</v>
      </c>
      <c r="F153" s="244" t="n">
        <v>95529415</v>
      </c>
      <c r="G153" s="245" t="n">
        <v>1</v>
      </c>
      <c r="H153" s="248" t="s">
        <v>81</v>
      </c>
      <c r="I153" s="246" t="n">
        <v>3147.19</v>
      </c>
      <c r="J153" s="246" t="n">
        <v>8188.13</v>
      </c>
      <c r="K153" s="246" t="n">
        <v>3147.19</v>
      </c>
      <c r="L153" s="246" t="n">
        <v>5040.94</v>
      </c>
      <c r="M153" s="246" t="n">
        <v>8188.13</v>
      </c>
      <c r="N153" s="246"/>
      <c r="O153" s="246"/>
      <c r="P153" s="246"/>
      <c r="Q153" s="249"/>
      <c r="R153" s="249"/>
      <c r="S153" s="246"/>
    </row>
    <row r="154" s="241" customFormat="true" ht="15" hidden="true" customHeight="false" outlineLevel="0" collapsed="false">
      <c r="B154" s="242" t="n">
        <v>2021</v>
      </c>
      <c r="C154" s="241" t="n">
        <v>8</v>
      </c>
      <c r="D154" s="243" t="s">
        <v>44</v>
      </c>
      <c r="E154" s="244" t="n">
        <v>27172394690</v>
      </c>
      <c r="F154" s="244" t="n">
        <v>95702622</v>
      </c>
      <c r="G154" s="245" t="n">
        <v>1</v>
      </c>
      <c r="H154" s="248" t="s">
        <v>72</v>
      </c>
      <c r="I154" s="246" t="n">
        <v>0</v>
      </c>
      <c r="J154" s="246" t="n">
        <v>3600.03</v>
      </c>
      <c r="K154" s="246" t="n">
        <v>0</v>
      </c>
      <c r="L154" s="246" t="n">
        <v>600</v>
      </c>
      <c r="M154" s="246" t="n">
        <v>600</v>
      </c>
      <c r="N154" s="246"/>
      <c r="O154" s="246" t="s">
        <v>264</v>
      </c>
      <c r="P154" s="246"/>
      <c r="Q154" s="249"/>
      <c r="R154" s="249"/>
      <c r="S154" s="246" t="s">
        <v>264</v>
      </c>
    </row>
    <row r="155" s="241" customFormat="true" ht="15" hidden="true" customHeight="false" outlineLevel="0" collapsed="false">
      <c r="B155" s="242" t="n">
        <v>2021</v>
      </c>
      <c r="C155" s="241" t="n">
        <v>8</v>
      </c>
      <c r="D155" s="243" t="s">
        <v>44</v>
      </c>
      <c r="E155" s="244" t="n">
        <v>64996156028</v>
      </c>
      <c r="F155" s="244" t="n">
        <v>95539771</v>
      </c>
      <c r="G155" s="245" t="n">
        <v>1</v>
      </c>
      <c r="H155" s="241" t="s">
        <v>55</v>
      </c>
      <c r="I155" s="246" t="n">
        <v>3000</v>
      </c>
      <c r="J155" s="246" t="n">
        <v>3000</v>
      </c>
      <c r="K155" s="246" t="n">
        <v>3000</v>
      </c>
      <c r="L155" s="246" t="n">
        <v>0</v>
      </c>
      <c r="M155" s="246" t="n">
        <v>3000</v>
      </c>
      <c r="N155" s="246"/>
      <c r="O155" s="246"/>
      <c r="P155" s="246"/>
      <c r="Q155" s="249"/>
      <c r="R155" s="249"/>
      <c r="S155" s="246"/>
    </row>
    <row r="156" s="241" customFormat="true" ht="15" hidden="true" customHeight="false" outlineLevel="0" collapsed="false">
      <c r="B156" s="242" t="n">
        <v>2021</v>
      </c>
      <c r="C156" s="241" t="n">
        <v>8</v>
      </c>
      <c r="D156" s="243" t="s">
        <v>44</v>
      </c>
      <c r="E156" s="244" t="n">
        <v>59233322526</v>
      </c>
      <c r="F156" s="244" t="n">
        <v>96712272</v>
      </c>
      <c r="G156" s="245" t="n">
        <v>1</v>
      </c>
      <c r="H156" s="248" t="s">
        <v>68</v>
      </c>
      <c r="I156" s="246" t="n">
        <v>4100</v>
      </c>
      <c r="J156" s="246" t="n">
        <v>4100</v>
      </c>
      <c r="K156" s="246" t="n">
        <v>4100</v>
      </c>
      <c r="L156" s="246" t="n">
        <v>0</v>
      </c>
      <c r="M156" s="246" t="n">
        <v>4100</v>
      </c>
      <c r="N156" s="246"/>
      <c r="O156" s="246"/>
      <c r="P156" s="246"/>
      <c r="Q156" s="249"/>
      <c r="R156" s="249"/>
      <c r="S156" s="246"/>
    </row>
    <row r="157" s="241" customFormat="true" ht="15" hidden="true" customHeight="false" outlineLevel="0" collapsed="false">
      <c r="B157" s="242" t="n">
        <v>2021</v>
      </c>
      <c r="C157" s="241" t="n">
        <v>8</v>
      </c>
      <c r="D157" s="243" t="s">
        <v>44</v>
      </c>
      <c r="E157" s="244" t="n">
        <v>55186680706</v>
      </c>
      <c r="F157" s="244" t="n">
        <v>95787183</v>
      </c>
      <c r="G157" s="245" t="n">
        <v>1</v>
      </c>
      <c r="H157" s="241" t="s">
        <v>73</v>
      </c>
      <c r="I157" s="246" t="n">
        <v>3000</v>
      </c>
      <c r="J157" s="246" t="n">
        <v>5000</v>
      </c>
      <c r="K157" s="246" t="n">
        <v>3000</v>
      </c>
      <c r="L157" s="246" t="n">
        <v>2000</v>
      </c>
      <c r="M157" s="246" t="n">
        <v>5000</v>
      </c>
      <c r="N157" s="246"/>
      <c r="O157" s="246" t="s">
        <v>265</v>
      </c>
      <c r="P157" s="246"/>
      <c r="Q157" s="249"/>
      <c r="R157" s="249"/>
      <c r="S157" s="246" t="s">
        <v>265</v>
      </c>
    </row>
    <row r="158" s="241" customFormat="true" ht="15" hidden="true" customHeight="false" outlineLevel="0" collapsed="false">
      <c r="B158" s="242" t="n">
        <v>2021</v>
      </c>
      <c r="C158" s="241" t="n">
        <v>8</v>
      </c>
      <c r="D158" s="243" t="s">
        <v>44</v>
      </c>
      <c r="E158" s="244" t="n">
        <v>21242693324</v>
      </c>
      <c r="F158" s="244" t="n">
        <v>95532064</v>
      </c>
      <c r="G158" s="245" t="n">
        <v>1</v>
      </c>
      <c r="H158" s="248" t="s">
        <v>85</v>
      </c>
      <c r="I158" s="246" t="n">
        <v>3600</v>
      </c>
      <c r="J158" s="246" t="n">
        <v>3600</v>
      </c>
      <c r="K158" s="246" t="n">
        <v>3600</v>
      </c>
      <c r="L158" s="246" t="n">
        <v>0</v>
      </c>
      <c r="M158" s="246" t="n">
        <v>3600</v>
      </c>
      <c r="N158" s="246"/>
      <c r="O158" s="246"/>
      <c r="P158" s="246"/>
      <c r="Q158" s="249"/>
      <c r="R158" s="249"/>
      <c r="S158" s="246"/>
    </row>
    <row r="159" s="241" customFormat="true" ht="15" hidden="true" customHeight="false" outlineLevel="0" collapsed="false">
      <c r="B159" s="242" t="n">
        <v>2021</v>
      </c>
      <c r="C159" s="241" t="n">
        <v>8</v>
      </c>
      <c r="D159" s="243" t="s">
        <v>44</v>
      </c>
      <c r="E159" s="244" t="n">
        <v>17159801204</v>
      </c>
      <c r="F159" s="244" t="n">
        <v>95532066</v>
      </c>
      <c r="G159" s="245" t="n">
        <v>1</v>
      </c>
      <c r="H159" s="248" t="s">
        <v>87</v>
      </c>
      <c r="I159" s="246" t="n">
        <v>3600</v>
      </c>
      <c r="J159" s="246" t="n">
        <v>3600</v>
      </c>
      <c r="K159" s="246" t="n">
        <v>3600</v>
      </c>
      <c r="L159" s="246" t="n">
        <v>0</v>
      </c>
      <c r="M159" s="246" t="n">
        <v>3600</v>
      </c>
      <c r="N159" s="246"/>
      <c r="O159" s="246"/>
      <c r="P159" s="246"/>
      <c r="Q159" s="249"/>
      <c r="R159" s="249"/>
      <c r="S159" s="246"/>
    </row>
    <row r="160" s="241" customFormat="true" ht="15" hidden="true" customHeight="false" outlineLevel="0" collapsed="false">
      <c r="B160" s="242" t="n">
        <v>2021</v>
      </c>
      <c r="C160" s="241" t="n">
        <v>8</v>
      </c>
      <c r="D160" s="243" t="s">
        <v>44</v>
      </c>
      <c r="E160" s="244" t="n">
        <v>66385338732</v>
      </c>
      <c r="F160" s="244" t="n">
        <v>96717247</v>
      </c>
      <c r="G160" s="245" t="n">
        <v>1</v>
      </c>
      <c r="H160" s="248" t="s">
        <v>52</v>
      </c>
      <c r="I160" s="246" t="n">
        <v>2418.53</v>
      </c>
      <c r="J160" s="246" t="n">
        <v>2418.53</v>
      </c>
      <c r="K160" s="246" t="n">
        <v>2418.53</v>
      </c>
      <c r="L160" s="246" t="n">
        <v>0</v>
      </c>
      <c r="M160" s="246" t="n">
        <v>2418.53</v>
      </c>
      <c r="N160" s="246"/>
      <c r="O160" s="246" t="s">
        <v>250</v>
      </c>
      <c r="P160" s="246" t="n">
        <v>-706.48</v>
      </c>
      <c r="Q160" s="249"/>
      <c r="R160" s="249"/>
      <c r="S160" s="246" t="s">
        <v>250</v>
      </c>
    </row>
    <row r="161" s="241" customFormat="true" ht="15" hidden="true" customHeight="false" outlineLevel="0" collapsed="false">
      <c r="B161" s="242" t="n">
        <v>2021</v>
      </c>
      <c r="C161" s="241" t="n">
        <v>8</v>
      </c>
      <c r="D161" s="243" t="s">
        <v>44</v>
      </c>
      <c r="E161" s="244" t="n">
        <v>23764482950</v>
      </c>
      <c r="F161" s="244" t="n">
        <v>95532077</v>
      </c>
      <c r="G161" s="245" t="n">
        <v>1</v>
      </c>
      <c r="H161" s="248" t="s">
        <v>93</v>
      </c>
      <c r="I161" s="246" t="n">
        <v>547</v>
      </c>
      <c r="J161" s="246" t="n">
        <v>3600</v>
      </c>
      <c r="K161" s="246" t="n">
        <v>547</v>
      </c>
      <c r="L161" s="246" t="n">
        <v>3053</v>
      </c>
      <c r="M161" s="246" t="n">
        <v>3600</v>
      </c>
      <c r="N161" s="246"/>
      <c r="O161" s="246"/>
      <c r="P161" s="246"/>
      <c r="Q161" s="249" t="n">
        <v>25</v>
      </c>
      <c r="R161" s="249"/>
      <c r="S161" s="246"/>
    </row>
    <row r="162" s="241" customFormat="true" ht="15" hidden="true" customHeight="false" outlineLevel="0" collapsed="false">
      <c r="B162" s="242" t="n">
        <v>2021</v>
      </c>
      <c r="C162" s="241" t="n">
        <v>8</v>
      </c>
      <c r="D162" s="243" t="s">
        <v>36</v>
      </c>
      <c r="E162" s="244" t="n">
        <v>25672444846</v>
      </c>
      <c r="F162" s="244" t="n">
        <v>95693810</v>
      </c>
      <c r="G162" s="245" t="n">
        <v>1</v>
      </c>
      <c r="H162" s="248" t="s">
        <v>245</v>
      </c>
      <c r="I162" s="246" t="n">
        <v>3600</v>
      </c>
      <c r="J162" s="246" t="n">
        <v>3600</v>
      </c>
      <c r="K162" s="246" t="n">
        <v>3600</v>
      </c>
      <c r="L162" s="246" t="n">
        <v>0</v>
      </c>
      <c r="M162" s="246" t="n">
        <v>3600</v>
      </c>
      <c r="N162" s="246"/>
      <c r="O162" s="246"/>
      <c r="P162" s="246"/>
      <c r="Q162" s="249"/>
      <c r="R162" s="249"/>
      <c r="S162" s="246"/>
    </row>
    <row r="163" s="241" customFormat="true" ht="15" hidden="true" customHeight="false" outlineLevel="0" collapsed="false">
      <c r="B163" s="242" t="n">
        <v>2021</v>
      </c>
      <c r="C163" s="241" t="n">
        <v>8</v>
      </c>
      <c r="D163" s="243" t="s">
        <v>36</v>
      </c>
      <c r="E163" s="244" t="n">
        <v>15394555838</v>
      </c>
      <c r="F163" s="244" t="n">
        <v>95580195</v>
      </c>
      <c r="G163" s="245" t="n">
        <v>1</v>
      </c>
      <c r="H163" s="248" t="s">
        <v>48</v>
      </c>
      <c r="I163" s="246" t="n">
        <v>547</v>
      </c>
      <c r="J163" s="246" t="n">
        <v>3600</v>
      </c>
      <c r="K163" s="246" t="n">
        <v>547</v>
      </c>
      <c r="L163" s="246" t="n">
        <v>3053</v>
      </c>
      <c r="M163" s="246" t="n">
        <v>3600</v>
      </c>
      <c r="N163" s="246"/>
      <c r="O163" s="246"/>
      <c r="P163" s="246"/>
      <c r="Q163" s="249" t="n">
        <v>25</v>
      </c>
      <c r="R163" s="249"/>
      <c r="S163" s="246"/>
    </row>
    <row r="164" s="241" customFormat="true" ht="15" hidden="true" customHeight="false" outlineLevel="0" collapsed="false">
      <c r="B164" s="242" t="n">
        <v>2021</v>
      </c>
      <c r="C164" s="241" t="n">
        <v>8</v>
      </c>
      <c r="D164" s="243" t="s">
        <v>44</v>
      </c>
      <c r="E164" s="244" t="n">
        <v>33853146700</v>
      </c>
      <c r="F164" s="244" t="n">
        <v>96959868</v>
      </c>
      <c r="G164" s="245" t="n">
        <v>1</v>
      </c>
      <c r="H164" s="248" t="s">
        <v>247</v>
      </c>
      <c r="I164" s="246" t="n">
        <v>547</v>
      </c>
      <c r="J164" s="246" t="n">
        <v>4800</v>
      </c>
      <c r="K164" s="246" t="n">
        <v>547</v>
      </c>
      <c r="L164" s="246" t="n">
        <v>4253</v>
      </c>
      <c r="M164" s="246" t="n">
        <v>4800</v>
      </c>
      <c r="N164" s="246"/>
      <c r="O164" s="246"/>
      <c r="P164" s="246"/>
      <c r="Q164" s="249" t="n">
        <v>25</v>
      </c>
      <c r="R164" s="249"/>
      <c r="S164" s="246"/>
    </row>
    <row r="165" s="241" customFormat="true" ht="15" hidden="true" customHeight="false" outlineLevel="0" collapsed="false">
      <c r="B165" s="242" t="n">
        <v>2021</v>
      </c>
      <c r="C165" s="241" t="n">
        <v>8</v>
      </c>
      <c r="D165" s="243" t="s">
        <v>44</v>
      </c>
      <c r="E165" s="244" t="n">
        <v>51994540164</v>
      </c>
      <c r="F165" s="244" t="n">
        <v>96900867</v>
      </c>
      <c r="G165" s="245" t="n">
        <v>1</v>
      </c>
      <c r="H165" s="248" t="s">
        <v>97</v>
      </c>
      <c r="I165" s="246" t="n">
        <v>2825.9</v>
      </c>
      <c r="J165" s="246" t="n">
        <v>2825.9</v>
      </c>
      <c r="K165" s="246" t="n">
        <v>2825.9</v>
      </c>
      <c r="L165" s="246" t="n">
        <v>0</v>
      </c>
      <c r="M165" s="246" t="n">
        <v>2825.9</v>
      </c>
      <c r="N165" s="246"/>
      <c r="O165" s="246"/>
      <c r="P165" s="246"/>
      <c r="Q165" s="249"/>
      <c r="R165" s="249"/>
      <c r="S165" s="246"/>
    </row>
    <row r="166" s="241" customFormat="true" ht="15" hidden="true" customHeight="false" outlineLevel="0" collapsed="false">
      <c r="B166" s="242" t="n">
        <v>2021</v>
      </c>
      <c r="C166" s="241" t="n">
        <v>8</v>
      </c>
      <c r="D166" s="243" t="s">
        <v>44</v>
      </c>
      <c r="E166" s="244" t="n">
        <v>52657562356</v>
      </c>
      <c r="F166" s="244" t="n">
        <v>97011710</v>
      </c>
      <c r="G166" s="245" t="n">
        <v>1</v>
      </c>
      <c r="H166" s="248" t="s">
        <v>248</v>
      </c>
      <c r="I166" s="246" t="n">
        <v>2825.9</v>
      </c>
      <c r="J166" s="246" t="n">
        <v>2825.9</v>
      </c>
      <c r="K166" s="246" t="n">
        <v>2825.9</v>
      </c>
      <c r="L166" s="246" t="n">
        <v>0</v>
      </c>
      <c r="M166" s="246" t="n">
        <v>2825.9</v>
      </c>
      <c r="N166" s="246"/>
      <c r="O166" s="246"/>
      <c r="P166" s="246"/>
      <c r="Q166" s="249"/>
      <c r="R166" s="249"/>
      <c r="S166" s="246"/>
    </row>
    <row r="167" s="241" customFormat="true" ht="15" hidden="true" customHeight="false" outlineLevel="0" collapsed="false">
      <c r="B167" s="242" t="n">
        <v>2021</v>
      </c>
      <c r="C167" s="241" t="n">
        <v>8</v>
      </c>
      <c r="D167" s="243" t="s">
        <v>36</v>
      </c>
      <c r="E167" s="244" t="n">
        <v>10459950610</v>
      </c>
      <c r="F167" s="244" t="n">
        <v>97226520</v>
      </c>
      <c r="G167" s="245" t="n">
        <v>1</v>
      </c>
      <c r="H167" s="248" t="s">
        <v>195</v>
      </c>
      <c r="I167" s="246" t="n">
        <v>3505.61</v>
      </c>
      <c r="J167" s="246" t="n">
        <v>3505.61</v>
      </c>
      <c r="K167" s="246" t="n">
        <v>3505.61</v>
      </c>
      <c r="L167" s="246" t="n">
        <v>0</v>
      </c>
      <c r="M167" s="246" t="n">
        <v>3505.61</v>
      </c>
      <c r="N167" s="246"/>
      <c r="O167" s="246" t="s">
        <v>254</v>
      </c>
      <c r="P167" s="246"/>
      <c r="Q167" s="249" t="n">
        <v>2</v>
      </c>
      <c r="R167" s="246"/>
      <c r="S167" s="246" t="s">
        <v>254</v>
      </c>
    </row>
    <row r="168" s="241" customFormat="true" ht="15" hidden="true" customHeight="false" outlineLevel="0" collapsed="false">
      <c r="B168" s="242" t="n">
        <v>2021</v>
      </c>
      <c r="C168" s="241" t="n">
        <v>8</v>
      </c>
      <c r="D168" s="243" t="s">
        <v>44</v>
      </c>
      <c r="E168" s="244" t="n">
        <v>23713484608</v>
      </c>
      <c r="F168" s="244" t="n">
        <v>97189681</v>
      </c>
      <c r="G168" s="245" t="n">
        <v>1</v>
      </c>
      <c r="H168" s="248" t="s">
        <v>100</v>
      </c>
      <c r="I168" s="246" t="n">
        <v>3600</v>
      </c>
      <c r="J168" s="246" t="n">
        <v>3600</v>
      </c>
      <c r="K168" s="246" t="n">
        <v>3600</v>
      </c>
      <c r="L168" s="246" t="n">
        <v>0</v>
      </c>
      <c r="M168" s="246" t="n">
        <v>3600</v>
      </c>
      <c r="N168" s="246"/>
      <c r="O168" s="246"/>
      <c r="P168" s="246"/>
      <c r="Q168" s="249"/>
      <c r="R168" s="246"/>
      <c r="S168" s="246"/>
    </row>
    <row r="169" s="241" customFormat="true" ht="15" hidden="true" customHeight="false" outlineLevel="0" collapsed="false">
      <c r="B169" s="242" t="n">
        <v>2021</v>
      </c>
      <c r="C169" s="241" t="n">
        <v>8</v>
      </c>
      <c r="D169" s="243" t="s">
        <v>44</v>
      </c>
      <c r="E169" s="244" t="n">
        <v>17891875174</v>
      </c>
      <c r="F169" s="244" t="n">
        <v>6214238</v>
      </c>
      <c r="G169" s="245" t="n">
        <v>1</v>
      </c>
      <c r="H169" s="248" t="s">
        <v>190</v>
      </c>
      <c r="I169" s="246" t="n">
        <v>3300</v>
      </c>
      <c r="J169" s="246" t="n">
        <v>3300</v>
      </c>
      <c r="K169" s="246" t="n">
        <v>3300</v>
      </c>
      <c r="L169" s="246" t="n">
        <v>0</v>
      </c>
      <c r="M169" s="246" t="n">
        <v>3300</v>
      </c>
      <c r="N169" s="246"/>
      <c r="O169" s="246"/>
      <c r="P169" s="246"/>
      <c r="Q169" s="249"/>
      <c r="R169" s="246"/>
      <c r="S169" s="246"/>
    </row>
    <row r="170" s="241" customFormat="true" ht="15" hidden="true" customHeight="false" outlineLevel="0" collapsed="false">
      <c r="B170" s="242" t="n">
        <v>2021</v>
      </c>
      <c r="C170" s="241" t="n">
        <v>8</v>
      </c>
      <c r="D170" s="243" t="s">
        <v>44</v>
      </c>
      <c r="E170" s="244" t="n">
        <v>40340193420</v>
      </c>
      <c r="F170" s="244" t="n">
        <v>97253706</v>
      </c>
      <c r="G170" s="245" t="n">
        <v>1</v>
      </c>
      <c r="H170" s="248" t="s">
        <v>42</v>
      </c>
      <c r="I170" s="246" t="n">
        <v>2796.84</v>
      </c>
      <c r="J170" s="246" t="n">
        <v>2796.84</v>
      </c>
      <c r="K170" s="246" t="n">
        <v>2796.84</v>
      </c>
      <c r="L170" s="246" t="n">
        <v>0</v>
      </c>
      <c r="M170" s="246" t="n">
        <v>2796.84</v>
      </c>
      <c r="N170" s="246"/>
      <c r="O170" s="246" t="s">
        <v>266</v>
      </c>
      <c r="P170" s="246"/>
      <c r="Q170" s="249" t="s">
        <v>171</v>
      </c>
      <c r="R170" s="246"/>
      <c r="S170" s="246" t="s">
        <v>266</v>
      </c>
    </row>
    <row r="171" s="241" customFormat="true" ht="15" hidden="true" customHeight="false" outlineLevel="0" collapsed="false">
      <c r="B171" s="242" t="n">
        <v>2021</v>
      </c>
      <c r="C171" s="241" t="n">
        <v>8</v>
      </c>
      <c r="D171" s="243" t="s">
        <v>44</v>
      </c>
      <c r="E171" s="244" t="n">
        <v>0</v>
      </c>
      <c r="F171" s="244" t="n">
        <v>0</v>
      </c>
      <c r="G171" s="245" t="n">
        <v>0</v>
      </c>
      <c r="H171" s="248" t="s">
        <v>260</v>
      </c>
      <c r="I171" s="246" t="n">
        <v>0</v>
      </c>
      <c r="J171" s="246" t="n">
        <v>3600</v>
      </c>
      <c r="K171" s="246" t="n">
        <v>0</v>
      </c>
      <c r="L171" s="246" t="n">
        <v>3600</v>
      </c>
      <c r="M171" s="246" t="n">
        <v>3600</v>
      </c>
      <c r="N171" s="246"/>
      <c r="O171" s="246"/>
      <c r="P171" s="246"/>
      <c r="Q171" s="246"/>
      <c r="R171" s="246"/>
      <c r="S171" s="246"/>
    </row>
    <row r="172" s="241" customFormat="true" ht="15" hidden="true" customHeight="false" outlineLevel="0" collapsed="false">
      <c r="B172" s="242" t="n">
        <v>2021</v>
      </c>
      <c r="C172" s="241" t="n">
        <v>9</v>
      </c>
      <c r="D172" s="243" t="s">
        <v>44</v>
      </c>
      <c r="E172" s="244" t="n">
        <v>28699369338</v>
      </c>
      <c r="F172" s="244" t="n">
        <v>96358353</v>
      </c>
      <c r="G172" s="245" t="n">
        <v>1</v>
      </c>
      <c r="H172" s="241" t="s">
        <v>79</v>
      </c>
      <c r="I172" s="246" t="n">
        <v>4000</v>
      </c>
      <c r="J172" s="246" t="n">
        <v>4500</v>
      </c>
      <c r="K172" s="246" t="n">
        <v>4000</v>
      </c>
      <c r="L172" s="246" t="n">
        <v>500</v>
      </c>
      <c r="M172" s="246" t="n">
        <v>4500</v>
      </c>
      <c r="N172" s="246"/>
      <c r="O172" s="246"/>
      <c r="P172" s="246"/>
      <c r="Q172" s="249"/>
      <c r="R172" s="249"/>
      <c r="S172" s="246"/>
    </row>
    <row r="173" s="241" customFormat="true" ht="15" hidden="true" customHeight="false" outlineLevel="0" collapsed="false">
      <c r="B173" s="242" t="n">
        <v>2021</v>
      </c>
      <c r="C173" s="241" t="n">
        <v>9</v>
      </c>
      <c r="D173" s="243" t="s">
        <v>44</v>
      </c>
      <c r="E173" s="244" t="n">
        <v>63097169876</v>
      </c>
      <c r="F173" s="244" t="n">
        <v>96843148</v>
      </c>
      <c r="G173" s="245" t="n">
        <v>1</v>
      </c>
      <c r="H173" s="248" t="s">
        <v>122</v>
      </c>
      <c r="I173" s="246" t="n">
        <v>2825.9</v>
      </c>
      <c r="J173" s="246" t="n">
        <v>4600</v>
      </c>
      <c r="K173" s="246" t="n">
        <v>2825.9</v>
      </c>
      <c r="L173" s="246" t="n">
        <v>1774.1</v>
      </c>
      <c r="M173" s="246" t="n">
        <v>4600</v>
      </c>
      <c r="N173" s="246"/>
      <c r="O173" s="246"/>
      <c r="P173" s="246"/>
      <c r="Q173" s="249" t="n">
        <v>25</v>
      </c>
      <c r="R173" s="249"/>
      <c r="S173" s="246"/>
    </row>
    <row r="174" s="241" customFormat="true" ht="15" hidden="true" customHeight="false" outlineLevel="0" collapsed="false">
      <c r="B174" s="242" t="n">
        <v>2021</v>
      </c>
      <c r="C174" s="241" t="n">
        <v>9</v>
      </c>
      <c r="D174" s="243" t="s">
        <v>44</v>
      </c>
      <c r="E174" s="244" t="n">
        <v>36826974454</v>
      </c>
      <c r="F174" s="244" t="n">
        <v>95573006</v>
      </c>
      <c r="G174" s="245" t="n">
        <v>1</v>
      </c>
      <c r="H174" s="248" t="s">
        <v>188</v>
      </c>
      <c r="I174" s="246" t="n">
        <v>3313.72</v>
      </c>
      <c r="J174" s="246" t="n">
        <v>3313.72</v>
      </c>
      <c r="K174" s="246" t="n">
        <v>3313.72</v>
      </c>
      <c r="L174" s="246" t="n">
        <v>0</v>
      </c>
      <c r="M174" s="246" t="n">
        <v>3313.72</v>
      </c>
      <c r="N174" s="246"/>
      <c r="O174" s="246"/>
      <c r="P174" s="246"/>
      <c r="Q174" s="249"/>
      <c r="R174" s="249"/>
      <c r="S174" s="246"/>
    </row>
    <row r="175" s="241" customFormat="true" ht="15" hidden="true" customHeight="false" outlineLevel="0" collapsed="false">
      <c r="B175" s="242" t="n">
        <v>2021</v>
      </c>
      <c r="C175" s="241" t="n">
        <v>9</v>
      </c>
      <c r="D175" s="243" t="s">
        <v>44</v>
      </c>
      <c r="E175" s="244" t="n">
        <v>17630785580</v>
      </c>
      <c r="F175" s="244" t="n">
        <v>95529415</v>
      </c>
      <c r="G175" s="245" t="n">
        <v>1</v>
      </c>
      <c r="H175" s="248" t="s">
        <v>81</v>
      </c>
      <c r="I175" s="246" t="n">
        <v>3188.13</v>
      </c>
      <c r="J175" s="246" t="n">
        <v>8188.13</v>
      </c>
      <c r="K175" s="246" t="n">
        <v>3188.13</v>
      </c>
      <c r="L175" s="246" t="n">
        <v>5000</v>
      </c>
      <c r="M175" s="246" t="n">
        <v>8188.13</v>
      </c>
      <c r="N175" s="246"/>
      <c r="O175" s="246"/>
      <c r="P175" s="246"/>
      <c r="Q175" s="249"/>
      <c r="R175" s="249"/>
      <c r="S175" s="246"/>
    </row>
    <row r="176" s="241" customFormat="true" ht="15" hidden="true" customHeight="false" outlineLevel="0" collapsed="false">
      <c r="B176" s="242" t="n">
        <v>2021</v>
      </c>
      <c r="C176" s="241" t="n">
        <v>9</v>
      </c>
      <c r="D176" s="243" t="s">
        <v>44</v>
      </c>
      <c r="E176" s="244" t="n">
        <v>27172394690</v>
      </c>
      <c r="F176" s="244" t="n">
        <v>95702622</v>
      </c>
      <c r="G176" s="245" t="n">
        <v>1</v>
      </c>
      <c r="H176" s="248" t="s">
        <v>72</v>
      </c>
      <c r="I176" s="246" t="n">
        <v>0</v>
      </c>
      <c r="J176" s="246" t="n">
        <v>3600</v>
      </c>
      <c r="K176" s="246" t="n">
        <v>0</v>
      </c>
      <c r="L176" s="246" t="n">
        <v>3600</v>
      </c>
      <c r="M176" s="246" t="n">
        <v>3600</v>
      </c>
      <c r="N176" s="246"/>
      <c r="O176" s="246" t="s">
        <v>264</v>
      </c>
      <c r="P176" s="246"/>
      <c r="Q176" s="249"/>
      <c r="R176" s="249"/>
      <c r="S176" s="246" t="s">
        <v>264</v>
      </c>
    </row>
    <row r="177" s="241" customFormat="true" ht="15" hidden="true" customHeight="false" outlineLevel="0" collapsed="false">
      <c r="B177" s="242" t="n">
        <v>2021</v>
      </c>
      <c r="C177" s="241" t="n">
        <v>9</v>
      </c>
      <c r="D177" s="243" t="s">
        <v>44</v>
      </c>
      <c r="E177" s="244" t="n">
        <v>64996156028</v>
      </c>
      <c r="F177" s="244" t="n">
        <v>95539771</v>
      </c>
      <c r="G177" s="245" t="n">
        <v>1</v>
      </c>
      <c r="H177" s="241" t="s">
        <v>55</v>
      </c>
      <c r="I177" s="246" t="n">
        <v>3000</v>
      </c>
      <c r="J177" s="246" t="n">
        <v>3000</v>
      </c>
      <c r="K177" s="246" t="n">
        <v>3000</v>
      </c>
      <c r="L177" s="246" t="n">
        <v>0</v>
      </c>
      <c r="M177" s="246" t="n">
        <v>3000</v>
      </c>
      <c r="N177" s="246"/>
      <c r="O177" s="246"/>
      <c r="P177" s="246"/>
      <c r="Q177" s="249"/>
      <c r="R177" s="249"/>
      <c r="S177" s="246"/>
    </row>
    <row r="178" s="241" customFormat="true" ht="15" hidden="true" customHeight="false" outlineLevel="0" collapsed="false">
      <c r="B178" s="242" t="n">
        <v>2021</v>
      </c>
      <c r="C178" s="241" t="n">
        <v>9</v>
      </c>
      <c r="D178" s="243" t="s">
        <v>44</v>
      </c>
      <c r="E178" s="244" t="n">
        <v>59233322526</v>
      </c>
      <c r="F178" s="244" t="n">
        <v>96712272</v>
      </c>
      <c r="G178" s="245" t="n">
        <v>1</v>
      </c>
      <c r="H178" s="248" t="s">
        <v>68</v>
      </c>
      <c r="I178" s="246" t="n">
        <v>4100</v>
      </c>
      <c r="J178" s="246" t="n">
        <v>4300</v>
      </c>
      <c r="K178" s="246" t="n">
        <v>4100</v>
      </c>
      <c r="L178" s="246" t="n">
        <v>200</v>
      </c>
      <c r="M178" s="246" t="n">
        <v>4300</v>
      </c>
      <c r="N178" s="246"/>
      <c r="O178" s="246"/>
      <c r="P178" s="246"/>
      <c r="Q178" s="249"/>
      <c r="R178" s="249"/>
      <c r="S178" s="246"/>
    </row>
    <row r="179" s="241" customFormat="true" ht="15" hidden="true" customHeight="false" outlineLevel="0" collapsed="false">
      <c r="B179" s="242" t="n">
        <v>2021</v>
      </c>
      <c r="C179" s="241" t="n">
        <v>9</v>
      </c>
      <c r="D179" s="243" t="s">
        <v>44</v>
      </c>
      <c r="E179" s="244" t="n">
        <v>55186680706</v>
      </c>
      <c r="F179" s="244" t="n">
        <v>95787183</v>
      </c>
      <c r="G179" s="245" t="n">
        <v>1</v>
      </c>
      <c r="H179" s="241" t="s">
        <v>73</v>
      </c>
      <c r="I179" s="246" t="n">
        <v>1530.4</v>
      </c>
      <c r="J179" s="246" t="n">
        <v>5000</v>
      </c>
      <c r="K179" s="246" t="n">
        <v>1530.4</v>
      </c>
      <c r="L179" s="246" t="n">
        <v>3469.6</v>
      </c>
      <c r="M179" s="246" t="n">
        <v>5000</v>
      </c>
      <c r="N179" s="246"/>
      <c r="O179" s="246"/>
      <c r="P179" s="246"/>
      <c r="Q179" s="249"/>
      <c r="R179" s="249"/>
      <c r="S179" s="246"/>
    </row>
    <row r="180" s="241" customFormat="true" ht="15" hidden="true" customHeight="false" outlineLevel="0" collapsed="false">
      <c r="B180" s="242" t="n">
        <v>2021</v>
      </c>
      <c r="C180" s="241" t="n">
        <v>9</v>
      </c>
      <c r="D180" s="243" t="s">
        <v>44</v>
      </c>
      <c r="E180" s="244" t="n">
        <v>21242693324</v>
      </c>
      <c r="F180" s="244" t="n">
        <v>95532064</v>
      </c>
      <c r="G180" s="245" t="n">
        <v>1</v>
      </c>
      <c r="H180" s="248" t="s">
        <v>85</v>
      </c>
      <c r="I180" s="246" t="n">
        <v>3600</v>
      </c>
      <c r="J180" s="246" t="n">
        <v>3600</v>
      </c>
      <c r="K180" s="246" t="n">
        <v>3600</v>
      </c>
      <c r="L180" s="246" t="n">
        <v>0</v>
      </c>
      <c r="M180" s="246" t="n">
        <v>3600</v>
      </c>
      <c r="N180" s="246"/>
      <c r="O180" s="246"/>
      <c r="P180" s="246"/>
      <c r="Q180" s="249"/>
      <c r="R180" s="249"/>
      <c r="S180" s="246"/>
    </row>
    <row r="181" s="241" customFormat="true" ht="15" hidden="true" customHeight="false" outlineLevel="0" collapsed="false">
      <c r="B181" s="242" t="n">
        <v>2021</v>
      </c>
      <c r="C181" s="241" t="n">
        <v>9</v>
      </c>
      <c r="D181" s="243" t="s">
        <v>44</v>
      </c>
      <c r="E181" s="244" t="n">
        <v>17159801204</v>
      </c>
      <c r="F181" s="244" t="n">
        <v>95532066</v>
      </c>
      <c r="G181" s="245" t="n">
        <v>1</v>
      </c>
      <c r="H181" s="248" t="s">
        <v>87</v>
      </c>
      <c r="I181" s="246" t="n">
        <v>3600</v>
      </c>
      <c r="J181" s="246" t="n">
        <v>3600</v>
      </c>
      <c r="K181" s="246" t="n">
        <v>3600</v>
      </c>
      <c r="L181" s="246" t="n">
        <v>0</v>
      </c>
      <c r="M181" s="246" t="n">
        <v>3600</v>
      </c>
      <c r="N181" s="246"/>
      <c r="O181" s="246"/>
      <c r="P181" s="246"/>
      <c r="Q181" s="249"/>
      <c r="R181" s="249"/>
      <c r="S181" s="246"/>
    </row>
    <row r="182" s="241" customFormat="true" ht="15" hidden="true" customHeight="false" outlineLevel="0" collapsed="false">
      <c r="B182" s="242" t="n">
        <v>2021</v>
      </c>
      <c r="C182" s="241" t="n">
        <v>9</v>
      </c>
      <c r="D182" s="243" t="s">
        <v>44</v>
      </c>
      <c r="E182" s="244" t="n">
        <v>66385338732</v>
      </c>
      <c r="F182" s="244" t="n">
        <v>96717247</v>
      </c>
      <c r="G182" s="245" t="n">
        <v>1</v>
      </c>
      <c r="H182" s="248" t="s">
        <v>52</v>
      </c>
      <c r="I182" s="246" t="n">
        <v>2125</v>
      </c>
      <c r="J182" s="246" t="n">
        <v>2125</v>
      </c>
      <c r="K182" s="246" t="n">
        <v>2125</v>
      </c>
      <c r="L182" s="246" t="n">
        <v>0</v>
      </c>
      <c r="M182" s="246" t="n">
        <v>2125</v>
      </c>
      <c r="N182" s="246"/>
      <c r="O182" s="246" t="s">
        <v>250</v>
      </c>
      <c r="P182" s="246" t="n">
        <v>-1000</v>
      </c>
      <c r="Q182" s="249"/>
      <c r="R182" s="249"/>
      <c r="S182" s="246" t="s">
        <v>250</v>
      </c>
    </row>
    <row r="183" s="241" customFormat="true" ht="15" hidden="true" customHeight="false" outlineLevel="0" collapsed="false">
      <c r="B183" s="242" t="n">
        <v>2021</v>
      </c>
      <c r="C183" s="241" t="n">
        <v>9</v>
      </c>
      <c r="D183" s="243" t="s">
        <v>44</v>
      </c>
      <c r="E183" s="244" t="n">
        <v>23764482950</v>
      </c>
      <c r="F183" s="244" t="n">
        <v>95532077</v>
      </c>
      <c r="G183" s="245" t="n">
        <v>1</v>
      </c>
      <c r="H183" s="248" t="s">
        <v>93</v>
      </c>
      <c r="I183" s="246" t="n">
        <v>547</v>
      </c>
      <c r="J183" s="246" t="n">
        <v>3600</v>
      </c>
      <c r="K183" s="246" t="n">
        <v>547</v>
      </c>
      <c r="L183" s="246" t="n">
        <v>3053</v>
      </c>
      <c r="M183" s="246" t="n">
        <v>3600</v>
      </c>
      <c r="N183" s="246"/>
      <c r="O183" s="246"/>
      <c r="P183" s="246"/>
      <c r="Q183" s="249" t="n">
        <v>25</v>
      </c>
      <c r="R183" s="249"/>
      <c r="S183" s="246"/>
    </row>
    <row r="184" s="241" customFormat="true" ht="15" hidden="true" customHeight="false" outlineLevel="0" collapsed="false">
      <c r="B184" s="242" t="n">
        <v>2021</v>
      </c>
      <c r="C184" s="241" t="n">
        <v>9</v>
      </c>
      <c r="D184" s="243" t="s">
        <v>36</v>
      </c>
      <c r="E184" s="244" t="n">
        <v>25672444846</v>
      </c>
      <c r="F184" s="244" t="n">
        <v>95693810</v>
      </c>
      <c r="G184" s="245" t="n">
        <v>1</v>
      </c>
      <c r="H184" s="248" t="s">
        <v>245</v>
      </c>
      <c r="I184" s="246" t="n">
        <v>3600</v>
      </c>
      <c r="J184" s="246" t="n">
        <v>3600</v>
      </c>
      <c r="K184" s="246" t="n">
        <v>3600</v>
      </c>
      <c r="L184" s="246" t="n">
        <v>0</v>
      </c>
      <c r="M184" s="246" t="n">
        <v>3600</v>
      </c>
      <c r="N184" s="246"/>
      <c r="O184" s="246"/>
      <c r="P184" s="246"/>
      <c r="Q184" s="249"/>
      <c r="R184" s="249"/>
      <c r="S184" s="246"/>
    </row>
    <row r="185" s="241" customFormat="true" ht="15" hidden="true" customHeight="false" outlineLevel="0" collapsed="false">
      <c r="B185" s="242" t="n">
        <v>2021</v>
      </c>
      <c r="C185" s="241" t="n">
        <v>9</v>
      </c>
      <c r="D185" s="243" t="s">
        <v>36</v>
      </c>
      <c r="E185" s="244" t="n">
        <v>15394555838</v>
      </c>
      <c r="F185" s="244" t="n">
        <v>95580195</v>
      </c>
      <c r="G185" s="245" t="n">
        <v>1</v>
      </c>
      <c r="H185" s="248" t="s">
        <v>48</v>
      </c>
      <c r="I185" s="246" t="n">
        <v>2825.9</v>
      </c>
      <c r="J185" s="246" t="n">
        <v>3600</v>
      </c>
      <c r="K185" s="246" t="n">
        <v>2825.9</v>
      </c>
      <c r="L185" s="246" t="n">
        <v>774.1</v>
      </c>
      <c r="M185" s="246" t="n">
        <v>3600</v>
      </c>
      <c r="N185" s="246"/>
      <c r="O185" s="246"/>
      <c r="P185" s="246"/>
      <c r="Q185" s="249" t="n">
        <v>25</v>
      </c>
      <c r="R185" s="249"/>
      <c r="S185" s="246"/>
    </row>
    <row r="186" s="241" customFormat="true" ht="15" hidden="true" customHeight="false" outlineLevel="0" collapsed="false">
      <c r="B186" s="242" t="n">
        <v>2021</v>
      </c>
      <c r="C186" s="241" t="n">
        <v>9</v>
      </c>
      <c r="D186" s="243" t="s">
        <v>44</v>
      </c>
      <c r="E186" s="244" t="n">
        <v>33853146700</v>
      </c>
      <c r="F186" s="244" t="n">
        <v>96959868</v>
      </c>
      <c r="G186" s="245" t="n">
        <v>1</v>
      </c>
      <c r="H186" s="248" t="s">
        <v>247</v>
      </c>
      <c r="I186" s="246" t="n">
        <v>3053.97</v>
      </c>
      <c r="J186" s="246" t="n">
        <v>4800</v>
      </c>
      <c r="K186" s="246" t="n">
        <v>3053.97</v>
      </c>
      <c r="L186" s="246" t="n">
        <v>1746.03</v>
      </c>
      <c r="M186" s="246" t="n">
        <v>4800</v>
      </c>
      <c r="N186" s="246"/>
      <c r="O186" s="246"/>
      <c r="P186" s="246"/>
      <c r="Q186" s="249" t="n">
        <v>25</v>
      </c>
      <c r="R186" s="249"/>
      <c r="S186" s="246"/>
    </row>
    <row r="187" s="241" customFormat="true" ht="15" hidden="true" customHeight="false" outlineLevel="0" collapsed="false">
      <c r="B187" s="242" t="n">
        <v>2021</v>
      </c>
      <c r="C187" s="241" t="n">
        <v>9</v>
      </c>
      <c r="D187" s="243" t="s">
        <v>44</v>
      </c>
      <c r="E187" s="244" t="n">
        <v>51994540164</v>
      </c>
      <c r="F187" s="244" t="n">
        <v>96900867</v>
      </c>
      <c r="G187" s="245" t="n">
        <v>1</v>
      </c>
      <c r="H187" s="248" t="s">
        <v>97</v>
      </c>
      <c r="I187" s="246" t="n">
        <v>2825.9</v>
      </c>
      <c r="J187" s="246" t="n">
        <v>2825.9</v>
      </c>
      <c r="K187" s="246" t="n">
        <v>2825.9</v>
      </c>
      <c r="L187" s="246" t="n">
        <v>0</v>
      </c>
      <c r="M187" s="246" t="n">
        <v>2825.9</v>
      </c>
      <c r="N187" s="246"/>
      <c r="O187" s="246"/>
      <c r="P187" s="246"/>
      <c r="Q187" s="249"/>
      <c r="R187" s="249"/>
      <c r="S187" s="246"/>
    </row>
    <row r="188" s="251" customFormat="true" ht="15" hidden="true" customHeight="false" outlineLevel="0" collapsed="false">
      <c r="A188" s="241"/>
      <c r="B188" s="242" t="n">
        <v>2021</v>
      </c>
      <c r="C188" s="241" t="n">
        <v>9</v>
      </c>
      <c r="D188" s="243" t="s">
        <v>44</v>
      </c>
      <c r="E188" s="244" t="n">
        <v>52657562356</v>
      </c>
      <c r="F188" s="244" t="n">
        <v>97011710</v>
      </c>
      <c r="G188" s="245" t="n">
        <v>1</v>
      </c>
      <c r="H188" s="248" t="s">
        <v>248</v>
      </c>
      <c r="I188" s="246" t="n">
        <v>2825.9</v>
      </c>
      <c r="J188" s="246" t="n">
        <v>2825.9</v>
      </c>
      <c r="K188" s="246" t="n">
        <v>2825.9</v>
      </c>
      <c r="L188" s="246" t="n">
        <v>0</v>
      </c>
      <c r="M188" s="246" t="n">
        <v>2825.9</v>
      </c>
      <c r="N188" s="246"/>
      <c r="O188" s="246"/>
      <c r="P188" s="246"/>
      <c r="Q188" s="249"/>
      <c r="R188" s="249"/>
      <c r="S188" s="246"/>
      <c r="T188" s="241"/>
      <c r="U188" s="241"/>
    </row>
    <row r="189" s="241" customFormat="true" ht="15" hidden="true" customHeight="false" outlineLevel="0" collapsed="false">
      <c r="B189" s="242" t="n">
        <v>2021</v>
      </c>
      <c r="C189" s="241" t="n">
        <v>9</v>
      </c>
      <c r="D189" s="243" t="s">
        <v>36</v>
      </c>
      <c r="E189" s="244" t="n">
        <v>10459950610</v>
      </c>
      <c r="F189" s="244" t="n">
        <v>97226520</v>
      </c>
      <c r="G189" s="245" t="n">
        <v>1</v>
      </c>
      <c r="H189" s="248" t="s">
        <v>195</v>
      </c>
      <c r="I189" s="246" t="n">
        <v>3600</v>
      </c>
      <c r="J189" s="246" t="n">
        <v>3600</v>
      </c>
      <c r="K189" s="246" t="n">
        <v>3600</v>
      </c>
      <c r="L189" s="246" t="n">
        <v>0</v>
      </c>
      <c r="M189" s="246" t="n">
        <v>3600</v>
      </c>
      <c r="N189" s="246"/>
      <c r="O189" s="246"/>
      <c r="P189" s="246"/>
      <c r="Q189" s="249"/>
      <c r="R189" s="246"/>
      <c r="S189" s="246"/>
    </row>
    <row r="190" s="241" customFormat="true" ht="15" hidden="true" customHeight="false" outlineLevel="0" collapsed="false">
      <c r="B190" s="242" t="n">
        <v>2021</v>
      </c>
      <c r="C190" s="241" t="n">
        <v>9</v>
      </c>
      <c r="D190" s="243" t="s">
        <v>44</v>
      </c>
      <c r="E190" s="244" t="n">
        <v>23713484608</v>
      </c>
      <c r="F190" s="244" t="n">
        <v>97189681</v>
      </c>
      <c r="G190" s="245" t="n">
        <v>1</v>
      </c>
      <c r="H190" s="248" t="s">
        <v>100</v>
      </c>
      <c r="I190" s="246" t="n">
        <v>3600</v>
      </c>
      <c r="J190" s="246" t="n">
        <v>3600</v>
      </c>
      <c r="K190" s="246" t="n">
        <v>3600</v>
      </c>
      <c r="L190" s="246" t="n">
        <v>0</v>
      </c>
      <c r="M190" s="246" t="n">
        <v>3600</v>
      </c>
      <c r="N190" s="246"/>
      <c r="O190" s="246"/>
      <c r="P190" s="246"/>
      <c r="Q190" s="249"/>
      <c r="R190" s="246"/>
      <c r="S190" s="246"/>
    </row>
    <row r="191" s="241" customFormat="true" ht="15" hidden="true" customHeight="false" outlineLevel="0" collapsed="false">
      <c r="B191" s="242" t="n">
        <v>2021</v>
      </c>
      <c r="C191" s="241" t="n">
        <v>9</v>
      </c>
      <c r="D191" s="243" t="s">
        <v>44</v>
      </c>
      <c r="E191" s="244" t="n">
        <v>17891875174</v>
      </c>
      <c r="F191" s="244" t="n">
        <v>6214238</v>
      </c>
      <c r="G191" s="245" t="n">
        <v>1</v>
      </c>
      <c r="H191" s="248" t="s">
        <v>190</v>
      </c>
      <c r="I191" s="246" t="n">
        <v>3300</v>
      </c>
      <c r="J191" s="246" t="n">
        <v>3300</v>
      </c>
      <c r="K191" s="246" t="n">
        <v>3300</v>
      </c>
      <c r="L191" s="246" t="n">
        <v>0</v>
      </c>
      <c r="M191" s="246" t="n">
        <v>3300</v>
      </c>
      <c r="N191" s="246"/>
      <c r="O191" s="246"/>
      <c r="P191" s="246"/>
      <c r="Q191" s="249"/>
      <c r="R191" s="246"/>
      <c r="S191" s="246"/>
    </row>
    <row r="192" s="241" customFormat="true" ht="15" hidden="true" customHeight="false" outlineLevel="0" collapsed="false">
      <c r="B192" s="242" t="n">
        <v>2021</v>
      </c>
      <c r="C192" s="241" t="n">
        <v>9</v>
      </c>
      <c r="D192" s="243" t="s">
        <v>44</v>
      </c>
      <c r="E192" s="244" t="n">
        <v>13345619462</v>
      </c>
      <c r="F192" s="244" t="n">
        <v>0</v>
      </c>
      <c r="G192" s="245" t="n">
        <v>0</v>
      </c>
      <c r="H192" s="248" t="s">
        <v>71</v>
      </c>
      <c r="I192" s="246" t="n">
        <v>0</v>
      </c>
      <c r="J192" s="246" t="n">
        <v>3600</v>
      </c>
      <c r="K192" s="246" t="n">
        <v>0</v>
      </c>
      <c r="L192" s="246" t="n">
        <v>3600</v>
      </c>
      <c r="M192" s="246" t="n">
        <v>3600</v>
      </c>
      <c r="N192" s="246"/>
      <c r="O192" s="246"/>
      <c r="P192" s="246"/>
      <c r="Q192" s="249"/>
      <c r="R192" s="246"/>
      <c r="S192" s="246"/>
    </row>
    <row r="193" s="241" customFormat="true" ht="15" hidden="true" customHeight="false" outlineLevel="0" collapsed="false">
      <c r="B193" s="242" t="n">
        <v>2021</v>
      </c>
      <c r="C193" s="241" t="n">
        <v>9</v>
      </c>
      <c r="D193" s="243" t="n">
        <v>0</v>
      </c>
      <c r="E193" s="244" t="n">
        <v>0</v>
      </c>
      <c r="F193" s="244" t="n">
        <v>0</v>
      </c>
      <c r="G193" s="245" t="n">
        <v>0</v>
      </c>
      <c r="H193" s="248" t="s">
        <v>267</v>
      </c>
      <c r="I193" s="246" t="n">
        <v>0</v>
      </c>
      <c r="J193" s="246" t="n">
        <v>3300</v>
      </c>
      <c r="K193" s="246" t="n">
        <v>0</v>
      </c>
      <c r="L193" s="246" t="n">
        <v>3300</v>
      </c>
      <c r="M193" s="246" t="n">
        <v>3300</v>
      </c>
      <c r="N193" s="246"/>
      <c r="O193" s="246"/>
      <c r="P193" s="246"/>
      <c r="Q193" s="246"/>
      <c r="R193" s="246"/>
      <c r="S193" s="246"/>
    </row>
    <row r="194" s="241" customFormat="true" ht="15" hidden="true" customHeight="false" outlineLevel="0" collapsed="false">
      <c r="B194" s="242" t="n">
        <v>2021</v>
      </c>
      <c r="C194" s="241" t="n">
        <v>9</v>
      </c>
      <c r="D194" s="243" t="n">
        <v>0</v>
      </c>
      <c r="E194" s="244" t="n">
        <v>0</v>
      </c>
      <c r="F194" s="244" t="n">
        <v>0</v>
      </c>
      <c r="G194" s="245" t="n">
        <v>0</v>
      </c>
      <c r="H194" s="248" t="s">
        <v>268</v>
      </c>
      <c r="I194" s="246" t="n">
        <v>0</v>
      </c>
      <c r="J194" s="246" t="n">
        <v>3000</v>
      </c>
      <c r="K194" s="246" t="n">
        <v>0</v>
      </c>
      <c r="L194" s="246" t="n">
        <v>3000</v>
      </c>
      <c r="M194" s="246" t="n">
        <v>3000</v>
      </c>
      <c r="N194" s="246"/>
      <c r="O194" s="246"/>
      <c r="P194" s="246"/>
      <c r="Q194" s="246"/>
      <c r="R194" s="246"/>
      <c r="S194" s="246"/>
    </row>
    <row r="195" s="241" customFormat="true" ht="15" hidden="true" customHeight="false" outlineLevel="0" collapsed="false">
      <c r="B195" s="242" t="n">
        <v>2021</v>
      </c>
      <c r="C195" s="241" t="n">
        <v>10</v>
      </c>
      <c r="D195" s="243" t="s">
        <v>44</v>
      </c>
      <c r="E195" s="244" t="n">
        <v>28699369338</v>
      </c>
      <c r="F195" s="244" t="n">
        <v>96358353</v>
      </c>
      <c r="G195" s="245" t="n">
        <v>1</v>
      </c>
      <c r="H195" s="241" t="s">
        <v>79</v>
      </c>
      <c r="I195" s="246" t="n">
        <v>4000</v>
      </c>
      <c r="J195" s="246" t="n">
        <v>5000</v>
      </c>
      <c r="K195" s="246" t="n">
        <v>4000</v>
      </c>
      <c r="L195" s="246" t="n">
        <v>1000</v>
      </c>
      <c r="M195" s="246" t="n">
        <v>5000</v>
      </c>
      <c r="N195" s="246"/>
      <c r="O195" s="246"/>
      <c r="P195" s="246"/>
      <c r="Q195" s="249"/>
      <c r="R195" s="249"/>
      <c r="S195" s="246"/>
    </row>
    <row r="196" s="241" customFormat="true" ht="15" hidden="true" customHeight="false" outlineLevel="0" collapsed="false">
      <c r="B196" s="242" t="n">
        <v>2021</v>
      </c>
      <c r="C196" s="241" t="n">
        <v>10</v>
      </c>
      <c r="D196" s="243" t="s">
        <v>44</v>
      </c>
      <c r="E196" s="244" t="n">
        <v>63097169876</v>
      </c>
      <c r="F196" s="244" t="n">
        <v>96843148</v>
      </c>
      <c r="G196" s="245" t="n">
        <v>1</v>
      </c>
      <c r="H196" s="248" t="s">
        <v>122</v>
      </c>
      <c r="I196" s="246" t="n">
        <v>2825.9</v>
      </c>
      <c r="J196" s="246" t="n">
        <v>5000</v>
      </c>
      <c r="K196" s="246" t="n">
        <v>1939.7</v>
      </c>
      <c r="L196" s="246" t="n">
        <v>3060.3</v>
      </c>
      <c r="M196" s="246" t="n">
        <v>5886.2</v>
      </c>
      <c r="N196" s="246"/>
      <c r="O196" s="246" t="s">
        <v>269</v>
      </c>
      <c r="P196" s="246"/>
      <c r="Q196" s="249"/>
      <c r="R196" s="249"/>
      <c r="S196" s="246" t="s">
        <v>269</v>
      </c>
    </row>
    <row r="197" s="241" customFormat="true" ht="15" hidden="true" customHeight="false" outlineLevel="0" collapsed="false">
      <c r="B197" s="242" t="n">
        <v>2021</v>
      </c>
      <c r="C197" s="241" t="n">
        <v>10</v>
      </c>
      <c r="D197" s="243" t="s">
        <v>44</v>
      </c>
      <c r="E197" s="244" t="n">
        <v>36826974454</v>
      </c>
      <c r="F197" s="244" t="n">
        <v>95573006</v>
      </c>
      <c r="G197" s="245" t="n">
        <v>1</v>
      </c>
      <c r="H197" s="248" t="s">
        <v>188</v>
      </c>
      <c r="I197" s="246" t="n">
        <v>3313.72</v>
      </c>
      <c r="J197" s="246" t="n">
        <v>3313.72</v>
      </c>
      <c r="K197" s="246" t="n">
        <v>3313.72</v>
      </c>
      <c r="L197" s="246" t="n">
        <v>0</v>
      </c>
      <c r="M197" s="246" t="n">
        <v>3313.72</v>
      </c>
      <c r="N197" s="246"/>
      <c r="O197" s="246"/>
      <c r="P197" s="246"/>
      <c r="Q197" s="249"/>
      <c r="R197" s="249"/>
      <c r="S197" s="246"/>
    </row>
    <row r="198" s="241" customFormat="true" ht="15" hidden="true" customHeight="false" outlineLevel="0" collapsed="false">
      <c r="B198" s="242" t="n">
        <v>2021</v>
      </c>
      <c r="C198" s="241" t="n">
        <v>10</v>
      </c>
      <c r="D198" s="243" t="s">
        <v>44</v>
      </c>
      <c r="E198" s="244" t="n">
        <v>17630785580</v>
      </c>
      <c r="F198" s="244" t="n">
        <v>95529415</v>
      </c>
      <c r="G198" s="245" t="n">
        <v>1</v>
      </c>
      <c r="H198" s="248" t="s">
        <v>81</v>
      </c>
      <c r="I198" s="246" t="n">
        <v>3188.13</v>
      </c>
      <c r="J198" s="246" t="n">
        <v>11188.13</v>
      </c>
      <c r="K198" s="246" t="n">
        <v>3188.13</v>
      </c>
      <c r="L198" s="246" t="n">
        <v>8000</v>
      </c>
      <c r="M198" s="246" t="n">
        <v>11188.13</v>
      </c>
      <c r="N198" s="246"/>
      <c r="O198" s="246"/>
      <c r="P198" s="246"/>
      <c r="Q198" s="249"/>
      <c r="R198" s="249"/>
      <c r="S198" s="246"/>
    </row>
    <row r="199" s="241" customFormat="true" ht="15" hidden="true" customHeight="false" outlineLevel="0" collapsed="false">
      <c r="B199" s="242" t="n">
        <v>2021</v>
      </c>
      <c r="C199" s="241" t="n">
        <v>10</v>
      </c>
      <c r="D199" s="243" t="s">
        <v>44</v>
      </c>
      <c r="E199" s="244" t="n">
        <v>27172394690</v>
      </c>
      <c r="F199" s="244" t="n">
        <v>95702622</v>
      </c>
      <c r="G199" s="245" t="n">
        <v>1</v>
      </c>
      <c r="H199" s="248" t="s">
        <v>72</v>
      </c>
      <c r="I199" s="246" t="n">
        <v>0</v>
      </c>
      <c r="J199" s="246" t="n">
        <v>4000</v>
      </c>
      <c r="K199" s="246" t="n">
        <v>0</v>
      </c>
      <c r="L199" s="246" t="n">
        <v>4000</v>
      </c>
      <c r="M199" s="246" t="n">
        <v>4000</v>
      </c>
      <c r="N199" s="246"/>
      <c r="O199" s="246"/>
      <c r="P199" s="246"/>
      <c r="Q199" s="249"/>
      <c r="R199" s="249"/>
      <c r="S199" s="246"/>
    </row>
    <row r="200" s="241" customFormat="true" ht="15" hidden="true" customHeight="false" outlineLevel="0" collapsed="false">
      <c r="B200" s="242" t="n">
        <v>2021</v>
      </c>
      <c r="C200" s="241" t="n">
        <v>10</v>
      </c>
      <c r="D200" s="243" t="s">
        <v>44</v>
      </c>
      <c r="E200" s="244" t="n">
        <v>64996156028</v>
      </c>
      <c r="F200" s="244" t="n">
        <v>95539771</v>
      </c>
      <c r="G200" s="245" t="n">
        <v>1</v>
      </c>
      <c r="H200" s="241" t="s">
        <v>55</v>
      </c>
      <c r="I200" s="246" t="n">
        <v>3000</v>
      </c>
      <c r="J200" s="246" t="n">
        <v>3000</v>
      </c>
      <c r="K200" s="246" t="n">
        <v>3000</v>
      </c>
      <c r="L200" s="246" t="n">
        <v>0</v>
      </c>
      <c r="M200" s="246" t="n">
        <v>3000</v>
      </c>
      <c r="N200" s="246"/>
      <c r="O200" s="246"/>
      <c r="P200" s="246"/>
      <c r="Q200" s="249"/>
      <c r="R200" s="249"/>
      <c r="S200" s="246"/>
    </row>
    <row r="201" s="241" customFormat="true" ht="15" hidden="true" customHeight="false" outlineLevel="0" collapsed="false">
      <c r="B201" s="242" t="n">
        <v>2021</v>
      </c>
      <c r="C201" s="241" t="n">
        <v>10</v>
      </c>
      <c r="D201" s="243" t="s">
        <v>44</v>
      </c>
      <c r="E201" s="244" t="n">
        <v>59233322526</v>
      </c>
      <c r="F201" s="244" t="n">
        <v>96712272</v>
      </c>
      <c r="G201" s="245" t="n">
        <v>1</v>
      </c>
      <c r="H201" s="248" t="s">
        <v>68</v>
      </c>
      <c r="I201" s="246" t="n">
        <v>4100</v>
      </c>
      <c r="J201" s="246" t="n">
        <v>4500</v>
      </c>
      <c r="K201" s="246" t="n">
        <v>4100</v>
      </c>
      <c r="L201" s="246" t="n">
        <v>400</v>
      </c>
      <c r="M201" s="246" t="n">
        <v>4500</v>
      </c>
      <c r="N201" s="246"/>
      <c r="O201" s="246"/>
      <c r="P201" s="246"/>
      <c r="Q201" s="249"/>
      <c r="R201" s="249"/>
      <c r="S201" s="246"/>
    </row>
    <row r="202" s="251" customFormat="true" ht="15" hidden="true" customHeight="false" outlineLevel="0" collapsed="false">
      <c r="A202" s="241"/>
      <c r="B202" s="242" t="n">
        <v>2021</v>
      </c>
      <c r="C202" s="241" t="n">
        <v>10</v>
      </c>
      <c r="D202" s="243" t="s">
        <v>44</v>
      </c>
      <c r="E202" s="244" t="n">
        <v>55186680706</v>
      </c>
      <c r="F202" s="244" t="n">
        <v>95787183</v>
      </c>
      <c r="G202" s="245" t="n">
        <v>1</v>
      </c>
      <c r="H202" s="241" t="s">
        <v>73</v>
      </c>
      <c r="I202" s="246" t="n">
        <v>1530.4</v>
      </c>
      <c r="J202" s="246" t="n">
        <v>5000</v>
      </c>
      <c r="K202" s="246" t="n">
        <v>1530.4</v>
      </c>
      <c r="L202" s="246" t="n">
        <v>3469.6</v>
      </c>
      <c r="M202" s="246" t="n">
        <v>5000</v>
      </c>
      <c r="N202" s="246"/>
      <c r="O202" s="246"/>
      <c r="P202" s="246"/>
      <c r="Q202" s="249"/>
      <c r="R202" s="249"/>
      <c r="S202" s="246"/>
      <c r="T202" s="241"/>
      <c r="U202" s="241"/>
    </row>
    <row r="203" s="251" customFormat="true" ht="15" hidden="true" customHeight="false" outlineLevel="0" collapsed="false">
      <c r="A203" s="241"/>
      <c r="B203" s="242" t="n">
        <v>2021</v>
      </c>
      <c r="C203" s="241" t="n">
        <v>10</v>
      </c>
      <c r="D203" s="243" t="s">
        <v>44</v>
      </c>
      <c r="E203" s="244" t="n">
        <v>21242693324</v>
      </c>
      <c r="F203" s="244" t="n">
        <v>95532064</v>
      </c>
      <c r="G203" s="245" t="n">
        <v>1</v>
      </c>
      <c r="H203" s="248" t="s">
        <v>85</v>
      </c>
      <c r="I203" s="246" t="n">
        <v>3600</v>
      </c>
      <c r="J203" s="246" t="n">
        <v>3600</v>
      </c>
      <c r="K203" s="246" t="n">
        <v>3600</v>
      </c>
      <c r="L203" s="246" t="n">
        <v>0</v>
      </c>
      <c r="M203" s="246" t="n">
        <v>3600</v>
      </c>
      <c r="N203" s="246"/>
      <c r="O203" s="246"/>
      <c r="P203" s="246"/>
      <c r="Q203" s="249"/>
      <c r="R203" s="249"/>
      <c r="S203" s="246"/>
      <c r="T203" s="241"/>
      <c r="U203" s="241"/>
    </row>
    <row r="204" s="251" customFormat="true" ht="15" hidden="true" customHeight="false" outlineLevel="0" collapsed="false">
      <c r="A204" s="241"/>
      <c r="B204" s="242" t="n">
        <v>2021</v>
      </c>
      <c r="C204" s="241" t="n">
        <v>10</v>
      </c>
      <c r="D204" s="243" t="s">
        <v>44</v>
      </c>
      <c r="E204" s="244" t="n">
        <v>17159801204</v>
      </c>
      <c r="F204" s="244" t="n">
        <v>95532066</v>
      </c>
      <c r="G204" s="245" t="n">
        <v>1</v>
      </c>
      <c r="H204" s="248" t="s">
        <v>87</v>
      </c>
      <c r="I204" s="246" t="n">
        <v>3600</v>
      </c>
      <c r="J204" s="246" t="n">
        <v>3600</v>
      </c>
      <c r="K204" s="246" t="n">
        <v>3600</v>
      </c>
      <c r="L204" s="246" t="n">
        <v>0</v>
      </c>
      <c r="M204" s="246" t="n">
        <v>3600</v>
      </c>
      <c r="N204" s="246"/>
      <c r="O204" s="246"/>
      <c r="P204" s="246"/>
      <c r="Q204" s="249"/>
      <c r="R204" s="249"/>
      <c r="S204" s="246"/>
      <c r="T204" s="241"/>
      <c r="U204" s="241"/>
    </row>
    <row r="205" s="251" customFormat="true" ht="44.85" hidden="true" customHeight="false" outlineLevel="0" collapsed="false">
      <c r="B205" s="242" t="n">
        <v>2021</v>
      </c>
      <c r="C205" s="241" t="n">
        <v>10</v>
      </c>
      <c r="D205" s="252" t="s">
        <v>44</v>
      </c>
      <c r="E205" s="253" t="n">
        <v>66385338732</v>
      </c>
      <c r="F205" s="253" t="n">
        <v>96717247</v>
      </c>
      <c r="G205" s="254" t="n">
        <v>1</v>
      </c>
      <c r="H205" s="255" t="s">
        <v>52</v>
      </c>
      <c r="I205" s="256" t="n">
        <v>2125</v>
      </c>
      <c r="J205" s="256" t="n">
        <v>2300</v>
      </c>
      <c r="K205" s="256" t="n">
        <v>2125</v>
      </c>
      <c r="L205" s="256" t="n">
        <v>1458.33</v>
      </c>
      <c r="M205" s="256" t="n">
        <v>3583.33</v>
      </c>
      <c r="N205" s="256"/>
      <c r="O205" s="257" t="s">
        <v>270</v>
      </c>
      <c r="P205" s="256" t="n">
        <v>-1000</v>
      </c>
      <c r="Q205" s="258"/>
      <c r="R205" s="258" t="n">
        <v>14</v>
      </c>
      <c r="S205" s="259" t="s">
        <v>270</v>
      </c>
    </row>
    <row r="206" s="241" customFormat="true" ht="15" hidden="true" customHeight="false" outlineLevel="0" collapsed="false">
      <c r="B206" s="242" t="n">
        <v>2021</v>
      </c>
      <c r="C206" s="241" t="n">
        <v>10</v>
      </c>
      <c r="D206" s="243" t="s">
        <v>44</v>
      </c>
      <c r="E206" s="244" t="n">
        <v>23764482950</v>
      </c>
      <c r="F206" s="244" t="n">
        <v>95532077</v>
      </c>
      <c r="G206" s="245" t="n">
        <v>1</v>
      </c>
      <c r="H206" s="248" t="s">
        <v>93</v>
      </c>
      <c r="I206" s="246" t="n">
        <v>547</v>
      </c>
      <c r="J206" s="246" t="n">
        <v>4500</v>
      </c>
      <c r="K206" s="246" t="n">
        <v>547</v>
      </c>
      <c r="L206" s="246" t="n">
        <v>3953</v>
      </c>
      <c r="M206" s="246" t="n">
        <v>4500</v>
      </c>
      <c r="N206" s="246"/>
      <c r="O206" s="246"/>
      <c r="P206" s="246"/>
      <c r="Q206" s="249" t="n">
        <v>25</v>
      </c>
      <c r="R206" s="249"/>
      <c r="S206" s="246"/>
    </row>
    <row r="207" s="251" customFormat="true" ht="15" hidden="true" customHeight="false" outlineLevel="0" collapsed="false">
      <c r="A207" s="241"/>
      <c r="B207" s="242" t="n">
        <v>2021</v>
      </c>
      <c r="C207" s="241" t="n">
        <v>10</v>
      </c>
      <c r="D207" s="243" t="s">
        <v>36</v>
      </c>
      <c r="E207" s="244" t="n">
        <v>25672444846</v>
      </c>
      <c r="F207" s="244" t="n">
        <v>95693810</v>
      </c>
      <c r="G207" s="245" t="n">
        <v>1</v>
      </c>
      <c r="H207" s="248" t="s">
        <v>245</v>
      </c>
      <c r="I207" s="246" t="n">
        <v>3600</v>
      </c>
      <c r="J207" s="246" t="n">
        <v>4500</v>
      </c>
      <c r="K207" s="246" t="n">
        <v>3600</v>
      </c>
      <c r="L207" s="246" t="n">
        <v>900</v>
      </c>
      <c r="M207" s="246" t="n">
        <v>4500</v>
      </c>
      <c r="N207" s="246"/>
      <c r="O207" s="246"/>
      <c r="P207" s="246"/>
      <c r="Q207" s="249"/>
      <c r="R207" s="249"/>
      <c r="S207" s="246"/>
      <c r="T207" s="241"/>
      <c r="U207" s="241"/>
    </row>
    <row r="208" s="251" customFormat="true" ht="15" hidden="true" customHeight="false" outlineLevel="0" collapsed="false">
      <c r="A208" s="241"/>
      <c r="B208" s="242" t="n">
        <v>2021</v>
      </c>
      <c r="C208" s="241" t="n">
        <v>10</v>
      </c>
      <c r="D208" s="243" t="s">
        <v>36</v>
      </c>
      <c r="E208" s="244" t="n">
        <v>15394555838</v>
      </c>
      <c r="F208" s="244" t="n">
        <v>95580195</v>
      </c>
      <c r="G208" s="245" t="n">
        <v>1</v>
      </c>
      <c r="H208" s="248" t="s">
        <v>48</v>
      </c>
      <c r="I208" s="246" t="n">
        <v>2825.9</v>
      </c>
      <c r="J208" s="246" t="n">
        <v>4000</v>
      </c>
      <c r="K208" s="246" t="n">
        <v>2032.56</v>
      </c>
      <c r="L208" s="246" t="n">
        <v>1967.44</v>
      </c>
      <c r="M208" s="246" t="n">
        <v>4793.34</v>
      </c>
      <c r="N208" s="246"/>
      <c r="O208" s="246"/>
      <c r="P208" s="246"/>
      <c r="Q208" s="249" t="n">
        <v>11</v>
      </c>
      <c r="R208" s="249"/>
      <c r="S208" s="246"/>
      <c r="T208" s="241"/>
      <c r="U208" s="241"/>
    </row>
    <row r="209" s="251" customFormat="true" ht="15" hidden="true" customHeight="false" outlineLevel="0" collapsed="false">
      <c r="A209" s="241"/>
      <c r="B209" s="242" t="n">
        <v>2021</v>
      </c>
      <c r="C209" s="241" t="n">
        <v>10</v>
      </c>
      <c r="D209" s="243" t="s">
        <v>44</v>
      </c>
      <c r="E209" s="244" t="n">
        <v>33853146700</v>
      </c>
      <c r="F209" s="244" t="n">
        <v>96959868</v>
      </c>
      <c r="G209" s="245" t="n">
        <v>1</v>
      </c>
      <c r="H209" s="248" t="s">
        <v>247</v>
      </c>
      <c r="I209" s="246" t="n">
        <v>3053.97</v>
      </c>
      <c r="J209" s="246" t="n">
        <v>5000</v>
      </c>
      <c r="K209" s="246" t="n">
        <v>3053.97</v>
      </c>
      <c r="L209" s="246" t="n">
        <v>1946.03</v>
      </c>
      <c r="M209" s="246" t="n">
        <v>5000</v>
      </c>
      <c r="N209" s="246"/>
      <c r="O209" s="246" t="s">
        <v>265</v>
      </c>
      <c r="P209" s="246"/>
      <c r="Q209" s="249"/>
      <c r="R209" s="249"/>
      <c r="S209" s="246" t="s">
        <v>265</v>
      </c>
      <c r="T209" s="241"/>
      <c r="U209" s="241"/>
    </row>
    <row r="210" s="251" customFormat="true" ht="15" hidden="true" customHeight="false" outlineLevel="0" collapsed="false">
      <c r="A210" s="241"/>
      <c r="B210" s="242" t="n">
        <v>2021</v>
      </c>
      <c r="C210" s="241" t="n">
        <v>10</v>
      </c>
      <c r="D210" s="243" t="s">
        <v>44</v>
      </c>
      <c r="E210" s="244" t="n">
        <v>51994540164</v>
      </c>
      <c r="F210" s="244" t="n">
        <v>96900867</v>
      </c>
      <c r="G210" s="245" t="n">
        <v>1</v>
      </c>
      <c r="H210" s="248" t="s">
        <v>97</v>
      </c>
      <c r="I210" s="246" t="n">
        <v>2825.9</v>
      </c>
      <c r="J210" s="246" t="n">
        <v>2825.9</v>
      </c>
      <c r="K210" s="246" t="n">
        <v>2825.9</v>
      </c>
      <c r="L210" s="246" t="n">
        <v>0</v>
      </c>
      <c r="M210" s="246" t="n">
        <v>2825.9</v>
      </c>
      <c r="N210" s="246"/>
      <c r="O210" s="246"/>
      <c r="P210" s="246"/>
      <c r="Q210" s="249"/>
      <c r="R210" s="249"/>
      <c r="S210" s="246"/>
      <c r="T210" s="241"/>
      <c r="U210" s="241"/>
    </row>
    <row r="211" s="251" customFormat="true" ht="15" hidden="true" customHeight="false" outlineLevel="0" collapsed="false">
      <c r="A211" s="241"/>
      <c r="B211" s="242" t="n">
        <v>2021</v>
      </c>
      <c r="C211" s="241" t="n">
        <v>10</v>
      </c>
      <c r="D211" s="243" t="s">
        <v>44</v>
      </c>
      <c r="E211" s="244" t="n">
        <v>52657562356</v>
      </c>
      <c r="F211" s="244" t="n">
        <v>97011710</v>
      </c>
      <c r="G211" s="245" t="n">
        <v>1</v>
      </c>
      <c r="H211" s="248" t="s">
        <v>248</v>
      </c>
      <c r="I211" s="246" t="n">
        <v>2825.9</v>
      </c>
      <c r="J211" s="246" t="n">
        <v>2825.9</v>
      </c>
      <c r="K211" s="246" t="n">
        <v>2825.9</v>
      </c>
      <c r="L211" s="246" t="n">
        <v>0</v>
      </c>
      <c r="M211" s="246" t="n">
        <v>2825.9</v>
      </c>
      <c r="N211" s="246"/>
      <c r="O211" s="246"/>
      <c r="P211" s="246"/>
      <c r="Q211" s="249"/>
      <c r="R211" s="249"/>
      <c r="S211" s="246"/>
      <c r="T211" s="241"/>
      <c r="U211" s="241"/>
    </row>
    <row r="212" s="251" customFormat="true" ht="15" hidden="true" customHeight="false" outlineLevel="0" collapsed="false">
      <c r="A212" s="241"/>
      <c r="B212" s="242" t="n">
        <v>2021</v>
      </c>
      <c r="C212" s="241" t="n">
        <v>10</v>
      </c>
      <c r="D212" s="243" t="s">
        <v>36</v>
      </c>
      <c r="E212" s="244" t="n">
        <v>10459950610</v>
      </c>
      <c r="F212" s="244" t="n">
        <v>97226520</v>
      </c>
      <c r="G212" s="245" t="n">
        <v>1</v>
      </c>
      <c r="H212" s="248" t="s">
        <v>195</v>
      </c>
      <c r="I212" s="246" t="n">
        <v>3600</v>
      </c>
      <c r="J212" s="246" t="n">
        <v>4500</v>
      </c>
      <c r="K212" s="246" t="n">
        <v>3600</v>
      </c>
      <c r="L212" s="246" t="n">
        <v>900</v>
      </c>
      <c r="M212" s="246" t="n">
        <v>4500</v>
      </c>
      <c r="N212" s="246"/>
      <c r="O212" s="246"/>
      <c r="P212" s="246"/>
      <c r="Q212" s="249"/>
      <c r="R212" s="246"/>
      <c r="S212" s="246"/>
      <c r="T212" s="241"/>
      <c r="U212" s="241"/>
    </row>
    <row r="213" s="251" customFormat="true" ht="15" hidden="true" customHeight="false" outlineLevel="0" collapsed="false">
      <c r="A213" s="241"/>
      <c r="B213" s="242" t="n">
        <v>2021</v>
      </c>
      <c r="C213" s="241" t="n">
        <v>10</v>
      </c>
      <c r="D213" s="243" t="s">
        <v>44</v>
      </c>
      <c r="E213" s="244" t="n">
        <v>23713484608</v>
      </c>
      <c r="F213" s="244" t="n">
        <v>97189681</v>
      </c>
      <c r="G213" s="245" t="n">
        <v>1</v>
      </c>
      <c r="H213" s="248" t="s">
        <v>100</v>
      </c>
      <c r="I213" s="246" t="n">
        <v>3600</v>
      </c>
      <c r="J213" s="246" t="n">
        <v>4000</v>
      </c>
      <c r="K213" s="246" t="n">
        <v>3600</v>
      </c>
      <c r="L213" s="246" t="n">
        <v>400</v>
      </c>
      <c r="M213" s="246" t="n">
        <v>4000</v>
      </c>
      <c r="N213" s="246"/>
      <c r="O213" s="246"/>
      <c r="P213" s="246"/>
      <c r="Q213" s="249"/>
      <c r="R213" s="246"/>
      <c r="S213" s="246"/>
      <c r="T213" s="241"/>
      <c r="U213" s="241"/>
    </row>
    <row r="214" s="251" customFormat="true" ht="15" hidden="true" customHeight="false" outlineLevel="0" collapsed="false">
      <c r="A214" s="241"/>
      <c r="B214" s="242" t="n">
        <v>2021</v>
      </c>
      <c r="C214" s="241" t="n">
        <v>10</v>
      </c>
      <c r="D214" s="243" t="s">
        <v>44</v>
      </c>
      <c r="E214" s="244" t="n">
        <v>17891875174</v>
      </c>
      <c r="F214" s="244" t="n">
        <v>6214238</v>
      </c>
      <c r="G214" s="245" t="n">
        <v>1</v>
      </c>
      <c r="H214" s="248" t="s">
        <v>190</v>
      </c>
      <c r="I214" s="246" t="n">
        <v>3300</v>
      </c>
      <c r="J214" s="246" t="n">
        <v>3300</v>
      </c>
      <c r="K214" s="246" t="n">
        <v>3300</v>
      </c>
      <c r="L214" s="246" t="n">
        <v>0</v>
      </c>
      <c r="M214" s="246" t="n">
        <v>3300</v>
      </c>
      <c r="N214" s="246"/>
      <c r="O214" s="246"/>
      <c r="P214" s="246"/>
      <c r="Q214" s="249"/>
      <c r="R214" s="246"/>
      <c r="S214" s="246"/>
      <c r="T214" s="241"/>
      <c r="U214" s="241"/>
    </row>
    <row r="215" s="251" customFormat="true" ht="15" hidden="true" customHeight="false" outlineLevel="0" collapsed="false">
      <c r="A215" s="241"/>
      <c r="B215" s="242" t="n">
        <v>2021</v>
      </c>
      <c r="C215" s="241" t="n">
        <v>10</v>
      </c>
      <c r="D215" s="243" t="s">
        <v>44</v>
      </c>
      <c r="E215" s="244" t="n">
        <v>13345619462</v>
      </c>
      <c r="F215" s="244" t="n">
        <v>0</v>
      </c>
      <c r="G215" s="245" t="n">
        <v>0</v>
      </c>
      <c r="H215" s="248" t="s">
        <v>71</v>
      </c>
      <c r="I215" s="246" t="n">
        <v>2825.9</v>
      </c>
      <c r="J215" s="246" t="n">
        <v>4000</v>
      </c>
      <c r="K215" s="246" t="n">
        <v>1531.62</v>
      </c>
      <c r="L215" s="246" t="n">
        <v>2468.38</v>
      </c>
      <c r="M215" s="246" t="n">
        <v>5294.28</v>
      </c>
      <c r="N215" s="246"/>
      <c r="O215" s="246" t="s">
        <v>271</v>
      </c>
      <c r="P215" s="246"/>
      <c r="Q215" s="249" t="n">
        <v>16</v>
      </c>
      <c r="R215" s="246"/>
      <c r="S215" s="246" t="s">
        <v>271</v>
      </c>
      <c r="T215" s="241"/>
      <c r="U215" s="241"/>
    </row>
    <row r="216" s="251" customFormat="true" ht="15" hidden="true" customHeight="false" outlineLevel="0" collapsed="false">
      <c r="A216" s="241"/>
      <c r="B216" s="242" t="n">
        <v>2021</v>
      </c>
      <c r="C216" s="241" t="n">
        <v>10</v>
      </c>
      <c r="D216" s="243" t="n">
        <v>0</v>
      </c>
      <c r="E216" s="244" t="n">
        <v>0</v>
      </c>
      <c r="F216" s="244" t="n">
        <v>0</v>
      </c>
      <c r="G216" s="245" t="n">
        <v>0</v>
      </c>
      <c r="H216" s="248" t="s">
        <v>267</v>
      </c>
      <c r="I216" s="246" t="n">
        <v>0</v>
      </c>
      <c r="J216" s="246" t="n">
        <v>3300</v>
      </c>
      <c r="K216" s="246" t="n">
        <v>0</v>
      </c>
      <c r="L216" s="246" t="n">
        <v>3300</v>
      </c>
      <c r="M216" s="246" t="n">
        <v>3300</v>
      </c>
      <c r="N216" s="246"/>
      <c r="O216" s="246"/>
      <c r="P216" s="246"/>
      <c r="Q216" s="246"/>
      <c r="R216" s="246"/>
      <c r="S216" s="246"/>
      <c r="T216" s="241"/>
      <c r="U216" s="241"/>
    </row>
    <row r="217" s="251" customFormat="true" ht="15" hidden="true" customHeight="false" outlineLevel="0" collapsed="false">
      <c r="A217" s="241"/>
      <c r="B217" s="242" t="n">
        <v>2021</v>
      </c>
      <c r="C217" s="241" t="n">
        <v>10</v>
      </c>
      <c r="D217" s="243" t="n">
        <v>0</v>
      </c>
      <c r="E217" s="244" t="n">
        <v>0</v>
      </c>
      <c r="F217" s="244" t="n">
        <v>0</v>
      </c>
      <c r="G217" s="245" t="n">
        <v>0</v>
      </c>
      <c r="H217" s="248" t="s">
        <v>268</v>
      </c>
      <c r="I217" s="246" t="n">
        <v>0</v>
      </c>
      <c r="J217" s="246" t="n">
        <v>3000</v>
      </c>
      <c r="K217" s="246" t="n">
        <v>0</v>
      </c>
      <c r="L217" s="246" t="n">
        <v>3000</v>
      </c>
      <c r="M217" s="246" t="n">
        <v>3000</v>
      </c>
      <c r="N217" s="246"/>
      <c r="O217" s="246"/>
      <c r="P217" s="246"/>
      <c r="Q217" s="246"/>
      <c r="R217" s="246"/>
      <c r="S217" s="246"/>
      <c r="T217" s="241"/>
      <c r="U217" s="241"/>
    </row>
    <row r="218" s="251" customFormat="true" ht="15" hidden="true" customHeight="false" outlineLevel="0" collapsed="false">
      <c r="A218" s="241"/>
      <c r="B218" s="242" t="n">
        <v>2021</v>
      </c>
      <c r="C218" s="241" t="n">
        <v>10</v>
      </c>
      <c r="D218" s="243" t="s">
        <v>36</v>
      </c>
      <c r="E218" s="244" t="n">
        <v>11707921468</v>
      </c>
      <c r="F218" s="244" t="n">
        <v>94987081</v>
      </c>
      <c r="G218" s="245" t="n">
        <v>1</v>
      </c>
      <c r="H218" s="248" t="s">
        <v>45</v>
      </c>
      <c r="I218" s="246" t="n">
        <v>0</v>
      </c>
      <c r="J218" s="246" t="n">
        <v>4000</v>
      </c>
      <c r="K218" s="246" t="n">
        <v>0</v>
      </c>
      <c r="L218" s="246" t="n">
        <v>535</v>
      </c>
      <c r="M218" s="246" t="n">
        <v>535</v>
      </c>
      <c r="N218" s="246"/>
      <c r="O218" s="246"/>
      <c r="P218" s="246"/>
      <c r="Q218" s="246"/>
      <c r="R218" s="246"/>
      <c r="S218" s="246"/>
      <c r="T218" s="241"/>
      <c r="U218" s="241"/>
    </row>
    <row r="219" s="251" customFormat="true" ht="15" hidden="true" customHeight="false" outlineLevel="0" collapsed="false">
      <c r="B219" s="242" t="n">
        <v>2021</v>
      </c>
      <c r="C219" s="251" t="n">
        <v>11</v>
      </c>
      <c r="D219" s="252" t="s">
        <v>44</v>
      </c>
      <c r="E219" s="253" t="n">
        <v>28699369338</v>
      </c>
      <c r="F219" s="253" t="n">
        <v>96358353</v>
      </c>
      <c r="G219" s="254" t="n">
        <v>1</v>
      </c>
      <c r="H219" s="251" t="s">
        <v>79</v>
      </c>
      <c r="I219" s="256" t="n">
        <v>4000</v>
      </c>
      <c r="J219" s="256" t="n">
        <v>5000</v>
      </c>
      <c r="K219" s="256" t="n">
        <v>4000</v>
      </c>
      <c r="L219" s="256" t="n">
        <v>1000</v>
      </c>
      <c r="M219" s="256" t="n">
        <v>5000</v>
      </c>
      <c r="N219" s="256"/>
      <c r="O219" s="256" t="s">
        <v>272</v>
      </c>
      <c r="P219" s="256"/>
      <c r="Q219" s="258"/>
      <c r="R219" s="258"/>
      <c r="S219" s="256" t="s">
        <v>272</v>
      </c>
    </row>
    <row r="220" s="251" customFormat="true" ht="15" hidden="true" customHeight="false" outlineLevel="0" collapsed="false">
      <c r="B220" s="242" t="n">
        <v>2021</v>
      </c>
      <c r="C220" s="251" t="n">
        <v>11</v>
      </c>
      <c r="D220" s="252" t="s">
        <v>44</v>
      </c>
      <c r="E220" s="253" t="n">
        <v>63097169876</v>
      </c>
      <c r="F220" s="253" t="n">
        <v>96843148</v>
      </c>
      <c r="G220" s="254" t="n">
        <v>1</v>
      </c>
      <c r="H220" s="255" t="s">
        <v>122</v>
      </c>
      <c r="I220" s="256" t="n">
        <v>3053.97</v>
      </c>
      <c r="J220" s="256" t="n">
        <v>5000</v>
      </c>
      <c r="K220" s="256" t="n">
        <v>3053.97</v>
      </c>
      <c r="L220" s="256" t="n">
        <v>1946.03</v>
      </c>
      <c r="M220" s="256" t="n">
        <v>5000</v>
      </c>
      <c r="N220" s="256"/>
      <c r="O220" s="256" t="s">
        <v>272</v>
      </c>
      <c r="P220" s="256"/>
      <c r="Q220" s="258"/>
      <c r="R220" s="258"/>
      <c r="S220" s="256" t="s">
        <v>272</v>
      </c>
    </row>
    <row r="221" s="251" customFormat="true" ht="15" hidden="true" customHeight="false" outlineLevel="0" collapsed="false">
      <c r="B221" s="242" t="n">
        <v>2021</v>
      </c>
      <c r="C221" s="251" t="n">
        <v>11</v>
      </c>
      <c r="D221" s="252" t="s">
        <v>44</v>
      </c>
      <c r="E221" s="253" t="n">
        <v>36826974454</v>
      </c>
      <c r="F221" s="253" t="n">
        <v>95573006</v>
      </c>
      <c r="G221" s="254" t="n">
        <v>1</v>
      </c>
      <c r="H221" s="255" t="s">
        <v>188</v>
      </c>
      <c r="I221" s="256" t="n">
        <v>3313.72</v>
      </c>
      <c r="J221" s="256" t="n">
        <v>3313.72</v>
      </c>
      <c r="K221" s="256" t="n">
        <v>3313.72</v>
      </c>
      <c r="L221" s="256" t="n">
        <v>0</v>
      </c>
      <c r="M221" s="256" t="n">
        <v>3313.72</v>
      </c>
      <c r="N221" s="256"/>
      <c r="O221" s="256" t="s">
        <v>272</v>
      </c>
      <c r="P221" s="256"/>
      <c r="Q221" s="258"/>
      <c r="R221" s="258"/>
      <c r="S221" s="256" t="s">
        <v>272</v>
      </c>
    </row>
    <row r="222" s="251" customFormat="true" ht="15" hidden="true" customHeight="false" outlineLevel="0" collapsed="false">
      <c r="B222" s="242" t="n">
        <v>2021</v>
      </c>
      <c r="C222" s="251" t="n">
        <v>11</v>
      </c>
      <c r="D222" s="252" t="s">
        <v>44</v>
      </c>
      <c r="E222" s="253" t="n">
        <v>17630785580</v>
      </c>
      <c r="F222" s="253" t="n">
        <v>95529415</v>
      </c>
      <c r="G222" s="254" t="n">
        <v>1</v>
      </c>
      <c r="H222" s="255" t="s">
        <v>81</v>
      </c>
      <c r="I222" s="256" t="n">
        <v>3188.13</v>
      </c>
      <c r="J222" s="256" t="n">
        <v>11188.13</v>
      </c>
      <c r="K222" s="256" t="n">
        <v>3188.13</v>
      </c>
      <c r="L222" s="256" t="n">
        <v>8000</v>
      </c>
      <c r="M222" s="256" t="n">
        <v>11188.13</v>
      </c>
      <c r="N222" s="256"/>
      <c r="O222" s="256" t="s">
        <v>272</v>
      </c>
      <c r="P222" s="256"/>
      <c r="Q222" s="258"/>
      <c r="R222" s="258"/>
      <c r="S222" s="256" t="s">
        <v>272</v>
      </c>
    </row>
    <row r="223" s="241" customFormat="true" ht="15" hidden="true" customHeight="false" outlineLevel="0" collapsed="false">
      <c r="B223" s="242" t="n">
        <v>2021</v>
      </c>
      <c r="C223" s="251" t="n">
        <v>11</v>
      </c>
      <c r="D223" s="243" t="s">
        <v>44</v>
      </c>
      <c r="E223" s="244" t="n">
        <v>27172394690</v>
      </c>
      <c r="F223" s="244" t="n">
        <v>95702622</v>
      </c>
      <c r="G223" s="245" t="n">
        <v>1</v>
      </c>
      <c r="H223" s="248" t="s">
        <v>72</v>
      </c>
      <c r="I223" s="246" t="n">
        <v>0</v>
      </c>
      <c r="J223" s="246" t="n">
        <v>4000</v>
      </c>
      <c r="K223" s="246" t="n">
        <v>0</v>
      </c>
      <c r="L223" s="246" t="n">
        <v>4000</v>
      </c>
      <c r="M223" s="246" t="n">
        <v>4000</v>
      </c>
      <c r="N223" s="246"/>
      <c r="O223" s="246"/>
      <c r="P223" s="246"/>
      <c r="Q223" s="249"/>
      <c r="R223" s="249"/>
      <c r="S223" s="246"/>
    </row>
    <row r="224" s="251" customFormat="true" ht="15" hidden="true" customHeight="false" outlineLevel="0" collapsed="false">
      <c r="B224" s="242" t="n">
        <v>2021</v>
      </c>
      <c r="C224" s="251" t="n">
        <v>11</v>
      </c>
      <c r="D224" s="252" t="s">
        <v>44</v>
      </c>
      <c r="E224" s="253" t="n">
        <v>64996156028</v>
      </c>
      <c r="F224" s="253" t="n">
        <v>95539771</v>
      </c>
      <c r="G224" s="254" t="n">
        <v>1</v>
      </c>
      <c r="H224" s="251" t="s">
        <v>55</v>
      </c>
      <c r="I224" s="256" t="n">
        <v>3000</v>
      </c>
      <c r="J224" s="256" t="n">
        <v>3000</v>
      </c>
      <c r="K224" s="256" t="n">
        <v>3000</v>
      </c>
      <c r="L224" s="256" t="n">
        <v>0</v>
      </c>
      <c r="M224" s="256" t="n">
        <v>3000</v>
      </c>
      <c r="N224" s="256"/>
      <c r="O224" s="256" t="s">
        <v>272</v>
      </c>
      <c r="P224" s="256"/>
      <c r="Q224" s="258"/>
      <c r="R224" s="258"/>
      <c r="S224" s="256" t="s">
        <v>272</v>
      </c>
    </row>
    <row r="225" s="251" customFormat="true" ht="15" hidden="true" customHeight="false" outlineLevel="0" collapsed="false">
      <c r="B225" s="242" t="n">
        <v>2021</v>
      </c>
      <c r="C225" s="251" t="n">
        <v>11</v>
      </c>
      <c r="D225" s="252" t="s">
        <v>44</v>
      </c>
      <c r="E225" s="253" t="n">
        <v>59233322526</v>
      </c>
      <c r="F225" s="253" t="n">
        <v>96712272</v>
      </c>
      <c r="G225" s="254" t="n">
        <v>1</v>
      </c>
      <c r="H225" s="255" t="s">
        <v>68</v>
      </c>
      <c r="I225" s="256" t="n">
        <v>4100</v>
      </c>
      <c r="J225" s="256" t="n">
        <v>4500</v>
      </c>
      <c r="K225" s="256" t="n">
        <v>4100</v>
      </c>
      <c r="L225" s="256" t="n">
        <v>400</v>
      </c>
      <c r="M225" s="256" t="n">
        <v>4500</v>
      </c>
      <c r="N225" s="256"/>
      <c r="O225" s="256" t="s">
        <v>272</v>
      </c>
      <c r="P225" s="256"/>
      <c r="Q225" s="258"/>
      <c r="R225" s="258"/>
      <c r="S225" s="256" t="s">
        <v>272</v>
      </c>
    </row>
    <row r="226" s="251" customFormat="true" ht="15" hidden="true" customHeight="false" outlineLevel="0" collapsed="false">
      <c r="B226" s="242" t="n">
        <v>2021</v>
      </c>
      <c r="C226" s="251" t="n">
        <v>11</v>
      </c>
      <c r="D226" s="252" t="s">
        <v>44</v>
      </c>
      <c r="E226" s="253" t="n">
        <v>55186680706</v>
      </c>
      <c r="F226" s="253" t="n">
        <v>95787183</v>
      </c>
      <c r="G226" s="254" t="n">
        <v>1</v>
      </c>
      <c r="H226" s="251" t="s">
        <v>73</v>
      </c>
      <c r="I226" s="256" t="n">
        <v>1530.4</v>
      </c>
      <c r="J226" s="256" t="n">
        <v>5000</v>
      </c>
      <c r="K226" s="256" t="n">
        <v>1530.4</v>
      </c>
      <c r="L226" s="256" t="n">
        <v>3469.6</v>
      </c>
      <c r="M226" s="256" t="n">
        <v>5000</v>
      </c>
      <c r="N226" s="256"/>
      <c r="O226" s="256" t="s">
        <v>272</v>
      </c>
      <c r="P226" s="256"/>
      <c r="Q226" s="258"/>
      <c r="R226" s="258"/>
      <c r="S226" s="256" t="s">
        <v>272</v>
      </c>
    </row>
    <row r="227" s="251" customFormat="true" ht="15" hidden="true" customHeight="false" outlineLevel="0" collapsed="false">
      <c r="B227" s="242" t="n">
        <v>2021</v>
      </c>
      <c r="C227" s="251" t="n">
        <v>11</v>
      </c>
      <c r="D227" s="252" t="s">
        <v>44</v>
      </c>
      <c r="E227" s="253" t="n">
        <v>21242693324</v>
      </c>
      <c r="F227" s="253" t="n">
        <v>95532064</v>
      </c>
      <c r="G227" s="254" t="n">
        <v>1</v>
      </c>
      <c r="H227" s="255" t="s">
        <v>85</v>
      </c>
      <c r="I227" s="256" t="n">
        <v>3600</v>
      </c>
      <c r="J227" s="256" t="n">
        <v>3600</v>
      </c>
      <c r="K227" s="256" t="n">
        <v>3600</v>
      </c>
      <c r="L227" s="256" t="n">
        <v>0</v>
      </c>
      <c r="M227" s="256" t="n">
        <v>3600</v>
      </c>
      <c r="N227" s="256"/>
      <c r="O227" s="256" t="s">
        <v>272</v>
      </c>
      <c r="P227" s="256"/>
      <c r="Q227" s="258"/>
      <c r="R227" s="258"/>
      <c r="S227" s="256" t="s">
        <v>272</v>
      </c>
    </row>
    <row r="228" s="251" customFormat="true" ht="15" hidden="true" customHeight="false" outlineLevel="0" collapsed="false">
      <c r="B228" s="242" t="n">
        <v>2021</v>
      </c>
      <c r="C228" s="251" t="n">
        <v>11</v>
      </c>
      <c r="D228" s="252" t="s">
        <v>44</v>
      </c>
      <c r="E228" s="253" t="n">
        <v>17159801204</v>
      </c>
      <c r="F228" s="253" t="n">
        <v>95532066</v>
      </c>
      <c r="G228" s="254" t="n">
        <v>1</v>
      </c>
      <c r="H228" s="255" t="s">
        <v>87</v>
      </c>
      <c r="I228" s="256" t="n">
        <v>3600</v>
      </c>
      <c r="J228" s="256" t="n">
        <v>3600</v>
      </c>
      <c r="K228" s="256" t="n">
        <v>3600</v>
      </c>
      <c r="L228" s="256" t="n">
        <v>0</v>
      </c>
      <c r="M228" s="256" t="n">
        <v>3600</v>
      </c>
      <c r="N228" s="256"/>
      <c r="O228" s="256" t="s">
        <v>272</v>
      </c>
      <c r="P228" s="256"/>
      <c r="Q228" s="258"/>
      <c r="R228" s="258"/>
      <c r="S228" s="256" t="s">
        <v>272</v>
      </c>
    </row>
    <row r="229" customFormat="false" ht="44.85" hidden="true" customHeight="false" outlineLevel="0" collapsed="false">
      <c r="A229" s="251"/>
      <c r="B229" s="242" t="n">
        <v>2021</v>
      </c>
      <c r="C229" s="251" t="n">
        <v>11</v>
      </c>
      <c r="D229" s="252" t="s">
        <v>44</v>
      </c>
      <c r="E229" s="253" t="n">
        <v>66385338732</v>
      </c>
      <c r="F229" s="253" t="n">
        <v>96717247</v>
      </c>
      <c r="G229" s="254" t="n">
        <v>1</v>
      </c>
      <c r="H229" s="255" t="s">
        <v>52</v>
      </c>
      <c r="I229" s="256" t="n">
        <v>2125</v>
      </c>
      <c r="J229" s="256" t="n">
        <v>2300</v>
      </c>
      <c r="K229" s="256" t="n">
        <v>2125</v>
      </c>
      <c r="L229" s="256" t="n">
        <v>175</v>
      </c>
      <c r="M229" s="256" t="n">
        <v>2300</v>
      </c>
      <c r="N229" s="256"/>
      <c r="O229" s="257" t="s">
        <v>270</v>
      </c>
      <c r="P229" s="256" t="n">
        <v>-1000</v>
      </c>
      <c r="Q229" s="258"/>
      <c r="R229" s="258"/>
      <c r="S229" s="259" t="s">
        <v>270</v>
      </c>
      <c r="T229" s="251"/>
      <c r="U229" s="251"/>
    </row>
    <row r="230" customFormat="false" ht="15" hidden="true" customHeight="false" outlineLevel="0" collapsed="false">
      <c r="A230" s="251"/>
      <c r="B230" s="242" t="n">
        <v>2021</v>
      </c>
      <c r="C230" s="251" t="n">
        <v>11</v>
      </c>
      <c r="D230" s="252" t="s">
        <v>44</v>
      </c>
      <c r="E230" s="253" t="n">
        <v>23764482950</v>
      </c>
      <c r="F230" s="253" t="n">
        <v>95532077</v>
      </c>
      <c r="G230" s="254" t="n">
        <v>1</v>
      </c>
      <c r="H230" s="255" t="s">
        <v>93</v>
      </c>
      <c r="I230" s="256" t="n">
        <v>547</v>
      </c>
      <c r="J230" s="256" t="n">
        <v>4500</v>
      </c>
      <c r="K230" s="256" t="n">
        <v>547</v>
      </c>
      <c r="L230" s="256" t="n">
        <v>3953</v>
      </c>
      <c r="M230" s="256" t="n">
        <v>4500</v>
      </c>
      <c r="N230" s="256"/>
      <c r="O230" s="256"/>
      <c r="P230" s="256"/>
      <c r="Q230" s="258" t="n">
        <v>25</v>
      </c>
      <c r="R230" s="258"/>
      <c r="S230" s="256"/>
      <c r="T230" s="251"/>
      <c r="U230" s="251"/>
    </row>
    <row r="231" customFormat="false" ht="15" hidden="true" customHeight="false" outlineLevel="0" collapsed="false">
      <c r="A231" s="251"/>
      <c r="B231" s="242" t="n">
        <v>2021</v>
      </c>
      <c r="C231" s="251" t="n">
        <v>11</v>
      </c>
      <c r="D231" s="252" t="s">
        <v>36</v>
      </c>
      <c r="E231" s="253" t="n">
        <v>25672444846</v>
      </c>
      <c r="F231" s="253" t="n">
        <v>95693810</v>
      </c>
      <c r="G231" s="254" t="n">
        <v>1</v>
      </c>
      <c r="H231" s="255" t="s">
        <v>245</v>
      </c>
      <c r="I231" s="256" t="n">
        <v>3600</v>
      </c>
      <c r="J231" s="256" t="n">
        <v>4500</v>
      </c>
      <c r="K231" s="256" t="n">
        <v>3600</v>
      </c>
      <c r="L231" s="256" t="n">
        <v>900</v>
      </c>
      <c r="M231" s="256" t="n">
        <v>4500</v>
      </c>
      <c r="N231" s="256"/>
      <c r="O231" s="256" t="s">
        <v>272</v>
      </c>
      <c r="P231" s="256"/>
      <c r="Q231" s="258"/>
      <c r="R231" s="258"/>
      <c r="S231" s="256" t="s">
        <v>272</v>
      </c>
      <c r="T231" s="251"/>
      <c r="U231" s="251"/>
    </row>
    <row r="232" customFormat="false" ht="15" hidden="true" customHeight="false" outlineLevel="0" collapsed="false">
      <c r="A232" s="251"/>
      <c r="B232" s="242" t="n">
        <v>2021</v>
      </c>
      <c r="C232" s="251" t="n">
        <v>11</v>
      </c>
      <c r="D232" s="260" t="s">
        <v>36</v>
      </c>
      <c r="E232" s="261" t="n">
        <v>15394555838</v>
      </c>
      <c r="F232" s="261" t="n">
        <v>95580195</v>
      </c>
      <c r="G232" s="262" t="n">
        <v>1</v>
      </c>
      <c r="H232" s="263" t="s">
        <v>48</v>
      </c>
      <c r="I232" s="264" t="n">
        <v>0</v>
      </c>
      <c r="J232" s="264" t="n">
        <v>4000</v>
      </c>
      <c r="K232" s="264" t="n">
        <v>0</v>
      </c>
      <c r="L232" s="264" t="n">
        <v>4000</v>
      </c>
      <c r="M232" s="264" t="n">
        <v>4000</v>
      </c>
      <c r="N232" s="264"/>
      <c r="O232" s="264" t="s">
        <v>273</v>
      </c>
      <c r="P232" s="264"/>
      <c r="Q232" s="265" t="n">
        <v>30</v>
      </c>
      <c r="R232" s="265"/>
      <c r="S232" s="264" t="s">
        <v>273</v>
      </c>
      <c r="T232" s="251"/>
      <c r="U232" s="251"/>
    </row>
    <row r="233" s="266" customFormat="true" ht="15" hidden="true" customHeight="false" outlineLevel="0" collapsed="false">
      <c r="A233" s="251"/>
      <c r="B233" s="242" t="n">
        <v>2021</v>
      </c>
      <c r="C233" s="251" t="n">
        <v>11</v>
      </c>
      <c r="D233" s="252" t="s">
        <v>44</v>
      </c>
      <c r="E233" s="253" t="n">
        <v>33853146700</v>
      </c>
      <c r="F233" s="253" t="n">
        <v>96959868</v>
      </c>
      <c r="G233" s="254" t="n">
        <v>1</v>
      </c>
      <c r="H233" s="255" t="s">
        <v>247</v>
      </c>
      <c r="I233" s="256" t="n">
        <v>2868.25</v>
      </c>
      <c r="J233" s="256" t="n">
        <v>5000</v>
      </c>
      <c r="K233" s="256" t="n">
        <v>2868.25</v>
      </c>
      <c r="L233" s="256" t="n">
        <v>1346</v>
      </c>
      <c r="M233" s="256" t="n">
        <v>4214.25</v>
      </c>
      <c r="N233" s="256" t="n">
        <v>-600</v>
      </c>
      <c r="O233" s="256" t="s">
        <v>274</v>
      </c>
      <c r="P233" s="256"/>
      <c r="Q233" s="258" t="n">
        <v>2</v>
      </c>
      <c r="R233" s="258"/>
      <c r="S233" s="256" t="s">
        <v>274</v>
      </c>
      <c r="T233" s="251"/>
      <c r="U233" s="251"/>
    </row>
    <row r="234" customFormat="false" ht="15" hidden="true" customHeight="false" outlineLevel="0" collapsed="false">
      <c r="A234" s="251"/>
      <c r="B234" s="242" t="n">
        <v>2021</v>
      </c>
      <c r="C234" s="251" t="n">
        <v>11</v>
      </c>
      <c r="D234" s="252" t="s">
        <v>44</v>
      </c>
      <c r="E234" s="253" t="n">
        <v>51994540164</v>
      </c>
      <c r="F234" s="253" t="n">
        <v>96900867</v>
      </c>
      <c r="G234" s="254" t="n">
        <v>1</v>
      </c>
      <c r="H234" s="255" t="s">
        <v>97</v>
      </c>
      <c r="I234" s="256" t="n">
        <v>2825.9</v>
      </c>
      <c r="J234" s="256" t="n">
        <v>2825.9</v>
      </c>
      <c r="K234" s="256" t="n">
        <v>2825.9</v>
      </c>
      <c r="L234" s="256" t="n">
        <v>0</v>
      </c>
      <c r="M234" s="256" t="n">
        <v>2825.9</v>
      </c>
      <c r="N234" s="256"/>
      <c r="O234" s="256" t="s">
        <v>272</v>
      </c>
      <c r="P234" s="256"/>
      <c r="Q234" s="258"/>
      <c r="R234" s="258"/>
      <c r="S234" s="256" t="s">
        <v>272</v>
      </c>
      <c r="T234" s="251"/>
      <c r="U234" s="251"/>
    </row>
    <row r="235" customFormat="false" ht="15" hidden="true" customHeight="false" outlineLevel="0" collapsed="false">
      <c r="A235" s="251"/>
      <c r="B235" s="242" t="n">
        <v>2021</v>
      </c>
      <c r="C235" s="251" t="n">
        <v>11</v>
      </c>
      <c r="D235" s="252" t="s">
        <v>44</v>
      </c>
      <c r="E235" s="253" t="n">
        <v>52657562356</v>
      </c>
      <c r="F235" s="253" t="n">
        <v>97011710</v>
      </c>
      <c r="G235" s="254" t="n">
        <v>1</v>
      </c>
      <c r="H235" s="255" t="s">
        <v>248</v>
      </c>
      <c r="I235" s="256" t="n">
        <v>2825.9</v>
      </c>
      <c r="J235" s="256" t="n">
        <v>2825.9</v>
      </c>
      <c r="K235" s="256" t="n">
        <v>2825.9</v>
      </c>
      <c r="L235" s="256" t="n">
        <v>0</v>
      </c>
      <c r="M235" s="256" t="n">
        <v>2825.9</v>
      </c>
      <c r="N235" s="256"/>
      <c r="O235" s="256" t="s">
        <v>272</v>
      </c>
      <c r="P235" s="256"/>
      <c r="Q235" s="258"/>
      <c r="R235" s="258"/>
      <c r="S235" s="256" t="s">
        <v>272</v>
      </c>
      <c r="T235" s="251"/>
      <c r="U235" s="251"/>
    </row>
    <row r="236" customFormat="false" ht="15" hidden="true" customHeight="false" outlineLevel="0" collapsed="false">
      <c r="A236" s="251"/>
      <c r="B236" s="242" t="n">
        <v>2021</v>
      </c>
      <c r="C236" s="251" t="n">
        <v>11</v>
      </c>
      <c r="D236" s="252" t="s">
        <v>36</v>
      </c>
      <c r="E236" s="253" t="n">
        <v>10459950610</v>
      </c>
      <c r="F236" s="253" t="n">
        <v>97226520</v>
      </c>
      <c r="G236" s="254" t="n">
        <v>1</v>
      </c>
      <c r="H236" s="255" t="s">
        <v>195</v>
      </c>
      <c r="I236" s="256" t="n">
        <v>3411.22</v>
      </c>
      <c r="J236" s="256" t="n">
        <v>4500</v>
      </c>
      <c r="K236" s="256" t="n">
        <v>3411.22</v>
      </c>
      <c r="L236" s="256" t="n">
        <v>900</v>
      </c>
      <c r="M236" s="256" t="n">
        <v>4311.22</v>
      </c>
      <c r="N236" s="256"/>
      <c r="O236" s="256" t="s">
        <v>274</v>
      </c>
      <c r="P236" s="256"/>
      <c r="Q236" s="258" t="n">
        <v>2</v>
      </c>
      <c r="R236" s="256"/>
      <c r="S236" s="256" t="s">
        <v>274</v>
      </c>
      <c r="T236" s="251"/>
      <c r="U236" s="251"/>
    </row>
    <row r="237" customFormat="false" ht="15" hidden="true" customHeight="false" outlineLevel="0" collapsed="false">
      <c r="A237" s="251"/>
      <c r="B237" s="242" t="n">
        <v>2021</v>
      </c>
      <c r="C237" s="251" t="n">
        <v>11</v>
      </c>
      <c r="D237" s="252" t="s">
        <v>44</v>
      </c>
      <c r="E237" s="253" t="n">
        <v>23713484608</v>
      </c>
      <c r="F237" s="253" t="n">
        <v>97189681</v>
      </c>
      <c r="G237" s="254" t="n">
        <v>1</v>
      </c>
      <c r="H237" s="255" t="s">
        <v>100</v>
      </c>
      <c r="I237" s="256" t="n">
        <v>3600</v>
      </c>
      <c r="J237" s="256" t="n">
        <v>4000</v>
      </c>
      <c r="K237" s="256" t="n">
        <v>3600</v>
      </c>
      <c r="L237" s="256" t="n">
        <v>400</v>
      </c>
      <c r="M237" s="256" t="n">
        <v>4000</v>
      </c>
      <c r="N237" s="256"/>
      <c r="O237" s="256" t="s">
        <v>272</v>
      </c>
      <c r="P237" s="256"/>
      <c r="Q237" s="258"/>
      <c r="R237" s="256"/>
      <c r="S237" s="256" t="s">
        <v>272</v>
      </c>
      <c r="T237" s="251"/>
      <c r="U237" s="251"/>
    </row>
    <row r="238" customFormat="false" ht="15" hidden="true" customHeight="false" outlineLevel="0" collapsed="false">
      <c r="A238" s="251"/>
      <c r="B238" s="242" t="n">
        <v>2021</v>
      </c>
      <c r="C238" s="251" t="n">
        <v>11</v>
      </c>
      <c r="D238" s="252" t="s">
        <v>44</v>
      </c>
      <c r="E238" s="253" t="n">
        <v>17891875174</v>
      </c>
      <c r="F238" s="253" t="n">
        <v>6214238</v>
      </c>
      <c r="G238" s="254" t="n">
        <v>1</v>
      </c>
      <c r="H238" s="255" t="s">
        <v>190</v>
      </c>
      <c r="I238" s="256" t="n">
        <v>3300</v>
      </c>
      <c r="J238" s="256" t="n">
        <v>3300</v>
      </c>
      <c r="K238" s="256" t="n">
        <v>3300</v>
      </c>
      <c r="L238" s="256" t="n">
        <v>0</v>
      </c>
      <c r="M238" s="256" t="n">
        <v>3300</v>
      </c>
      <c r="N238" s="256"/>
      <c r="O238" s="256" t="s">
        <v>272</v>
      </c>
      <c r="P238" s="256"/>
      <c r="Q238" s="258"/>
      <c r="R238" s="256"/>
      <c r="S238" s="256" t="s">
        <v>272</v>
      </c>
      <c r="T238" s="251"/>
      <c r="U238" s="251"/>
    </row>
    <row r="239" customFormat="false" ht="15" hidden="true" customHeight="false" outlineLevel="0" collapsed="false">
      <c r="A239" s="251"/>
      <c r="B239" s="242" t="n">
        <v>2021</v>
      </c>
      <c r="C239" s="251" t="n">
        <v>11</v>
      </c>
      <c r="D239" s="252" t="s">
        <v>44</v>
      </c>
      <c r="E239" s="253" t="n">
        <v>13345619462</v>
      </c>
      <c r="F239" s="253" t="n">
        <v>0</v>
      </c>
      <c r="G239" s="254" t="n">
        <v>0</v>
      </c>
      <c r="H239" s="255" t="s">
        <v>71</v>
      </c>
      <c r="I239" s="256" t="n">
        <v>3053.97</v>
      </c>
      <c r="J239" s="256" t="n">
        <v>4000</v>
      </c>
      <c r="K239" s="256" t="n">
        <v>3053.97</v>
      </c>
      <c r="L239" s="256" t="n">
        <v>946.03</v>
      </c>
      <c r="M239" s="256" t="n">
        <v>4000</v>
      </c>
      <c r="N239" s="256"/>
      <c r="O239" s="256" t="s">
        <v>272</v>
      </c>
      <c r="P239" s="256"/>
      <c r="Q239" s="258"/>
      <c r="R239" s="256"/>
      <c r="S239" s="256" t="s">
        <v>272</v>
      </c>
      <c r="T239" s="251"/>
      <c r="U239" s="251"/>
    </row>
    <row r="240" customFormat="false" ht="15" hidden="true" customHeight="false" outlineLevel="0" collapsed="false">
      <c r="A240" s="241"/>
      <c r="B240" s="242" t="n">
        <v>2021</v>
      </c>
      <c r="C240" s="251" t="n">
        <v>11</v>
      </c>
      <c r="D240" s="243" t="s">
        <v>44</v>
      </c>
      <c r="E240" s="244" t="n">
        <v>0</v>
      </c>
      <c r="F240" s="244" t="n">
        <v>0</v>
      </c>
      <c r="G240" s="245" t="n">
        <v>0</v>
      </c>
      <c r="H240" s="248" t="s">
        <v>267</v>
      </c>
      <c r="I240" s="246" t="n">
        <v>0</v>
      </c>
      <c r="J240" s="246" t="n">
        <v>3300</v>
      </c>
      <c r="K240" s="246" t="n">
        <v>0</v>
      </c>
      <c r="L240" s="246" t="n">
        <v>3300</v>
      </c>
      <c r="M240" s="246" t="n">
        <v>3300</v>
      </c>
      <c r="N240" s="246"/>
      <c r="O240" s="246"/>
      <c r="P240" s="246"/>
      <c r="Q240" s="246"/>
      <c r="R240" s="246"/>
      <c r="S240" s="246"/>
      <c r="T240" s="241"/>
      <c r="U240" s="241"/>
    </row>
    <row r="241" customFormat="false" ht="15" hidden="true" customHeight="false" outlineLevel="0" collapsed="false">
      <c r="A241" s="251"/>
      <c r="B241" s="242" t="n">
        <v>2021</v>
      </c>
      <c r="C241" s="251" t="n">
        <v>11</v>
      </c>
      <c r="D241" s="252" t="s">
        <v>36</v>
      </c>
      <c r="E241" s="253" t="n">
        <v>11707921468</v>
      </c>
      <c r="F241" s="253" t="n">
        <v>94987081</v>
      </c>
      <c r="G241" s="254" t="n">
        <v>1</v>
      </c>
      <c r="H241" s="255" t="s">
        <v>45</v>
      </c>
      <c r="I241" s="256" t="n">
        <v>3106.17</v>
      </c>
      <c r="J241" s="256" t="n">
        <v>4000</v>
      </c>
      <c r="K241" s="256" t="n">
        <v>3106.17</v>
      </c>
      <c r="L241" s="256" t="n">
        <v>400</v>
      </c>
      <c r="M241" s="256" t="n">
        <v>3506.17</v>
      </c>
      <c r="N241" s="256"/>
      <c r="O241" s="256"/>
      <c r="P241" s="256"/>
      <c r="Q241" s="258" t="n">
        <v>4</v>
      </c>
      <c r="R241" s="256"/>
      <c r="S241" s="256"/>
      <c r="T241" s="251"/>
      <c r="U241" s="251"/>
    </row>
    <row r="242" customFormat="false" ht="15" hidden="true" customHeight="false" outlineLevel="0" collapsed="false">
      <c r="A242" s="251"/>
      <c r="B242" s="242" t="n">
        <v>2021</v>
      </c>
      <c r="C242" s="251" t="n">
        <v>11</v>
      </c>
      <c r="D242" s="252" t="s">
        <v>44</v>
      </c>
      <c r="E242" s="253" t="n">
        <v>0</v>
      </c>
      <c r="F242" s="253" t="n">
        <v>0</v>
      </c>
      <c r="G242" s="254" t="n">
        <v>0</v>
      </c>
      <c r="H242" s="255" t="s">
        <v>102</v>
      </c>
      <c r="I242" s="256" t="n">
        <v>0</v>
      </c>
      <c r="J242" s="256" t="n">
        <v>0</v>
      </c>
      <c r="K242" s="256" t="n">
        <v>0</v>
      </c>
      <c r="L242" s="256" t="n">
        <v>2533</v>
      </c>
      <c r="M242" s="256" t="n">
        <v>2533</v>
      </c>
      <c r="N242" s="256"/>
      <c r="O242" s="256" t="s">
        <v>275</v>
      </c>
      <c r="P242" s="256"/>
      <c r="Q242" s="258" t="n">
        <v>19</v>
      </c>
      <c r="R242" s="256"/>
      <c r="S242" s="256" t="s">
        <v>275</v>
      </c>
      <c r="T242" s="251"/>
      <c r="U242" s="251"/>
    </row>
    <row r="243" customFormat="false" ht="15" hidden="true" customHeight="false" outlineLevel="0" collapsed="false">
      <c r="A243" s="251"/>
      <c r="B243" s="242" t="n">
        <v>2021</v>
      </c>
      <c r="C243" s="251" t="n">
        <v>11</v>
      </c>
      <c r="D243" s="252" t="s">
        <v>44</v>
      </c>
      <c r="E243" s="253" t="n">
        <v>0</v>
      </c>
      <c r="F243" s="253" t="n">
        <v>0</v>
      </c>
      <c r="G243" s="254" t="n">
        <v>0</v>
      </c>
      <c r="H243" s="255" t="s">
        <v>276</v>
      </c>
      <c r="I243" s="256" t="n">
        <v>0</v>
      </c>
      <c r="J243" s="256" t="n">
        <v>0</v>
      </c>
      <c r="K243" s="256" t="n">
        <v>0</v>
      </c>
      <c r="L243" s="256" t="n">
        <v>533</v>
      </c>
      <c r="M243" s="256" t="n">
        <v>533</v>
      </c>
      <c r="N243" s="256"/>
      <c r="O243" s="256" t="s">
        <v>275</v>
      </c>
      <c r="P243" s="256"/>
      <c r="Q243" s="258" t="n">
        <v>4</v>
      </c>
      <c r="R243" s="256"/>
      <c r="S243" s="256" t="s">
        <v>275</v>
      </c>
      <c r="T243" s="251"/>
      <c r="U243" s="251"/>
    </row>
    <row r="244" customFormat="false" ht="15" hidden="true" customHeight="false" outlineLevel="0" collapsed="false">
      <c r="A244" s="251"/>
      <c r="B244" s="242" t="n">
        <v>2021</v>
      </c>
      <c r="C244" s="251" t="n">
        <v>11</v>
      </c>
      <c r="D244" s="252" t="s">
        <v>36</v>
      </c>
      <c r="E244" s="253" t="n">
        <v>0</v>
      </c>
      <c r="F244" s="253" t="n">
        <v>0</v>
      </c>
      <c r="G244" s="254" t="n">
        <v>0</v>
      </c>
      <c r="H244" s="255" t="s">
        <v>135</v>
      </c>
      <c r="I244" s="256" t="n">
        <v>0</v>
      </c>
      <c r="J244" s="256" t="n">
        <v>4000</v>
      </c>
      <c r="K244" s="256" t="n">
        <v>0</v>
      </c>
      <c r="L244" s="256" t="n">
        <v>4000</v>
      </c>
      <c r="M244" s="256" t="n">
        <v>4000</v>
      </c>
      <c r="N244" s="256"/>
      <c r="O244" s="256"/>
      <c r="P244" s="256"/>
      <c r="Q244" s="258"/>
      <c r="R244" s="256"/>
      <c r="S244" s="256"/>
      <c r="T244" s="251"/>
      <c r="U244" s="251"/>
    </row>
    <row r="245" customFormat="false" ht="15" hidden="true" customHeight="false" outlineLevel="0" collapsed="false">
      <c r="A245" s="251"/>
      <c r="B245" s="242" t="n">
        <v>2021</v>
      </c>
      <c r="C245" s="251" t="n">
        <v>11</v>
      </c>
      <c r="D245" s="252" t="s">
        <v>36</v>
      </c>
      <c r="E245" s="253" t="n">
        <v>0</v>
      </c>
      <c r="F245" s="253" t="n">
        <v>0</v>
      </c>
      <c r="G245" s="254" t="n">
        <v>0</v>
      </c>
      <c r="H245" s="255" t="s">
        <v>277</v>
      </c>
      <c r="I245" s="256" t="n">
        <v>0</v>
      </c>
      <c r="J245" s="256" t="n">
        <v>3000</v>
      </c>
      <c r="K245" s="256" t="n">
        <v>0</v>
      </c>
      <c r="L245" s="256" t="n">
        <v>3000</v>
      </c>
      <c r="M245" s="256" t="n">
        <v>3000</v>
      </c>
      <c r="N245" s="256"/>
      <c r="O245" s="256"/>
      <c r="P245" s="256"/>
      <c r="Q245" s="258"/>
      <c r="R245" s="256"/>
      <c r="S245" s="256"/>
      <c r="T245" s="251"/>
      <c r="U245" s="251"/>
    </row>
    <row r="246" customFormat="false" ht="15" hidden="true" customHeight="false" outlineLevel="0" collapsed="false">
      <c r="B246" s="267" t="n">
        <v>2021</v>
      </c>
      <c r="C246" s="268" t="n">
        <v>12</v>
      </c>
      <c r="D246" s="226" t="s">
        <v>44</v>
      </c>
      <c r="E246" s="221" t="n">
        <v>28699369338</v>
      </c>
      <c r="F246" s="221" t="n">
        <v>96358353</v>
      </c>
      <c r="G246" s="269" t="n">
        <v>1</v>
      </c>
      <c r="H246" s="270" t="s">
        <v>79</v>
      </c>
      <c r="I246" s="228" t="n">
        <v>3010.49</v>
      </c>
      <c r="J246" s="228" t="n">
        <v>1833.33</v>
      </c>
      <c r="K246" s="228" t="n">
        <v>10</v>
      </c>
      <c r="L246" s="228"/>
      <c r="M246" s="228" t="n">
        <v>3010.49</v>
      </c>
      <c r="N246" s="228" t="s">
        <v>278</v>
      </c>
      <c r="O246" s="228" t="s">
        <v>278</v>
      </c>
      <c r="P246" s="228"/>
      <c r="Q246" s="271"/>
      <c r="R246" s="271"/>
      <c r="S246" s="228" t="s">
        <v>278</v>
      </c>
    </row>
    <row r="247" customFormat="false" ht="15" hidden="true" customHeight="false" outlineLevel="0" collapsed="false">
      <c r="B247" s="267" t="n">
        <v>2021</v>
      </c>
      <c r="C247" s="268" t="n">
        <v>12</v>
      </c>
      <c r="D247" s="226" t="s">
        <v>44</v>
      </c>
      <c r="E247" s="221" t="n">
        <v>63097169876</v>
      </c>
      <c r="F247" s="221" t="n">
        <v>96843148</v>
      </c>
      <c r="G247" s="269" t="n">
        <v>1</v>
      </c>
      <c r="H247" s="272" t="s">
        <v>122</v>
      </c>
      <c r="I247" s="273" t="n">
        <v>3053.97</v>
      </c>
      <c r="J247" s="228" t="n">
        <v>1946.03</v>
      </c>
      <c r="K247" s="228"/>
      <c r="L247" s="228"/>
      <c r="M247" s="228" t="n">
        <v>3053.97</v>
      </c>
      <c r="N247" s="228"/>
      <c r="O247" s="228"/>
      <c r="P247" s="228"/>
      <c r="Q247" s="271"/>
      <c r="R247" s="271"/>
      <c r="S247" s="228"/>
    </row>
    <row r="248" customFormat="false" ht="15" hidden="true" customHeight="false" outlineLevel="0" collapsed="false">
      <c r="B248" s="267" t="n">
        <v>2021</v>
      </c>
      <c r="C248" s="268" t="n">
        <v>12</v>
      </c>
      <c r="D248" s="226" t="s">
        <v>44</v>
      </c>
      <c r="E248" s="221" t="n">
        <v>36826974454</v>
      </c>
      <c r="F248" s="221" t="n">
        <v>95573006</v>
      </c>
      <c r="G248" s="269" t="n">
        <v>1</v>
      </c>
      <c r="H248" s="272" t="s">
        <v>188</v>
      </c>
      <c r="I248" s="228" t="n">
        <v>3313.72</v>
      </c>
      <c r="J248" s="228" t="n">
        <v>0</v>
      </c>
      <c r="K248" s="228"/>
      <c r="L248" s="228"/>
      <c r="M248" s="228" t="n">
        <v>3313.72</v>
      </c>
      <c r="N248" s="228"/>
      <c r="O248" s="228"/>
      <c r="P248" s="228"/>
      <c r="Q248" s="271"/>
      <c r="R248" s="271"/>
      <c r="S248" s="228"/>
    </row>
    <row r="249" customFormat="false" ht="15" hidden="true" customHeight="false" outlineLevel="0" collapsed="false">
      <c r="B249" s="267" t="n">
        <v>2021</v>
      </c>
      <c r="C249" s="268" t="n">
        <v>12</v>
      </c>
      <c r="D249" s="226" t="s">
        <v>44</v>
      </c>
      <c r="E249" s="221" t="n">
        <v>17630785580</v>
      </c>
      <c r="F249" s="221" t="n">
        <v>95529415</v>
      </c>
      <c r="G249" s="269" t="n">
        <v>1</v>
      </c>
      <c r="H249" s="272" t="s">
        <v>81</v>
      </c>
      <c r="I249" s="228" t="n">
        <v>3188.13</v>
      </c>
      <c r="J249" s="228" t="n">
        <v>8000</v>
      </c>
      <c r="K249" s="228"/>
      <c r="L249" s="228"/>
      <c r="M249" s="228" t="n">
        <v>3188.13</v>
      </c>
      <c r="N249" s="228"/>
      <c r="O249" s="228"/>
      <c r="P249" s="228"/>
      <c r="Q249" s="271"/>
      <c r="R249" s="271"/>
      <c r="S249" s="228"/>
    </row>
    <row r="250" s="266" customFormat="true" ht="15" hidden="true" customHeight="false" outlineLevel="0" collapsed="false">
      <c r="B250" s="267" t="n">
        <v>2021</v>
      </c>
      <c r="C250" s="268" t="n">
        <v>12</v>
      </c>
      <c r="D250" s="230" t="s">
        <v>44</v>
      </c>
      <c r="E250" s="231" t="n">
        <v>27172394690</v>
      </c>
      <c r="F250" s="231" t="n">
        <v>95702622</v>
      </c>
      <c r="G250" s="232" t="n">
        <v>1</v>
      </c>
      <c r="H250" s="274" t="s">
        <v>72</v>
      </c>
      <c r="I250" s="275" t="n">
        <v>0</v>
      </c>
      <c r="J250" s="275" t="n">
        <v>3500</v>
      </c>
      <c r="K250" s="275"/>
      <c r="L250" s="275"/>
      <c r="M250" s="228" t="n">
        <v>0</v>
      </c>
      <c r="N250" s="228"/>
      <c r="O250" s="275"/>
      <c r="P250" s="275"/>
      <c r="Q250" s="276"/>
      <c r="R250" s="276"/>
      <c r="S250" s="275"/>
    </row>
    <row r="251" customFormat="false" ht="15" hidden="true" customHeight="false" outlineLevel="0" collapsed="false">
      <c r="B251" s="267" t="n">
        <v>2021</v>
      </c>
      <c r="C251" s="268" t="n">
        <v>12</v>
      </c>
      <c r="D251" s="226" t="s">
        <v>44</v>
      </c>
      <c r="E251" s="221" t="n">
        <v>64996156028</v>
      </c>
      <c r="F251" s="221" t="n">
        <v>95539771</v>
      </c>
      <c r="G251" s="269" t="n">
        <v>1</v>
      </c>
      <c r="H251" s="270" t="s">
        <v>55</v>
      </c>
      <c r="I251" s="228" t="n">
        <v>3000</v>
      </c>
      <c r="J251" s="228" t="n">
        <v>0</v>
      </c>
      <c r="K251" s="228"/>
      <c r="L251" s="228"/>
      <c r="M251" s="228" t="n">
        <v>3000</v>
      </c>
      <c r="N251" s="228"/>
      <c r="O251" s="228"/>
      <c r="P251" s="228"/>
      <c r="Q251" s="271"/>
      <c r="R251" s="271"/>
      <c r="S251" s="228"/>
    </row>
    <row r="252" customFormat="false" ht="15" hidden="true" customHeight="false" outlineLevel="0" collapsed="false">
      <c r="B252" s="267" t="n">
        <v>2021</v>
      </c>
      <c r="C252" s="268" t="n">
        <v>12</v>
      </c>
      <c r="D252" s="226" t="s">
        <v>44</v>
      </c>
      <c r="E252" s="221" t="n">
        <v>59233322526</v>
      </c>
      <c r="F252" s="221" t="n">
        <v>96712272</v>
      </c>
      <c r="G252" s="269" t="n">
        <v>1</v>
      </c>
      <c r="H252" s="272" t="s">
        <v>68</v>
      </c>
      <c r="I252" s="228" t="n">
        <v>4100</v>
      </c>
      <c r="J252" s="228" t="n">
        <v>600</v>
      </c>
      <c r="K252" s="228"/>
      <c r="L252" s="228"/>
      <c r="M252" s="228" t="n">
        <v>4100</v>
      </c>
      <c r="N252" s="228" t="s">
        <v>279</v>
      </c>
      <c r="O252" s="228" t="s">
        <v>279</v>
      </c>
      <c r="P252" s="228"/>
      <c r="Q252" s="271"/>
      <c r="R252" s="271"/>
      <c r="S252" s="228" t="s">
        <v>279</v>
      </c>
    </row>
    <row r="253" customFormat="false" ht="15" hidden="true" customHeight="false" outlineLevel="0" collapsed="false">
      <c r="B253" s="267" t="n">
        <v>2021</v>
      </c>
      <c r="C253" s="268" t="n">
        <v>12</v>
      </c>
      <c r="D253" s="226" t="s">
        <v>44</v>
      </c>
      <c r="E253" s="221" t="n">
        <v>55186680706</v>
      </c>
      <c r="F253" s="221" t="n">
        <v>95787183</v>
      </c>
      <c r="G253" s="269" t="n">
        <v>1</v>
      </c>
      <c r="H253" s="270" t="s">
        <v>73</v>
      </c>
      <c r="I253" s="228" t="n">
        <v>1530.4</v>
      </c>
      <c r="J253" s="228" t="n">
        <v>3469.6</v>
      </c>
      <c r="K253" s="228"/>
      <c r="L253" s="228"/>
      <c r="M253" s="228" t="n">
        <v>1530.4</v>
      </c>
      <c r="N253" s="228"/>
      <c r="O253" s="228"/>
      <c r="P253" s="228"/>
      <c r="Q253" s="271"/>
      <c r="R253" s="271"/>
      <c r="S253" s="228"/>
    </row>
    <row r="254" customFormat="false" ht="15" hidden="true" customHeight="false" outlineLevel="0" collapsed="false">
      <c r="B254" s="267" t="n">
        <v>2021</v>
      </c>
      <c r="C254" s="268" t="n">
        <v>12</v>
      </c>
      <c r="D254" s="226" t="s">
        <v>44</v>
      </c>
      <c r="E254" s="221" t="n">
        <v>21242693324</v>
      </c>
      <c r="F254" s="221" t="n">
        <v>95532064</v>
      </c>
      <c r="G254" s="269" t="n">
        <v>1</v>
      </c>
      <c r="H254" s="272" t="s">
        <v>85</v>
      </c>
      <c r="I254" s="228" t="n">
        <v>3600</v>
      </c>
      <c r="J254" s="228" t="n">
        <v>0</v>
      </c>
      <c r="K254" s="228"/>
      <c r="L254" s="228"/>
      <c r="M254" s="228" t="n">
        <v>3600</v>
      </c>
      <c r="N254" s="228"/>
      <c r="O254" s="228"/>
      <c r="P254" s="228"/>
      <c r="Q254" s="271"/>
      <c r="R254" s="271"/>
      <c r="S254" s="228"/>
    </row>
    <row r="255" customFormat="false" ht="15" hidden="true" customHeight="false" outlineLevel="0" collapsed="false">
      <c r="B255" s="267" t="n">
        <v>2021</v>
      </c>
      <c r="C255" s="268" t="n">
        <v>12</v>
      </c>
      <c r="D255" s="226" t="s">
        <v>44</v>
      </c>
      <c r="E255" s="221" t="n">
        <v>17159801204</v>
      </c>
      <c r="F255" s="221" t="n">
        <v>95532066</v>
      </c>
      <c r="G255" s="269" t="n">
        <v>1</v>
      </c>
      <c r="H255" s="272" t="s">
        <v>87</v>
      </c>
      <c r="I255" s="228" t="n">
        <v>3600</v>
      </c>
      <c r="J255" s="228" t="n">
        <v>0</v>
      </c>
      <c r="K255" s="228"/>
      <c r="L255" s="228"/>
      <c r="M255" s="228" t="n">
        <v>3600</v>
      </c>
      <c r="N255" s="228"/>
      <c r="O255" s="228"/>
      <c r="P255" s="228"/>
      <c r="Q255" s="271"/>
      <c r="R255" s="271"/>
      <c r="S255" s="228"/>
    </row>
    <row r="256" customFormat="false" ht="24" hidden="true" customHeight="true" outlineLevel="0" collapsed="false">
      <c r="B256" s="267" t="n">
        <v>2021</v>
      </c>
      <c r="C256" s="268" t="n">
        <v>12</v>
      </c>
      <c r="D256" s="226" t="s">
        <v>44</v>
      </c>
      <c r="E256" s="221" t="n">
        <v>66385338732</v>
      </c>
      <c r="F256" s="221" t="n">
        <v>96717247</v>
      </c>
      <c r="G256" s="269" t="n">
        <v>1</v>
      </c>
      <c r="H256" s="272" t="s">
        <v>52</v>
      </c>
      <c r="I256" s="228" t="n">
        <v>2125</v>
      </c>
      <c r="J256" s="228" t="n">
        <v>175</v>
      </c>
      <c r="K256" s="228"/>
      <c r="L256" s="228"/>
      <c r="M256" s="228" t="n">
        <v>2125</v>
      </c>
      <c r="N256" s="277" t="s">
        <v>270</v>
      </c>
      <c r="O256" s="277" t="s">
        <v>270</v>
      </c>
      <c r="P256" s="228"/>
      <c r="Q256" s="271"/>
      <c r="R256" s="271"/>
      <c r="S256" s="278" t="s">
        <v>270</v>
      </c>
    </row>
    <row r="257" customFormat="false" ht="15" hidden="true" customHeight="false" outlineLevel="0" collapsed="false">
      <c r="B257" s="267" t="n">
        <v>2021</v>
      </c>
      <c r="C257" s="268" t="n">
        <v>12</v>
      </c>
      <c r="D257" s="226" t="s">
        <v>44</v>
      </c>
      <c r="E257" s="221" t="n">
        <v>23764482950</v>
      </c>
      <c r="F257" s="221" t="n">
        <v>95532077</v>
      </c>
      <c r="G257" s="269" t="n">
        <v>1</v>
      </c>
      <c r="H257" s="272" t="s">
        <v>93</v>
      </c>
      <c r="I257" s="228" t="n">
        <v>547</v>
      </c>
      <c r="J257" s="228" t="n">
        <v>3953</v>
      </c>
      <c r="K257" s="228" t="n">
        <v>25</v>
      </c>
      <c r="L257" s="228" t="n">
        <v>1</v>
      </c>
      <c r="M257" s="228" t="n">
        <v>548</v>
      </c>
      <c r="N257" s="228" t="s">
        <v>280</v>
      </c>
      <c r="O257" s="228" t="s">
        <v>280</v>
      </c>
      <c r="P257" s="228"/>
      <c r="Q257" s="271"/>
      <c r="R257" s="271"/>
      <c r="S257" s="228" t="s">
        <v>280</v>
      </c>
    </row>
    <row r="258" customFormat="false" ht="15" hidden="true" customHeight="false" outlineLevel="0" collapsed="false">
      <c r="B258" s="267" t="n">
        <v>2021</v>
      </c>
      <c r="C258" s="268" t="n">
        <v>12</v>
      </c>
      <c r="D258" s="226" t="s">
        <v>36</v>
      </c>
      <c r="E258" s="221" t="n">
        <v>25672444846</v>
      </c>
      <c r="F258" s="221" t="n">
        <v>95693810</v>
      </c>
      <c r="G258" s="269" t="n">
        <v>1</v>
      </c>
      <c r="H258" s="272" t="s">
        <v>245</v>
      </c>
      <c r="I258" s="228" t="n">
        <v>3600</v>
      </c>
      <c r="J258" s="228" t="n">
        <v>900</v>
      </c>
      <c r="K258" s="228"/>
      <c r="L258" s="228" t="n">
        <v>1</v>
      </c>
      <c r="M258" s="228" t="n">
        <v>3601</v>
      </c>
      <c r="N258" s="228" t="s">
        <v>280</v>
      </c>
      <c r="O258" s="228" t="s">
        <v>280</v>
      </c>
      <c r="P258" s="228"/>
      <c r="Q258" s="271"/>
      <c r="R258" s="271"/>
      <c r="S258" s="228" t="s">
        <v>280</v>
      </c>
    </row>
    <row r="259" customFormat="false" ht="15" hidden="true" customHeight="false" outlineLevel="0" collapsed="false">
      <c r="B259" s="267" t="n">
        <v>2021</v>
      </c>
      <c r="C259" s="268" t="n">
        <v>12</v>
      </c>
      <c r="D259" s="279" t="s">
        <v>36</v>
      </c>
      <c r="E259" s="280" t="n">
        <v>15394555838</v>
      </c>
      <c r="F259" s="280" t="n">
        <v>95580195</v>
      </c>
      <c r="G259" s="281" t="n">
        <v>1</v>
      </c>
      <c r="H259" s="282" t="s">
        <v>48</v>
      </c>
      <c r="I259" s="283" t="n">
        <v>0</v>
      </c>
      <c r="J259" s="283" t="n">
        <v>4000</v>
      </c>
      <c r="K259" s="283" t="n">
        <v>30</v>
      </c>
      <c r="L259" s="283"/>
      <c r="M259" s="228" t="n">
        <v>0</v>
      </c>
      <c r="N259" s="228" t="s">
        <v>281</v>
      </c>
      <c r="O259" s="283" t="s">
        <v>281</v>
      </c>
      <c r="P259" s="283"/>
      <c r="Q259" s="284"/>
      <c r="R259" s="284"/>
      <c r="S259" s="283" t="s">
        <v>281</v>
      </c>
    </row>
    <row r="260" customFormat="false" ht="15" hidden="true" customHeight="false" outlineLevel="0" collapsed="false">
      <c r="B260" s="267" t="n">
        <v>2021</v>
      </c>
      <c r="C260" s="268" t="n">
        <v>12</v>
      </c>
      <c r="D260" s="226" t="s">
        <v>44</v>
      </c>
      <c r="E260" s="221" t="n">
        <v>33853146700</v>
      </c>
      <c r="F260" s="221" t="n">
        <v>96959868</v>
      </c>
      <c r="G260" s="269" t="n">
        <v>1</v>
      </c>
      <c r="H260" s="272" t="s">
        <v>247</v>
      </c>
      <c r="I260" s="228" t="n">
        <v>3053.97</v>
      </c>
      <c r="J260" s="228" t="n">
        <v>946.03</v>
      </c>
      <c r="K260" s="228"/>
      <c r="L260" s="228"/>
      <c r="M260" s="228" t="n">
        <v>3053.97</v>
      </c>
      <c r="N260" s="228"/>
      <c r="O260" s="228"/>
      <c r="P260" s="228"/>
      <c r="Q260" s="271"/>
      <c r="R260" s="271"/>
      <c r="S260" s="228"/>
    </row>
    <row r="261" customFormat="false" ht="15" hidden="true" customHeight="false" outlineLevel="0" collapsed="false">
      <c r="B261" s="267" t="n">
        <v>2021</v>
      </c>
      <c r="C261" s="268" t="n">
        <v>12</v>
      </c>
      <c r="D261" s="226" t="s">
        <v>44</v>
      </c>
      <c r="E261" s="221" t="n">
        <v>51994540164</v>
      </c>
      <c r="F261" s="221" t="n">
        <v>96900867</v>
      </c>
      <c r="G261" s="269" t="n">
        <v>1</v>
      </c>
      <c r="H261" s="272" t="s">
        <v>97</v>
      </c>
      <c r="I261" s="228" t="n">
        <v>2825.9</v>
      </c>
      <c r="J261" s="228" t="n">
        <v>0</v>
      </c>
      <c r="K261" s="228"/>
      <c r="L261" s="228"/>
      <c r="M261" s="228" t="n">
        <v>2825.9</v>
      </c>
      <c r="N261" s="228"/>
      <c r="O261" s="228"/>
      <c r="P261" s="228"/>
      <c r="Q261" s="271"/>
      <c r="R261" s="271"/>
      <c r="S261" s="228"/>
    </row>
    <row r="262" customFormat="false" ht="15" hidden="true" customHeight="false" outlineLevel="0" collapsed="false">
      <c r="B262" s="267" t="n">
        <v>2021</v>
      </c>
      <c r="C262" s="268" t="n">
        <v>12</v>
      </c>
      <c r="D262" s="226" t="s">
        <v>44</v>
      </c>
      <c r="E262" s="221" t="n">
        <v>52657562356</v>
      </c>
      <c r="F262" s="221" t="n">
        <v>97011710</v>
      </c>
      <c r="G262" s="269" t="n">
        <v>1</v>
      </c>
      <c r="H262" s="272" t="s">
        <v>248</v>
      </c>
      <c r="I262" s="228" t="n">
        <v>2825.9</v>
      </c>
      <c r="J262" s="228" t="n">
        <v>0</v>
      </c>
      <c r="K262" s="228"/>
      <c r="L262" s="228"/>
      <c r="M262" s="228" t="n">
        <v>2825.9</v>
      </c>
      <c r="N262" s="228"/>
      <c r="O262" s="228"/>
      <c r="P262" s="228"/>
      <c r="Q262" s="271"/>
      <c r="R262" s="271"/>
      <c r="S262" s="228"/>
    </row>
    <row r="263" customFormat="false" ht="15" hidden="true" customHeight="false" outlineLevel="0" collapsed="false">
      <c r="B263" s="267" t="n">
        <v>2021</v>
      </c>
      <c r="C263" s="268" t="n">
        <v>12</v>
      </c>
      <c r="D263" s="226" t="s">
        <v>36</v>
      </c>
      <c r="E263" s="221" t="n">
        <v>10459950610</v>
      </c>
      <c r="F263" s="221" t="n">
        <v>97226520</v>
      </c>
      <c r="G263" s="269" t="n">
        <v>1</v>
      </c>
      <c r="H263" s="272" t="s">
        <v>195</v>
      </c>
      <c r="I263" s="228" t="n">
        <v>3600</v>
      </c>
      <c r="J263" s="228" t="n">
        <v>900</v>
      </c>
      <c r="K263" s="228"/>
      <c r="L263" s="228"/>
      <c r="M263" s="228" t="n">
        <v>3600</v>
      </c>
      <c r="N263" s="228"/>
      <c r="O263" s="228"/>
      <c r="P263" s="228"/>
      <c r="Q263" s="271"/>
      <c r="R263" s="228"/>
      <c r="S263" s="228"/>
    </row>
    <row r="264" customFormat="false" ht="15" hidden="true" customHeight="false" outlineLevel="0" collapsed="false">
      <c r="B264" s="267" t="n">
        <v>2021</v>
      </c>
      <c r="C264" s="268" t="n">
        <v>12</v>
      </c>
      <c r="D264" s="226" t="s">
        <v>44</v>
      </c>
      <c r="E264" s="221" t="n">
        <v>23713484608</v>
      </c>
      <c r="F264" s="221" t="n">
        <v>97189681</v>
      </c>
      <c r="G264" s="269" t="n">
        <v>1</v>
      </c>
      <c r="H264" s="272" t="s">
        <v>100</v>
      </c>
      <c r="I264" s="228" t="n">
        <v>3600</v>
      </c>
      <c r="J264" s="228" t="n">
        <v>400</v>
      </c>
      <c r="K264" s="228"/>
      <c r="L264" s="228"/>
      <c r="M264" s="228" t="n">
        <v>3600</v>
      </c>
      <c r="N264" s="228"/>
      <c r="O264" s="228"/>
      <c r="P264" s="228"/>
      <c r="Q264" s="271"/>
      <c r="R264" s="228"/>
      <c r="S264" s="228"/>
    </row>
    <row r="265" customFormat="false" ht="15" hidden="true" customHeight="false" outlineLevel="0" collapsed="false">
      <c r="B265" s="267" t="n">
        <v>2021</v>
      </c>
      <c r="C265" s="268" t="n">
        <v>12</v>
      </c>
      <c r="D265" s="226" t="s">
        <v>44</v>
      </c>
      <c r="E265" s="221" t="n">
        <v>17891875174</v>
      </c>
      <c r="F265" s="221" t="n">
        <v>6214238</v>
      </c>
      <c r="G265" s="269" t="n">
        <v>1</v>
      </c>
      <c r="H265" s="272" t="s">
        <v>190</v>
      </c>
      <c r="I265" s="228" t="n">
        <v>3300</v>
      </c>
      <c r="J265" s="228" t="n">
        <v>0</v>
      </c>
      <c r="K265" s="228"/>
      <c r="L265" s="228"/>
      <c r="M265" s="228" t="n">
        <v>3300</v>
      </c>
      <c r="N265" s="228"/>
      <c r="O265" s="228"/>
      <c r="P265" s="228"/>
      <c r="Q265" s="271"/>
      <c r="R265" s="228"/>
      <c r="S265" s="228"/>
    </row>
    <row r="266" customFormat="false" ht="15" hidden="true" customHeight="false" outlineLevel="0" collapsed="false">
      <c r="B266" s="267" t="n">
        <v>2021</v>
      </c>
      <c r="C266" s="268" t="n">
        <v>12</v>
      </c>
      <c r="D266" s="226" t="s">
        <v>44</v>
      </c>
      <c r="E266" s="221" t="n">
        <v>13345619462</v>
      </c>
      <c r="F266" s="221" t="n">
        <v>97522183</v>
      </c>
      <c r="G266" s="269" t="n">
        <v>1</v>
      </c>
      <c r="H266" s="272" t="s">
        <v>71</v>
      </c>
      <c r="I266" s="228" t="n">
        <v>2961.11</v>
      </c>
      <c r="J266" s="228" t="n">
        <v>946</v>
      </c>
      <c r="K266" s="228" t="n">
        <v>1</v>
      </c>
      <c r="L266" s="228"/>
      <c r="M266" s="228" t="n">
        <v>2961.11</v>
      </c>
      <c r="N266" s="228" t="s">
        <v>281</v>
      </c>
      <c r="O266" s="228" t="s">
        <v>281</v>
      </c>
      <c r="P266" s="228"/>
      <c r="Q266" s="271"/>
      <c r="R266" s="228"/>
      <c r="S266" s="228" t="s">
        <v>281</v>
      </c>
    </row>
    <row r="267" customFormat="false" ht="15" hidden="true" customHeight="false" outlineLevel="0" collapsed="false">
      <c r="A267" s="266"/>
      <c r="B267" s="267" t="n">
        <v>2021</v>
      </c>
      <c r="C267" s="268" t="n">
        <v>12</v>
      </c>
      <c r="D267" s="230" t="s">
        <v>44</v>
      </c>
      <c r="E267" s="231" t="n">
        <v>0</v>
      </c>
      <c r="F267" s="231" t="n">
        <v>0</v>
      </c>
      <c r="G267" s="232" t="n">
        <v>0</v>
      </c>
      <c r="H267" s="274" t="s">
        <v>267</v>
      </c>
      <c r="I267" s="228" t="n">
        <v>0</v>
      </c>
      <c r="J267" s="275" t="n">
        <v>3190</v>
      </c>
      <c r="K267" s="275" t="n">
        <v>1</v>
      </c>
      <c r="L267" s="275"/>
      <c r="M267" s="228" t="n">
        <v>0</v>
      </c>
      <c r="N267" s="228" t="s">
        <v>281</v>
      </c>
      <c r="O267" s="275" t="s">
        <v>281</v>
      </c>
      <c r="P267" s="275"/>
      <c r="Q267" s="271"/>
      <c r="R267" s="275"/>
      <c r="S267" s="275" t="s">
        <v>281</v>
      </c>
      <c r="T267" s="266"/>
      <c r="U267" s="266"/>
    </row>
    <row r="268" customFormat="false" ht="15" hidden="true" customHeight="false" outlineLevel="0" collapsed="false">
      <c r="B268" s="267" t="n">
        <v>2021</v>
      </c>
      <c r="C268" s="268" t="n">
        <v>12</v>
      </c>
      <c r="D268" s="226" t="s">
        <v>36</v>
      </c>
      <c r="E268" s="221" t="n">
        <v>11707921468</v>
      </c>
      <c r="F268" s="221" t="n">
        <v>94987081</v>
      </c>
      <c r="G268" s="269" t="n">
        <v>1</v>
      </c>
      <c r="H268" s="272" t="s">
        <v>45</v>
      </c>
      <c r="I268" s="228" t="n">
        <v>2196.09</v>
      </c>
      <c r="J268" s="228" t="n">
        <v>400</v>
      </c>
      <c r="K268" s="228" t="n">
        <v>4</v>
      </c>
      <c r="L268" s="228"/>
      <c r="M268" s="228" t="n">
        <v>2196.09</v>
      </c>
      <c r="N268" s="228" t="s">
        <v>282</v>
      </c>
      <c r="O268" s="228" t="s">
        <v>282</v>
      </c>
      <c r="P268" s="228"/>
      <c r="Q268" s="271"/>
      <c r="R268" s="228"/>
      <c r="S268" s="228" t="s">
        <v>282</v>
      </c>
    </row>
    <row r="269" customFormat="false" ht="15" hidden="true" customHeight="false" outlineLevel="0" collapsed="false">
      <c r="B269" s="267" t="n">
        <v>2021</v>
      </c>
      <c r="C269" s="268" t="n">
        <v>12</v>
      </c>
      <c r="D269" s="226" t="s">
        <v>44</v>
      </c>
      <c r="E269" s="221" t="n">
        <v>0</v>
      </c>
      <c r="F269" s="221" t="n">
        <v>0</v>
      </c>
      <c r="G269" s="269" t="n">
        <v>0</v>
      </c>
      <c r="H269" s="272" t="s">
        <v>102</v>
      </c>
      <c r="I269" s="228" t="n">
        <v>0</v>
      </c>
      <c r="J269" s="228" t="n">
        <v>4500</v>
      </c>
      <c r="K269" s="228"/>
      <c r="L269" s="228"/>
      <c r="M269" s="228" t="n">
        <v>0</v>
      </c>
      <c r="N269" s="228"/>
      <c r="O269" s="228"/>
      <c r="P269" s="228"/>
      <c r="Q269" s="271"/>
      <c r="R269" s="228"/>
      <c r="S269" s="228"/>
    </row>
    <row r="270" customFormat="false" ht="15" hidden="true" customHeight="false" outlineLevel="0" collapsed="false">
      <c r="B270" s="267" t="n">
        <v>2021</v>
      </c>
      <c r="C270" s="268" t="n">
        <v>12</v>
      </c>
      <c r="D270" s="226" t="s">
        <v>36</v>
      </c>
      <c r="E270" s="221" t="n">
        <v>14233727054</v>
      </c>
      <c r="F270" s="221" t="n">
        <v>97522331</v>
      </c>
      <c r="G270" s="269" t="n">
        <v>1</v>
      </c>
      <c r="H270" s="272" t="s">
        <v>276</v>
      </c>
      <c r="I270" s="228" t="n">
        <v>547</v>
      </c>
      <c r="J270" s="228" t="n">
        <v>3803</v>
      </c>
      <c r="K270" s="228" t="n">
        <v>1</v>
      </c>
      <c r="L270" s="228"/>
      <c r="M270" s="228" t="n">
        <v>547</v>
      </c>
      <c r="N270" s="228" t="s">
        <v>281</v>
      </c>
      <c r="O270" s="228" t="s">
        <v>281</v>
      </c>
      <c r="P270" s="228"/>
      <c r="Q270" s="271"/>
      <c r="R270" s="228"/>
      <c r="S270" s="228" t="s">
        <v>281</v>
      </c>
    </row>
    <row r="271" customFormat="false" ht="15" hidden="true" customHeight="false" outlineLevel="0" collapsed="false">
      <c r="B271" s="267" t="n">
        <v>2021</v>
      </c>
      <c r="C271" s="268" t="n">
        <v>12</v>
      </c>
      <c r="D271" s="226" t="s">
        <v>36</v>
      </c>
      <c r="E271" s="221" t="n">
        <v>0</v>
      </c>
      <c r="F271" s="221" t="n">
        <v>0</v>
      </c>
      <c r="G271" s="269" t="n">
        <v>0</v>
      </c>
      <c r="H271" s="285" t="s">
        <v>135</v>
      </c>
      <c r="I271" s="228" t="n">
        <v>4000</v>
      </c>
      <c r="J271" s="228" t="n">
        <v>0</v>
      </c>
      <c r="K271" s="228"/>
      <c r="L271" s="228"/>
      <c r="M271" s="228" t="n">
        <v>4000</v>
      </c>
      <c r="N271" s="228"/>
      <c r="O271" s="228"/>
      <c r="P271" s="228"/>
      <c r="Q271" s="271"/>
      <c r="R271" s="228"/>
      <c r="S271" s="228"/>
    </row>
    <row r="272" customFormat="false" ht="15" hidden="true" customHeight="false" outlineLevel="0" collapsed="false">
      <c r="B272" s="267" t="n">
        <v>2021</v>
      </c>
      <c r="C272" s="268" t="n">
        <v>12</v>
      </c>
      <c r="D272" s="226" t="s">
        <v>36</v>
      </c>
      <c r="E272" s="221" t="n">
        <v>0</v>
      </c>
      <c r="F272" s="221" t="n">
        <v>0</v>
      </c>
      <c r="G272" s="269" t="n">
        <v>0</v>
      </c>
      <c r="H272" s="285" t="s">
        <v>277</v>
      </c>
      <c r="I272" s="228" t="n">
        <v>3000</v>
      </c>
      <c r="J272" s="228" t="n">
        <v>0</v>
      </c>
      <c r="K272" s="228"/>
      <c r="L272" s="228"/>
      <c r="M272" s="228" t="n">
        <v>3000</v>
      </c>
      <c r="N272" s="228"/>
      <c r="O272" s="228"/>
      <c r="P272" s="228"/>
      <c r="Q272" s="271"/>
      <c r="R272" s="228"/>
      <c r="S272" s="228"/>
    </row>
    <row r="273" customFormat="false" ht="15" hidden="true" customHeight="false" outlineLevel="0" collapsed="false">
      <c r="B273" s="267" t="n">
        <v>2022</v>
      </c>
      <c r="C273" s="268" t="n">
        <v>1</v>
      </c>
      <c r="D273" s="226" t="s">
        <v>44</v>
      </c>
      <c r="E273" s="221" t="n">
        <v>28699369338</v>
      </c>
      <c r="F273" s="221" t="n">
        <v>96358353</v>
      </c>
      <c r="G273" s="269" t="n">
        <v>1</v>
      </c>
      <c r="H273" s="286" t="s">
        <v>79</v>
      </c>
      <c r="I273" s="228" t="n">
        <v>4730.39</v>
      </c>
      <c r="J273" s="228" t="n">
        <v>7000</v>
      </c>
      <c r="K273" s="228" t="n">
        <v>4730.39</v>
      </c>
      <c r="L273" s="228" t="n">
        <v>2269.61</v>
      </c>
      <c r="M273" s="228" t="n">
        <v>7000</v>
      </c>
      <c r="N273" s="228"/>
      <c r="Q273" s="212"/>
      <c r="R273" s="212"/>
      <c r="S273" s="212"/>
    </row>
    <row r="274" customFormat="false" ht="15" hidden="true" customHeight="false" outlineLevel="0" collapsed="false">
      <c r="B274" s="267" t="n">
        <v>2022</v>
      </c>
      <c r="C274" s="268" t="n">
        <v>1</v>
      </c>
      <c r="D274" s="226" t="s">
        <v>44</v>
      </c>
      <c r="E274" s="221" t="n">
        <v>63097169876</v>
      </c>
      <c r="F274" s="221" t="n">
        <v>96843148</v>
      </c>
      <c r="G274" s="269" t="n">
        <v>1</v>
      </c>
      <c r="H274" s="287" t="s">
        <v>122</v>
      </c>
      <c r="I274" s="228" t="n">
        <v>4832.17</v>
      </c>
      <c r="J274" s="228" t="n">
        <v>7000</v>
      </c>
      <c r="K274" s="228" t="n">
        <v>4832.17</v>
      </c>
      <c r="L274" s="228" t="n">
        <v>1907.83</v>
      </c>
      <c r="M274" s="228" t="n">
        <v>6740</v>
      </c>
      <c r="N274" s="228"/>
      <c r="O274" s="212" t="s">
        <v>262</v>
      </c>
      <c r="Q274" s="212" t="n">
        <v>3</v>
      </c>
      <c r="R274" s="212"/>
      <c r="S274" s="212" t="s">
        <v>262</v>
      </c>
    </row>
    <row r="275" customFormat="false" ht="15" hidden="true" customHeight="false" outlineLevel="0" collapsed="false">
      <c r="B275" s="267" t="n">
        <v>2022</v>
      </c>
      <c r="C275" s="268" t="n">
        <v>1</v>
      </c>
      <c r="D275" s="226" t="s">
        <v>44</v>
      </c>
      <c r="E275" s="221" t="n">
        <v>36826974454</v>
      </c>
      <c r="F275" s="221" t="n">
        <v>95573006</v>
      </c>
      <c r="G275" s="269" t="n">
        <v>1</v>
      </c>
      <c r="H275" s="287" t="s">
        <v>188</v>
      </c>
      <c r="I275" s="228" t="n">
        <v>4253.4</v>
      </c>
      <c r="J275" s="228" t="n">
        <v>4253.4</v>
      </c>
      <c r="K275" s="228" t="n">
        <v>4253.4</v>
      </c>
      <c r="L275" s="228" t="n">
        <v>0</v>
      </c>
      <c r="M275" s="228" t="n">
        <v>4253.4</v>
      </c>
      <c r="N275" s="228"/>
      <c r="Q275" s="212"/>
      <c r="R275" s="212"/>
      <c r="S275" s="212"/>
    </row>
    <row r="276" customFormat="false" ht="15" hidden="true" customHeight="false" outlineLevel="0" collapsed="false">
      <c r="B276" s="267" t="n">
        <v>2022</v>
      </c>
      <c r="C276" s="268" t="n">
        <v>1</v>
      </c>
      <c r="D276" s="226" t="s">
        <v>44</v>
      </c>
      <c r="E276" s="221" t="n">
        <v>17630785580</v>
      </c>
      <c r="F276" s="221" t="n">
        <v>95529415</v>
      </c>
      <c r="G276" s="269" t="n">
        <v>1</v>
      </c>
      <c r="H276" s="287" t="s">
        <v>81</v>
      </c>
      <c r="I276" s="228" t="n">
        <v>4572.4</v>
      </c>
      <c r="J276" s="228" t="n">
        <v>14572.4</v>
      </c>
      <c r="K276" s="228" t="n">
        <v>4572.4</v>
      </c>
      <c r="L276" s="228" t="n">
        <v>10000</v>
      </c>
      <c r="M276" s="228" t="n">
        <v>14572.4</v>
      </c>
      <c r="N276" s="228"/>
      <c r="Q276" s="212"/>
      <c r="R276" s="212"/>
      <c r="S276" s="212"/>
    </row>
    <row r="277" customFormat="false" ht="15" hidden="true" customHeight="false" outlineLevel="0" collapsed="false">
      <c r="B277" s="267" t="n">
        <v>2022</v>
      </c>
      <c r="C277" s="268" t="n">
        <v>1</v>
      </c>
      <c r="D277" s="226" t="s">
        <v>44</v>
      </c>
      <c r="E277" s="221" t="n">
        <v>27172394690</v>
      </c>
      <c r="F277" s="221" t="n">
        <v>95702622</v>
      </c>
      <c r="G277" s="269" t="n">
        <v>1</v>
      </c>
      <c r="H277" s="288" t="s">
        <v>72</v>
      </c>
      <c r="I277" s="228" t="n">
        <v>0</v>
      </c>
      <c r="J277" s="228" t="n">
        <v>6000</v>
      </c>
      <c r="K277" s="228" t="n">
        <v>0</v>
      </c>
      <c r="L277" s="228" t="n">
        <v>5400</v>
      </c>
      <c r="M277" s="228" t="n">
        <v>5400</v>
      </c>
      <c r="N277" s="228" t="n">
        <v>-600</v>
      </c>
      <c r="O277" s="212" t="s">
        <v>283</v>
      </c>
      <c r="Q277" s="212"/>
      <c r="R277" s="212"/>
      <c r="S277" s="212" t="s">
        <v>283</v>
      </c>
    </row>
    <row r="278" customFormat="false" ht="15" hidden="true" customHeight="false" outlineLevel="0" collapsed="false">
      <c r="B278" s="267" t="n">
        <v>2022</v>
      </c>
      <c r="C278" s="268" t="n">
        <v>1</v>
      </c>
      <c r="D278" s="226" t="s">
        <v>44</v>
      </c>
      <c r="E278" s="221" t="n">
        <v>64996156028</v>
      </c>
      <c r="F278" s="221" t="n">
        <v>95539771</v>
      </c>
      <c r="G278" s="269" t="n">
        <v>1</v>
      </c>
      <c r="H278" s="286" t="s">
        <v>55</v>
      </c>
      <c r="I278" s="228" t="n">
        <v>4253.4</v>
      </c>
      <c r="J278" s="228" t="n">
        <v>4253.4</v>
      </c>
      <c r="K278" s="228" t="n">
        <v>4253.4</v>
      </c>
      <c r="L278" s="228" t="n">
        <v>0</v>
      </c>
      <c r="M278" s="228" t="n">
        <v>4253.4</v>
      </c>
      <c r="N278" s="228"/>
      <c r="Q278" s="212"/>
      <c r="R278" s="212"/>
      <c r="S278" s="212"/>
    </row>
    <row r="279" customFormat="false" ht="15" hidden="true" customHeight="false" outlineLevel="0" collapsed="false">
      <c r="B279" s="267" t="n">
        <v>2022</v>
      </c>
      <c r="C279" s="268" t="n">
        <v>1</v>
      </c>
      <c r="D279" s="226" t="s">
        <v>44</v>
      </c>
      <c r="E279" s="221" t="n">
        <v>59233322526</v>
      </c>
      <c r="F279" s="221" t="n">
        <v>96712272</v>
      </c>
      <c r="G279" s="269" t="n">
        <v>1</v>
      </c>
      <c r="H279" s="287" t="s">
        <v>68</v>
      </c>
      <c r="I279" s="228" t="n">
        <v>4730.39</v>
      </c>
      <c r="J279" s="228" t="n">
        <v>7000</v>
      </c>
      <c r="K279" s="228" t="n">
        <v>4730.39</v>
      </c>
      <c r="L279" s="228" t="n">
        <v>1869.61</v>
      </c>
      <c r="M279" s="228" t="n">
        <v>6600</v>
      </c>
      <c r="N279" s="228" t="n">
        <v>-400</v>
      </c>
      <c r="Q279" s="212"/>
      <c r="R279" s="212"/>
      <c r="S279" s="212"/>
    </row>
    <row r="280" customFormat="false" ht="15" hidden="true" customHeight="false" outlineLevel="0" collapsed="false">
      <c r="B280" s="267" t="n">
        <v>2022</v>
      </c>
      <c r="C280" s="268" t="n">
        <v>1</v>
      </c>
      <c r="D280" s="226" t="s">
        <v>44</v>
      </c>
      <c r="E280" s="221" t="n">
        <v>55186680706</v>
      </c>
      <c r="F280" s="221" t="n">
        <v>95787183</v>
      </c>
      <c r="G280" s="269" t="n">
        <v>1</v>
      </c>
      <c r="H280" s="286" t="s">
        <v>73</v>
      </c>
      <c r="I280" s="228" t="n">
        <v>2126.7</v>
      </c>
      <c r="J280" s="228" t="n">
        <v>5000</v>
      </c>
      <c r="K280" s="228" t="n">
        <v>2126.7</v>
      </c>
      <c r="L280" s="228" t="n">
        <v>2873.3</v>
      </c>
      <c r="M280" s="228" t="n">
        <v>5000</v>
      </c>
      <c r="N280" s="228"/>
      <c r="Q280" s="212"/>
      <c r="R280" s="212"/>
      <c r="S280" s="212"/>
    </row>
    <row r="281" customFormat="false" ht="15" hidden="true" customHeight="false" outlineLevel="0" collapsed="false">
      <c r="B281" s="267" t="n">
        <v>2022</v>
      </c>
      <c r="C281" s="268" t="n">
        <v>1</v>
      </c>
      <c r="D281" s="226" t="s">
        <v>44</v>
      </c>
      <c r="E281" s="221" t="n">
        <v>21242693324</v>
      </c>
      <c r="F281" s="221" t="n">
        <v>95532064</v>
      </c>
      <c r="G281" s="269" t="n">
        <v>1</v>
      </c>
      <c r="H281" s="287" t="s">
        <v>85</v>
      </c>
      <c r="I281" s="228" t="n">
        <v>4730.39</v>
      </c>
      <c r="J281" s="228" t="n">
        <v>4730.39</v>
      </c>
      <c r="K281" s="228" t="n">
        <v>4730.39</v>
      </c>
      <c r="L281" s="228" t="n">
        <v>0</v>
      </c>
      <c r="M281" s="228" t="n">
        <v>4730.39</v>
      </c>
      <c r="N281" s="228"/>
      <c r="Q281" s="212"/>
      <c r="R281" s="212"/>
      <c r="S281" s="212"/>
    </row>
    <row r="282" customFormat="false" ht="15" hidden="true" customHeight="false" outlineLevel="0" collapsed="false">
      <c r="B282" s="267" t="n">
        <v>2022</v>
      </c>
      <c r="C282" s="268" t="n">
        <v>1</v>
      </c>
      <c r="D282" s="226" t="s">
        <v>44</v>
      </c>
      <c r="E282" s="221" t="n">
        <v>17159801204</v>
      </c>
      <c r="F282" s="221" t="n">
        <v>95532066</v>
      </c>
      <c r="G282" s="269" t="n">
        <v>1</v>
      </c>
      <c r="H282" s="287" t="s">
        <v>87</v>
      </c>
      <c r="I282" s="228" t="n">
        <v>4730.39</v>
      </c>
      <c r="J282" s="228" t="n">
        <v>4730.39</v>
      </c>
      <c r="K282" s="228" t="n">
        <v>4730.39</v>
      </c>
      <c r="L282" s="228" t="n">
        <v>0</v>
      </c>
      <c r="M282" s="228" t="n">
        <v>4730.39</v>
      </c>
      <c r="N282" s="228"/>
      <c r="Q282" s="212"/>
      <c r="R282" s="212"/>
      <c r="S282" s="212"/>
    </row>
    <row r="283" customFormat="false" ht="15" hidden="true" customHeight="false" outlineLevel="0" collapsed="false">
      <c r="B283" s="267" t="n">
        <v>2022</v>
      </c>
      <c r="C283" s="268" t="n">
        <v>1</v>
      </c>
      <c r="D283" s="226" t="s">
        <v>44</v>
      </c>
      <c r="E283" s="221" t="n">
        <v>66385338732</v>
      </c>
      <c r="F283" s="221" t="n">
        <v>96717247</v>
      </c>
      <c r="G283" s="269" t="n">
        <v>1</v>
      </c>
      <c r="H283" s="287" t="s">
        <v>52</v>
      </c>
      <c r="I283" s="228" t="n">
        <v>3253.4</v>
      </c>
      <c r="J283" s="228" t="n">
        <v>3253.4</v>
      </c>
      <c r="K283" s="228" t="n">
        <v>3253.4</v>
      </c>
      <c r="L283" s="228" t="n">
        <v>0</v>
      </c>
      <c r="M283" s="228" t="n">
        <v>3253.4</v>
      </c>
      <c r="N283" s="228"/>
      <c r="O283" s="212" t="s">
        <v>53</v>
      </c>
      <c r="P283" s="212" t="n">
        <v>-1000</v>
      </c>
      <c r="Q283" s="212"/>
      <c r="R283" s="212"/>
      <c r="S283" s="31" t="s">
        <v>53</v>
      </c>
    </row>
    <row r="284" customFormat="false" ht="15" hidden="true" customHeight="false" outlineLevel="0" collapsed="false">
      <c r="B284" s="267" t="n">
        <v>2022</v>
      </c>
      <c r="C284" s="268" t="n">
        <v>1</v>
      </c>
      <c r="D284" s="226" t="s">
        <v>44</v>
      </c>
      <c r="E284" s="221" t="n">
        <v>23764482950</v>
      </c>
      <c r="F284" s="221" t="n">
        <v>95532077</v>
      </c>
      <c r="G284" s="269" t="n">
        <v>1</v>
      </c>
      <c r="H284" s="287" t="s">
        <v>93</v>
      </c>
      <c r="I284" s="228" t="n">
        <v>771.45</v>
      </c>
      <c r="J284" s="228" t="n">
        <v>7000</v>
      </c>
      <c r="K284" s="228" t="n">
        <v>771.45</v>
      </c>
      <c r="L284" s="228" t="n">
        <v>6228.55</v>
      </c>
      <c r="M284" s="228" t="n">
        <v>7000</v>
      </c>
      <c r="N284" s="228"/>
      <c r="Q284" s="273" t="n">
        <v>25</v>
      </c>
      <c r="R284" s="212"/>
      <c r="S284" s="212"/>
    </row>
    <row r="285" customFormat="false" ht="15" hidden="true" customHeight="false" outlineLevel="0" collapsed="false">
      <c r="B285" s="267" t="n">
        <v>2022</v>
      </c>
      <c r="C285" s="268" t="n">
        <v>1</v>
      </c>
      <c r="D285" s="226" t="s">
        <v>36</v>
      </c>
      <c r="E285" s="221" t="n">
        <v>25672444846</v>
      </c>
      <c r="F285" s="221" t="n">
        <v>95693810</v>
      </c>
      <c r="G285" s="269" t="n">
        <v>1</v>
      </c>
      <c r="H285" s="289" t="s">
        <v>245</v>
      </c>
      <c r="I285" s="228" t="n">
        <v>4730.39</v>
      </c>
      <c r="J285" s="228" t="n">
        <v>6000</v>
      </c>
      <c r="K285" s="228" t="n">
        <v>4730.39</v>
      </c>
      <c r="L285" s="228" t="n">
        <v>1269.61</v>
      </c>
      <c r="M285" s="228" t="n">
        <v>6000</v>
      </c>
      <c r="N285" s="228"/>
      <c r="Q285" s="212"/>
      <c r="R285" s="212"/>
      <c r="S285" s="212"/>
    </row>
    <row r="286" customFormat="false" ht="15" hidden="true" customHeight="false" outlineLevel="0" collapsed="false">
      <c r="B286" s="267" t="n">
        <v>2022</v>
      </c>
      <c r="C286" s="268" t="n">
        <v>1</v>
      </c>
      <c r="D286" s="226" t="s">
        <v>36</v>
      </c>
      <c r="E286" s="221" t="n">
        <v>15394555838</v>
      </c>
      <c r="F286" s="221" t="n">
        <v>95580195</v>
      </c>
      <c r="G286" s="269" t="n">
        <v>1</v>
      </c>
      <c r="H286" s="287" t="s">
        <v>48</v>
      </c>
      <c r="I286" s="228" t="n">
        <v>0</v>
      </c>
      <c r="J286" s="228" t="n">
        <v>6000</v>
      </c>
      <c r="K286" s="228" t="n">
        <v>0</v>
      </c>
      <c r="L286" s="228" t="n">
        <v>2000</v>
      </c>
      <c r="M286" s="228" t="n">
        <v>2000</v>
      </c>
      <c r="N286" s="228"/>
      <c r="Q286" s="212"/>
      <c r="R286" s="212"/>
      <c r="S286" s="212"/>
    </row>
    <row r="287" customFormat="false" ht="15" hidden="true" customHeight="false" outlineLevel="0" collapsed="false">
      <c r="B287" s="267" t="n">
        <v>2022</v>
      </c>
      <c r="C287" s="268" t="n">
        <v>1</v>
      </c>
      <c r="D287" s="226" t="s">
        <v>44</v>
      </c>
      <c r="E287" s="221" t="n">
        <v>33853146700</v>
      </c>
      <c r="F287" s="221" t="n">
        <v>96959868</v>
      </c>
      <c r="G287" s="269" t="n">
        <v>1</v>
      </c>
      <c r="H287" s="287" t="s">
        <v>247</v>
      </c>
      <c r="I287" s="228" t="n">
        <v>5091.93</v>
      </c>
      <c r="J287" s="228" t="n">
        <v>7000</v>
      </c>
      <c r="K287" s="228" t="n">
        <v>5091.93</v>
      </c>
      <c r="L287" s="228" t="n">
        <v>908.07</v>
      </c>
      <c r="M287" s="228" t="n">
        <v>6000</v>
      </c>
      <c r="N287" s="228" t="n">
        <v>-1000</v>
      </c>
      <c r="Q287" s="212"/>
      <c r="R287" s="212"/>
      <c r="S287" s="212"/>
    </row>
    <row r="288" customFormat="false" ht="15" hidden="true" customHeight="false" outlineLevel="0" collapsed="false">
      <c r="B288" s="267" t="n">
        <v>2022</v>
      </c>
      <c r="C288" s="268" t="n">
        <v>1</v>
      </c>
      <c r="D288" s="226" t="s">
        <v>44</v>
      </c>
      <c r="E288" s="221" t="n">
        <v>51994540164</v>
      </c>
      <c r="F288" s="221" t="n">
        <v>96900867</v>
      </c>
      <c r="G288" s="269" t="n">
        <v>1</v>
      </c>
      <c r="H288" s="287" t="s">
        <v>97</v>
      </c>
      <c r="I288" s="228" t="n">
        <v>4253.4</v>
      </c>
      <c r="J288" s="228" t="n">
        <v>4253.4</v>
      </c>
      <c r="K288" s="228" t="n">
        <v>4253.4</v>
      </c>
      <c r="L288" s="228" t="n">
        <v>0</v>
      </c>
      <c r="M288" s="228" t="n">
        <v>4253.4</v>
      </c>
      <c r="N288" s="228"/>
      <c r="Q288" s="212"/>
      <c r="R288" s="212"/>
      <c r="S288" s="212"/>
    </row>
    <row r="289" customFormat="false" ht="15" hidden="true" customHeight="false" outlineLevel="0" collapsed="false">
      <c r="B289" s="267" t="n">
        <v>2022</v>
      </c>
      <c r="C289" s="268" t="n">
        <v>1</v>
      </c>
      <c r="D289" s="226" t="s">
        <v>44</v>
      </c>
      <c r="E289" s="221" t="n">
        <v>52657562356</v>
      </c>
      <c r="F289" s="221" t="n">
        <v>97011710</v>
      </c>
      <c r="G289" s="269" t="n">
        <v>1</v>
      </c>
      <c r="H289" s="287" t="s">
        <v>248</v>
      </c>
      <c r="I289" s="228" t="n">
        <v>4253.4</v>
      </c>
      <c r="J289" s="228" t="n">
        <v>4253.4</v>
      </c>
      <c r="K289" s="228" t="n">
        <v>4253.4</v>
      </c>
      <c r="L289" s="228" t="n">
        <v>0</v>
      </c>
      <c r="M289" s="228" t="n">
        <v>4253.4</v>
      </c>
      <c r="N289" s="228"/>
      <c r="Q289" s="212"/>
      <c r="R289" s="212"/>
      <c r="S289" s="212"/>
    </row>
    <row r="290" customFormat="false" ht="15" hidden="true" customHeight="false" outlineLevel="0" collapsed="false">
      <c r="B290" s="267" t="n">
        <v>2022</v>
      </c>
      <c r="C290" s="268" t="n">
        <v>1</v>
      </c>
      <c r="D290" s="226" t="s">
        <v>36</v>
      </c>
      <c r="E290" s="221" t="n">
        <v>10459950610</v>
      </c>
      <c r="F290" s="221" t="n">
        <v>97226520</v>
      </c>
      <c r="G290" s="269" t="n">
        <v>1</v>
      </c>
      <c r="H290" s="289" t="s">
        <v>195</v>
      </c>
      <c r="I290" s="228" t="n">
        <v>4111.62</v>
      </c>
      <c r="J290" s="228" t="n">
        <v>5381.23</v>
      </c>
      <c r="K290" s="228" t="n">
        <v>4111.62</v>
      </c>
      <c r="L290" s="228" t="n">
        <v>1269.61</v>
      </c>
      <c r="M290" s="228" t="n">
        <v>5381.23</v>
      </c>
      <c r="N290" s="228"/>
      <c r="O290" s="212" t="s">
        <v>284</v>
      </c>
      <c r="P290" s="212" t="n">
        <v>-618.77</v>
      </c>
      <c r="Q290" s="212" t="n">
        <v>4</v>
      </c>
      <c r="R290" s="212"/>
      <c r="S290" s="212" t="s">
        <v>284</v>
      </c>
    </row>
    <row r="291" customFormat="false" ht="15" hidden="true" customHeight="false" outlineLevel="0" collapsed="false">
      <c r="B291" s="267" t="n">
        <v>2022</v>
      </c>
      <c r="C291" s="268" t="n">
        <v>1</v>
      </c>
      <c r="D291" s="226" t="s">
        <v>44</v>
      </c>
      <c r="E291" s="221" t="n">
        <v>23713484608</v>
      </c>
      <c r="F291" s="221" t="n">
        <v>97189681</v>
      </c>
      <c r="G291" s="269" t="n">
        <v>1</v>
      </c>
      <c r="H291" s="287" t="s">
        <v>100</v>
      </c>
      <c r="I291" s="228" t="n">
        <v>4730.39</v>
      </c>
      <c r="J291" s="228" t="n">
        <v>6000</v>
      </c>
      <c r="K291" s="228" t="n">
        <v>4730.39</v>
      </c>
      <c r="L291" s="228" t="n">
        <v>1269.61</v>
      </c>
      <c r="M291" s="228" t="n">
        <v>6000</v>
      </c>
      <c r="N291" s="228"/>
      <c r="Q291" s="212"/>
      <c r="R291" s="212"/>
      <c r="S291" s="212"/>
    </row>
    <row r="292" customFormat="false" ht="15" hidden="true" customHeight="false" outlineLevel="0" collapsed="false">
      <c r="B292" s="267" t="n">
        <v>2022</v>
      </c>
      <c r="C292" s="268" t="n">
        <v>1</v>
      </c>
      <c r="D292" s="226" t="s">
        <v>44</v>
      </c>
      <c r="E292" s="221" t="n">
        <v>17891875174</v>
      </c>
      <c r="F292" s="221" t="n">
        <v>6214238</v>
      </c>
      <c r="G292" s="269" t="n">
        <v>1</v>
      </c>
      <c r="H292" s="287" t="s">
        <v>190</v>
      </c>
      <c r="I292" s="228" t="n">
        <v>4253.4</v>
      </c>
      <c r="J292" s="228" t="n">
        <v>4253.4</v>
      </c>
      <c r="K292" s="228" t="n">
        <v>4253.4</v>
      </c>
      <c r="L292" s="228" t="n">
        <v>0</v>
      </c>
      <c r="M292" s="228" t="n">
        <v>4253.4</v>
      </c>
      <c r="N292" s="228"/>
      <c r="Q292" s="212"/>
      <c r="R292" s="212"/>
      <c r="S292" s="212"/>
    </row>
    <row r="293" customFormat="false" ht="15" hidden="true" customHeight="false" outlineLevel="0" collapsed="false">
      <c r="B293" s="267" t="n">
        <v>2022</v>
      </c>
      <c r="C293" s="268" t="n">
        <v>1</v>
      </c>
      <c r="D293" s="226" t="s">
        <v>44</v>
      </c>
      <c r="E293" s="221" t="n">
        <v>13345619462</v>
      </c>
      <c r="F293" s="221" t="n">
        <v>97522183</v>
      </c>
      <c r="G293" s="269" t="n">
        <v>1</v>
      </c>
      <c r="H293" s="287" t="s">
        <v>71</v>
      </c>
      <c r="I293" s="228" t="n">
        <v>771.45</v>
      </c>
      <c r="J293" s="228" t="n">
        <v>6000</v>
      </c>
      <c r="K293" s="228" t="n">
        <v>771.45</v>
      </c>
      <c r="L293" s="228" t="n">
        <v>5228.55</v>
      </c>
      <c r="M293" s="228" t="n">
        <v>6000</v>
      </c>
      <c r="N293" s="228"/>
      <c r="Q293" s="273" t="n">
        <v>25</v>
      </c>
      <c r="R293" s="212"/>
      <c r="S293" s="212"/>
    </row>
    <row r="294" customFormat="false" ht="15" hidden="true" customHeight="false" outlineLevel="0" collapsed="false">
      <c r="B294" s="267" t="n">
        <v>2022</v>
      </c>
      <c r="C294" s="268" t="n">
        <v>1</v>
      </c>
      <c r="D294" s="226" t="s">
        <v>44</v>
      </c>
      <c r="E294" s="221" t="n">
        <v>0</v>
      </c>
      <c r="F294" s="221" t="n">
        <v>0</v>
      </c>
      <c r="G294" s="269" t="n">
        <v>0</v>
      </c>
      <c r="H294" s="288" t="s">
        <v>267</v>
      </c>
      <c r="I294" s="228" t="n">
        <v>0</v>
      </c>
      <c r="J294" s="228" t="n">
        <v>4253</v>
      </c>
      <c r="K294" s="228" t="n">
        <v>0</v>
      </c>
      <c r="L294" s="228" t="n">
        <v>4253</v>
      </c>
      <c r="M294" s="228" t="n">
        <v>4253</v>
      </c>
      <c r="N294" s="228"/>
      <c r="Q294" s="212"/>
      <c r="R294" s="212"/>
      <c r="S294" s="212"/>
    </row>
    <row r="295" customFormat="false" ht="15" hidden="true" customHeight="false" outlineLevel="0" collapsed="false">
      <c r="B295" s="267" t="n">
        <v>2022</v>
      </c>
      <c r="C295" s="268" t="n">
        <v>1</v>
      </c>
      <c r="D295" s="226" t="s">
        <v>44</v>
      </c>
      <c r="E295" s="221" t="n">
        <v>0</v>
      </c>
      <c r="F295" s="221" t="n">
        <v>0</v>
      </c>
      <c r="G295" s="269" t="n">
        <v>0</v>
      </c>
      <c r="H295" s="287" t="s">
        <v>102</v>
      </c>
      <c r="I295" s="228" t="n">
        <v>0</v>
      </c>
      <c r="J295" s="228" t="n">
        <v>6000</v>
      </c>
      <c r="K295" s="228" t="n">
        <v>0</v>
      </c>
      <c r="L295" s="228" t="n">
        <v>6000</v>
      </c>
      <c r="M295" s="228" t="n">
        <v>6000</v>
      </c>
      <c r="N295" s="228"/>
      <c r="Q295" s="212"/>
      <c r="R295" s="212"/>
      <c r="S295" s="212"/>
    </row>
    <row r="296" customFormat="false" ht="15" hidden="true" customHeight="false" outlineLevel="0" collapsed="false">
      <c r="B296" s="267" t="n">
        <v>2022</v>
      </c>
      <c r="C296" s="268" t="n">
        <v>1</v>
      </c>
      <c r="D296" s="226" t="s">
        <v>36</v>
      </c>
      <c r="E296" s="221" t="n">
        <v>14233727054</v>
      </c>
      <c r="F296" s="221" t="n">
        <v>97522331</v>
      </c>
      <c r="G296" s="269" t="n">
        <v>1</v>
      </c>
      <c r="H296" s="289" t="s">
        <v>276</v>
      </c>
      <c r="I296" s="228" t="n">
        <v>771.45</v>
      </c>
      <c r="J296" s="228" t="n">
        <v>6000</v>
      </c>
      <c r="K296" s="228" t="n">
        <v>771.45</v>
      </c>
      <c r="L296" s="228" t="n">
        <v>5228.55</v>
      </c>
      <c r="M296" s="228" t="n">
        <v>6000</v>
      </c>
      <c r="N296" s="228"/>
      <c r="Q296" s="273" t="n">
        <v>25</v>
      </c>
      <c r="R296" s="212"/>
      <c r="S296" s="212"/>
    </row>
    <row r="297" customFormat="false" ht="15" hidden="true" customHeight="false" outlineLevel="0" collapsed="false">
      <c r="B297" s="267" t="n">
        <v>2022</v>
      </c>
      <c r="C297" s="268" t="n">
        <v>1</v>
      </c>
      <c r="D297" s="226" t="s">
        <v>36</v>
      </c>
      <c r="E297" s="221" t="n">
        <v>0</v>
      </c>
      <c r="F297" s="221" t="n">
        <v>0</v>
      </c>
      <c r="G297" s="269" t="n">
        <v>0</v>
      </c>
      <c r="H297" s="287" t="s">
        <v>135</v>
      </c>
      <c r="I297" s="228" t="n">
        <v>4000</v>
      </c>
      <c r="J297" s="228" t="n">
        <v>4000</v>
      </c>
      <c r="K297" s="228" t="n">
        <v>4000</v>
      </c>
      <c r="L297" s="228" t="n">
        <v>0</v>
      </c>
      <c r="M297" s="228" t="n">
        <v>4000</v>
      </c>
      <c r="N297" s="228"/>
      <c r="Q297" s="212"/>
      <c r="R297" s="212"/>
      <c r="S297" s="212"/>
    </row>
    <row r="298" customFormat="false" ht="15" hidden="true" customHeight="false" outlineLevel="0" collapsed="false">
      <c r="B298" s="267" t="n">
        <v>2022</v>
      </c>
      <c r="C298" s="268" t="n">
        <v>1</v>
      </c>
      <c r="D298" s="226" t="s">
        <v>36</v>
      </c>
      <c r="E298" s="221" t="n">
        <v>0</v>
      </c>
      <c r="F298" s="221" t="n">
        <v>0</v>
      </c>
      <c r="G298" s="269" t="n">
        <v>0</v>
      </c>
      <c r="H298" s="287" t="s">
        <v>277</v>
      </c>
      <c r="I298" s="228" t="n">
        <v>4250</v>
      </c>
      <c r="J298" s="228" t="n">
        <v>4250</v>
      </c>
      <c r="K298" s="228" t="n">
        <v>4250</v>
      </c>
      <c r="L298" s="228" t="n">
        <v>0</v>
      </c>
      <c r="M298" s="228" t="n">
        <v>4250</v>
      </c>
      <c r="N298" s="228"/>
      <c r="Q298" s="212"/>
      <c r="R298" s="212"/>
      <c r="S298" s="212"/>
    </row>
    <row r="299" customFormat="false" ht="15" hidden="true" customHeight="false" outlineLevel="0" collapsed="false">
      <c r="B299" s="267" t="n">
        <v>2022</v>
      </c>
      <c r="C299" s="268" t="n">
        <v>2</v>
      </c>
      <c r="D299" s="226" t="s">
        <v>44</v>
      </c>
      <c r="E299" s="221" t="n">
        <v>28699369338</v>
      </c>
      <c r="F299" s="221" t="n">
        <v>96358353</v>
      </c>
      <c r="G299" s="269" t="n">
        <v>1</v>
      </c>
      <c r="H299" s="286" t="s">
        <v>79</v>
      </c>
      <c r="I299" s="273" t="n">
        <v>4730.39</v>
      </c>
      <c r="J299" s="228" t="n">
        <v>7000</v>
      </c>
      <c r="K299" s="228" t="n">
        <v>4730.39</v>
      </c>
      <c r="L299" s="228" t="n">
        <v>2269.61</v>
      </c>
      <c r="M299" s="228" t="n">
        <v>7000</v>
      </c>
      <c r="N299" s="228"/>
      <c r="Q299" s="212"/>
      <c r="R299" s="212"/>
      <c r="S299" s="212"/>
    </row>
    <row r="300" customFormat="false" ht="15" hidden="true" customHeight="false" outlineLevel="0" collapsed="false">
      <c r="B300" s="267" t="n">
        <v>2022</v>
      </c>
      <c r="C300" s="268" t="n">
        <v>2</v>
      </c>
      <c r="D300" s="226" t="s">
        <v>44</v>
      </c>
      <c r="E300" s="221" t="n">
        <v>63097169876</v>
      </c>
      <c r="F300" s="221" t="n">
        <v>96843148</v>
      </c>
      <c r="G300" s="269" t="n">
        <v>1</v>
      </c>
      <c r="H300" s="287" t="s">
        <v>122</v>
      </c>
      <c r="I300" s="273" t="n">
        <v>4310.11</v>
      </c>
      <c r="J300" s="228" t="n">
        <v>7000</v>
      </c>
      <c r="K300" s="228" t="n">
        <v>4310.11</v>
      </c>
      <c r="L300" s="228" t="n">
        <v>2270</v>
      </c>
      <c r="M300" s="228" t="n">
        <v>6580.11</v>
      </c>
      <c r="N300" s="228"/>
      <c r="O300" s="212" t="s">
        <v>262</v>
      </c>
      <c r="Q300" s="212" t="n">
        <v>3</v>
      </c>
      <c r="R300" s="212"/>
      <c r="S300" s="212" t="s">
        <v>262</v>
      </c>
    </row>
    <row r="301" customFormat="false" ht="15" hidden="true" customHeight="false" outlineLevel="0" collapsed="false">
      <c r="B301" s="267" t="n">
        <v>2022</v>
      </c>
      <c r="C301" s="268" t="n">
        <v>2</v>
      </c>
      <c r="D301" s="226" t="s">
        <v>44</v>
      </c>
      <c r="E301" s="221" t="n">
        <v>36826974454</v>
      </c>
      <c r="F301" s="221" t="n">
        <v>95573006</v>
      </c>
      <c r="G301" s="269" t="n">
        <v>1</v>
      </c>
      <c r="H301" s="287" t="s">
        <v>188</v>
      </c>
      <c r="I301" s="273" t="n">
        <v>4253.4</v>
      </c>
      <c r="J301" s="228" t="n">
        <v>4253.4</v>
      </c>
      <c r="K301" s="228" t="n">
        <v>4253.4</v>
      </c>
      <c r="L301" s="228" t="n">
        <v>0</v>
      </c>
      <c r="M301" s="228" t="n">
        <v>4253.4</v>
      </c>
      <c r="N301" s="228"/>
      <c r="Q301" s="212"/>
      <c r="R301" s="212"/>
      <c r="S301" s="212"/>
    </row>
    <row r="302" customFormat="false" ht="15" hidden="true" customHeight="false" outlineLevel="0" collapsed="false">
      <c r="B302" s="267" t="n">
        <v>2022</v>
      </c>
      <c r="C302" s="268" t="n">
        <v>2</v>
      </c>
      <c r="D302" s="226" t="s">
        <v>44</v>
      </c>
      <c r="E302" s="221" t="n">
        <v>17630785580</v>
      </c>
      <c r="F302" s="221" t="n">
        <v>95529415</v>
      </c>
      <c r="G302" s="269" t="n">
        <v>1</v>
      </c>
      <c r="H302" s="287" t="s">
        <v>81</v>
      </c>
      <c r="I302" s="273" t="n">
        <v>4572.4</v>
      </c>
      <c r="J302" s="228" t="n">
        <v>14572.4</v>
      </c>
      <c r="K302" s="228" t="n">
        <v>4572.4</v>
      </c>
      <c r="L302" s="228" t="n">
        <v>10000</v>
      </c>
      <c r="M302" s="228" t="n">
        <v>14572.4</v>
      </c>
      <c r="N302" s="228"/>
      <c r="Q302" s="212"/>
      <c r="R302" s="212"/>
      <c r="S302" s="212"/>
    </row>
    <row r="303" customFormat="false" ht="15" hidden="true" customHeight="false" outlineLevel="0" collapsed="false">
      <c r="B303" s="267" t="n">
        <v>2022</v>
      </c>
      <c r="C303" s="268" t="n">
        <v>2</v>
      </c>
      <c r="D303" s="226" t="s">
        <v>44</v>
      </c>
      <c r="E303" s="221" t="n">
        <v>27172394690</v>
      </c>
      <c r="F303" s="221" t="n">
        <v>95702622</v>
      </c>
      <c r="G303" s="269" t="n">
        <v>1</v>
      </c>
      <c r="H303" s="288" t="s">
        <v>72</v>
      </c>
      <c r="I303" s="273" t="n">
        <v>771.45</v>
      </c>
      <c r="J303" s="228" t="n">
        <v>6000</v>
      </c>
      <c r="K303" s="228" t="n">
        <v>771.45</v>
      </c>
      <c r="L303" s="228" t="n">
        <v>4328.55</v>
      </c>
      <c r="M303" s="228" t="n">
        <v>5100</v>
      </c>
      <c r="N303" s="228" t="n">
        <v>-900</v>
      </c>
      <c r="Q303" s="212" t="n">
        <v>4.5</v>
      </c>
      <c r="R303" s="212"/>
      <c r="S303" s="212"/>
    </row>
    <row r="304" customFormat="false" ht="15" hidden="true" customHeight="false" outlineLevel="0" collapsed="false">
      <c r="B304" s="267" t="n">
        <v>2022</v>
      </c>
      <c r="C304" s="268" t="n">
        <v>2</v>
      </c>
      <c r="D304" s="226" t="s">
        <v>44</v>
      </c>
      <c r="E304" s="221" t="n">
        <v>64996156028</v>
      </c>
      <c r="F304" s="221" t="n">
        <v>95539771</v>
      </c>
      <c r="G304" s="269" t="n">
        <v>1</v>
      </c>
      <c r="H304" s="286" t="s">
        <v>55</v>
      </c>
      <c r="I304" s="273" t="n">
        <v>4253.4</v>
      </c>
      <c r="J304" s="228" t="n">
        <v>4253.4</v>
      </c>
      <c r="K304" s="228" t="n">
        <v>4253.4</v>
      </c>
      <c r="L304" s="228" t="n">
        <v>0</v>
      </c>
      <c r="M304" s="228" t="n">
        <v>4253.4</v>
      </c>
      <c r="N304" s="228"/>
      <c r="Q304" s="212"/>
      <c r="R304" s="212"/>
      <c r="S304" s="212"/>
    </row>
    <row r="305" customFormat="false" ht="15" hidden="true" customHeight="false" outlineLevel="0" collapsed="false">
      <c r="B305" s="267" t="n">
        <v>2022</v>
      </c>
      <c r="C305" s="268" t="n">
        <v>2</v>
      </c>
      <c r="D305" s="226" t="s">
        <v>44</v>
      </c>
      <c r="E305" s="221" t="n">
        <v>59233322526</v>
      </c>
      <c r="F305" s="221" t="n">
        <v>96712272</v>
      </c>
      <c r="G305" s="269" t="n">
        <v>1</v>
      </c>
      <c r="H305" s="287" t="s">
        <v>68</v>
      </c>
      <c r="I305" s="273" t="n">
        <v>4730.39</v>
      </c>
      <c r="J305" s="228" t="n">
        <v>7200</v>
      </c>
      <c r="K305" s="228" t="n">
        <v>4730.39</v>
      </c>
      <c r="L305" s="228" t="n">
        <v>2669.61</v>
      </c>
      <c r="M305" s="228" t="n">
        <v>7400</v>
      </c>
      <c r="N305" s="228" t="n">
        <v>200</v>
      </c>
      <c r="Q305" s="212"/>
      <c r="R305" s="212"/>
      <c r="S305" s="212"/>
    </row>
    <row r="306" customFormat="false" ht="15" hidden="true" customHeight="false" outlineLevel="0" collapsed="false">
      <c r="B306" s="267" t="n">
        <v>2022</v>
      </c>
      <c r="C306" s="268" t="n">
        <v>2</v>
      </c>
      <c r="D306" s="226" t="s">
        <v>44</v>
      </c>
      <c r="E306" s="221" t="n">
        <v>55186680706</v>
      </c>
      <c r="F306" s="221" t="n">
        <v>95787183</v>
      </c>
      <c r="G306" s="269" t="n">
        <v>1</v>
      </c>
      <c r="H306" s="286" t="s">
        <v>73</v>
      </c>
      <c r="I306" s="273" t="n">
        <v>2126.7</v>
      </c>
      <c r="J306" s="228" t="n">
        <v>5000</v>
      </c>
      <c r="K306" s="228" t="n">
        <v>2126.7</v>
      </c>
      <c r="L306" s="228" t="n">
        <v>2873.3</v>
      </c>
      <c r="M306" s="228" t="n">
        <v>5000</v>
      </c>
      <c r="N306" s="228"/>
      <c r="Q306" s="212"/>
      <c r="R306" s="212"/>
      <c r="S306" s="212"/>
    </row>
    <row r="307" customFormat="false" ht="15" hidden="true" customHeight="false" outlineLevel="0" collapsed="false">
      <c r="B307" s="267" t="n">
        <v>2022</v>
      </c>
      <c r="C307" s="268" t="n">
        <v>2</v>
      </c>
      <c r="D307" s="226" t="s">
        <v>44</v>
      </c>
      <c r="E307" s="221" t="n">
        <v>21242693324</v>
      </c>
      <c r="F307" s="221" t="n">
        <v>95532064</v>
      </c>
      <c r="G307" s="269" t="n">
        <v>1</v>
      </c>
      <c r="H307" s="287" t="s">
        <v>85</v>
      </c>
      <c r="I307" s="273" t="n">
        <v>4730.39</v>
      </c>
      <c r="J307" s="228" t="n">
        <v>4730.39</v>
      </c>
      <c r="K307" s="228" t="n">
        <v>4730.39</v>
      </c>
      <c r="L307" s="228" t="n">
        <v>0</v>
      </c>
      <c r="M307" s="228" t="n">
        <v>4730.39</v>
      </c>
      <c r="N307" s="228"/>
      <c r="Q307" s="212"/>
      <c r="R307" s="212"/>
      <c r="S307" s="212"/>
    </row>
    <row r="308" customFormat="false" ht="15" hidden="true" customHeight="false" outlineLevel="0" collapsed="false">
      <c r="B308" s="267" t="n">
        <v>2022</v>
      </c>
      <c r="C308" s="268" t="n">
        <v>2</v>
      </c>
      <c r="D308" s="226" t="s">
        <v>44</v>
      </c>
      <c r="E308" s="221" t="n">
        <v>17159801204</v>
      </c>
      <c r="F308" s="221" t="n">
        <v>95532066</v>
      </c>
      <c r="G308" s="269" t="n">
        <v>1</v>
      </c>
      <c r="H308" s="287" t="s">
        <v>87</v>
      </c>
      <c r="I308" s="273" t="n">
        <v>4730.39</v>
      </c>
      <c r="J308" s="228" t="n">
        <v>4730.39</v>
      </c>
      <c r="K308" s="228" t="n">
        <v>4730.39</v>
      </c>
      <c r="L308" s="228" t="n">
        <v>0</v>
      </c>
      <c r="M308" s="228" t="n">
        <v>4730.39</v>
      </c>
      <c r="N308" s="228"/>
      <c r="Q308" s="212"/>
      <c r="R308" s="212"/>
      <c r="S308" s="212"/>
    </row>
    <row r="309" customFormat="false" ht="15" hidden="true" customHeight="false" outlineLevel="0" collapsed="false">
      <c r="B309" s="267" t="n">
        <v>2022</v>
      </c>
      <c r="C309" s="268" t="n">
        <v>2</v>
      </c>
      <c r="D309" s="226" t="s">
        <v>44</v>
      </c>
      <c r="E309" s="221" t="n">
        <v>66385338732</v>
      </c>
      <c r="F309" s="221" t="n">
        <v>96717247</v>
      </c>
      <c r="G309" s="269" t="n">
        <v>1</v>
      </c>
      <c r="H309" s="287" t="s">
        <v>52</v>
      </c>
      <c r="I309" s="273" t="n">
        <v>3547.8</v>
      </c>
      <c r="J309" s="228" t="n">
        <v>3547.8</v>
      </c>
      <c r="K309" s="228" t="n">
        <v>3547.8</v>
      </c>
      <c r="L309" s="228" t="n">
        <v>0</v>
      </c>
      <c r="M309" s="228" t="n">
        <v>3547.8</v>
      </c>
      <c r="N309" s="228"/>
      <c r="O309" s="212" t="s">
        <v>53</v>
      </c>
      <c r="P309" s="212" t="n">
        <v>-1182.6</v>
      </c>
      <c r="Q309" s="212"/>
      <c r="R309" s="212"/>
      <c r="S309" s="31" t="s">
        <v>53</v>
      </c>
    </row>
    <row r="310" customFormat="false" ht="15" hidden="true" customHeight="false" outlineLevel="0" collapsed="false">
      <c r="B310" s="267" t="n">
        <v>2022</v>
      </c>
      <c r="C310" s="268" t="n">
        <v>2</v>
      </c>
      <c r="D310" s="226" t="s">
        <v>44</v>
      </c>
      <c r="E310" s="221" t="n">
        <v>23764482950</v>
      </c>
      <c r="F310" s="221" t="n">
        <v>95532077</v>
      </c>
      <c r="G310" s="269" t="n">
        <v>1</v>
      </c>
      <c r="H310" s="287" t="s">
        <v>93</v>
      </c>
      <c r="I310" s="273" t="n">
        <v>771.45</v>
      </c>
      <c r="J310" s="228" t="n">
        <v>7000</v>
      </c>
      <c r="K310" s="228" t="n">
        <v>771.45</v>
      </c>
      <c r="L310" s="228" t="n">
        <v>6228.55</v>
      </c>
      <c r="M310" s="228" t="n">
        <v>7000</v>
      </c>
      <c r="N310" s="228"/>
      <c r="Q310" s="273" t="n">
        <v>25</v>
      </c>
      <c r="R310" s="212"/>
      <c r="S310" s="212"/>
    </row>
    <row r="311" customFormat="false" ht="15" hidden="true" customHeight="false" outlineLevel="0" collapsed="false">
      <c r="B311" s="267" t="n">
        <v>2022</v>
      </c>
      <c r="C311" s="268" t="n">
        <v>2</v>
      </c>
      <c r="D311" s="226" t="s">
        <v>36</v>
      </c>
      <c r="E311" s="221" t="n">
        <v>25672444846</v>
      </c>
      <c r="F311" s="221" t="n">
        <v>95693810</v>
      </c>
      <c r="G311" s="269" t="n">
        <v>1</v>
      </c>
      <c r="H311" s="287" t="s">
        <v>245</v>
      </c>
      <c r="I311" s="273" t="n">
        <v>4730.39</v>
      </c>
      <c r="J311" s="228" t="n">
        <v>6000</v>
      </c>
      <c r="K311" s="228" t="n">
        <v>4730.39</v>
      </c>
      <c r="L311" s="228" t="n">
        <v>1269.61</v>
      </c>
      <c r="M311" s="228" t="n">
        <v>6000</v>
      </c>
      <c r="N311" s="228"/>
      <c r="Q311" s="212"/>
      <c r="R311" s="212"/>
      <c r="S311" s="212"/>
    </row>
    <row r="312" customFormat="false" ht="15" hidden="true" customHeight="false" outlineLevel="0" collapsed="false">
      <c r="B312" s="267" t="n">
        <v>2022</v>
      </c>
      <c r="C312" s="268" t="n">
        <v>2</v>
      </c>
      <c r="D312" s="226" t="s">
        <v>36</v>
      </c>
      <c r="E312" s="221" t="n">
        <v>15394555838</v>
      </c>
      <c r="F312" s="221" t="n">
        <v>95580195</v>
      </c>
      <c r="G312" s="269" t="n">
        <v>1</v>
      </c>
      <c r="H312" s="287" t="s">
        <v>48</v>
      </c>
      <c r="I312" s="228" t="n">
        <v>0</v>
      </c>
      <c r="J312" s="228" t="n">
        <v>6000</v>
      </c>
      <c r="K312" s="228" t="n">
        <v>0</v>
      </c>
      <c r="L312" s="228" t="n">
        <v>0</v>
      </c>
      <c r="M312" s="228" t="n">
        <v>0</v>
      </c>
      <c r="N312" s="228"/>
      <c r="Q312" s="212"/>
      <c r="R312" s="212"/>
      <c r="S312" s="212"/>
    </row>
    <row r="313" customFormat="false" ht="15" hidden="true" customHeight="false" outlineLevel="0" collapsed="false">
      <c r="B313" s="267" t="n">
        <v>2022</v>
      </c>
      <c r="C313" s="268" t="n">
        <v>2</v>
      </c>
      <c r="D313" s="226" t="s">
        <v>44</v>
      </c>
      <c r="E313" s="221" t="n">
        <v>33853146700</v>
      </c>
      <c r="F313" s="221" t="n">
        <v>96959868</v>
      </c>
      <c r="G313" s="269" t="n">
        <v>1</v>
      </c>
      <c r="H313" s="287" t="s">
        <v>247</v>
      </c>
      <c r="I313" s="273" t="n">
        <v>5091.93</v>
      </c>
      <c r="J313" s="228" t="n">
        <v>7000</v>
      </c>
      <c r="K313" s="228" t="n">
        <v>5091.93</v>
      </c>
      <c r="L313" s="228" t="n">
        <v>674.74</v>
      </c>
      <c r="M313" s="228" t="n">
        <v>5766.67</v>
      </c>
      <c r="N313" s="228" t="n">
        <v>-1233.33</v>
      </c>
      <c r="O313" s="212" t="s">
        <v>285</v>
      </c>
      <c r="Q313" s="212" t="n">
        <v>1</v>
      </c>
      <c r="R313" s="212"/>
      <c r="S313" s="212" t="s">
        <v>285</v>
      </c>
    </row>
    <row r="314" customFormat="false" ht="15" hidden="true" customHeight="false" outlineLevel="0" collapsed="false">
      <c r="B314" s="267" t="n">
        <v>2022</v>
      </c>
      <c r="C314" s="268" t="n">
        <v>2</v>
      </c>
      <c r="D314" s="226" t="s">
        <v>44</v>
      </c>
      <c r="E314" s="221" t="n">
        <v>51994540164</v>
      </c>
      <c r="F314" s="221" t="n">
        <v>96900867</v>
      </c>
      <c r="G314" s="269" t="n">
        <v>1</v>
      </c>
      <c r="H314" s="287" t="s">
        <v>97</v>
      </c>
      <c r="I314" s="273" t="n">
        <v>4572.4</v>
      </c>
      <c r="J314" s="228" t="n">
        <v>4572.4</v>
      </c>
      <c r="K314" s="228" t="n">
        <v>4572.4</v>
      </c>
      <c r="L314" s="228" t="n">
        <v>0</v>
      </c>
      <c r="M314" s="228" t="n">
        <v>4572.4</v>
      </c>
      <c r="N314" s="228"/>
      <c r="Q314" s="212"/>
      <c r="R314" s="212"/>
      <c r="S314" s="212"/>
    </row>
    <row r="315" customFormat="false" ht="15" hidden="true" customHeight="false" outlineLevel="0" collapsed="false">
      <c r="B315" s="267" t="n">
        <v>2022</v>
      </c>
      <c r="C315" s="268" t="n">
        <v>2</v>
      </c>
      <c r="D315" s="226" t="s">
        <v>44</v>
      </c>
      <c r="E315" s="221" t="n">
        <v>52657562356</v>
      </c>
      <c r="F315" s="221" t="n">
        <v>97011710</v>
      </c>
      <c r="G315" s="269" t="n">
        <v>1</v>
      </c>
      <c r="H315" s="287" t="s">
        <v>248</v>
      </c>
      <c r="I315" s="273" t="n">
        <v>4253.4</v>
      </c>
      <c r="J315" s="228" t="n">
        <v>4253.4</v>
      </c>
      <c r="K315" s="228" t="n">
        <v>4253.4</v>
      </c>
      <c r="L315" s="228" t="n">
        <v>0</v>
      </c>
      <c r="M315" s="228" t="n">
        <v>4253.4</v>
      </c>
      <c r="N315" s="228"/>
      <c r="Q315" s="212"/>
      <c r="R315" s="212"/>
      <c r="S315" s="212"/>
    </row>
    <row r="316" customFormat="false" ht="15" hidden="true" customHeight="false" outlineLevel="0" collapsed="false">
      <c r="B316" s="267" t="n">
        <v>2022</v>
      </c>
      <c r="C316" s="268" t="n">
        <v>2</v>
      </c>
      <c r="D316" s="226" t="s">
        <v>36</v>
      </c>
      <c r="E316" s="221" t="n">
        <v>10459950610</v>
      </c>
      <c r="F316" s="221" t="n">
        <v>97226520</v>
      </c>
      <c r="G316" s="269" t="n">
        <v>1</v>
      </c>
      <c r="H316" s="287" t="s">
        <v>195</v>
      </c>
      <c r="I316" s="273" t="n">
        <v>4730.39</v>
      </c>
      <c r="J316" s="228" t="n">
        <v>6000</v>
      </c>
      <c r="K316" s="228" t="n">
        <v>4730.39</v>
      </c>
      <c r="L316" s="228" t="n">
        <v>1269.61</v>
      </c>
      <c r="M316" s="228" t="n">
        <v>6000</v>
      </c>
      <c r="N316" s="228"/>
      <c r="Q316" s="212"/>
      <c r="R316" s="212"/>
      <c r="S316" s="212"/>
    </row>
    <row r="317" customFormat="false" ht="15" hidden="true" customHeight="false" outlineLevel="0" collapsed="false">
      <c r="B317" s="267" t="n">
        <v>2022</v>
      </c>
      <c r="C317" s="268" t="n">
        <v>2</v>
      </c>
      <c r="D317" s="226" t="s">
        <v>44</v>
      </c>
      <c r="E317" s="221" t="n">
        <v>23713484608</v>
      </c>
      <c r="F317" s="221" t="n">
        <v>97189681</v>
      </c>
      <c r="G317" s="269" t="n">
        <v>1</v>
      </c>
      <c r="H317" s="287" t="s">
        <v>100</v>
      </c>
      <c r="I317" s="273" t="n">
        <v>4730.39</v>
      </c>
      <c r="J317" s="228" t="n">
        <v>6000</v>
      </c>
      <c r="K317" s="228" t="n">
        <v>4730.39</v>
      </c>
      <c r="L317" s="228" t="n">
        <v>1269.61</v>
      </c>
      <c r="M317" s="228" t="n">
        <v>6000</v>
      </c>
      <c r="N317" s="228"/>
      <c r="O317" s="212" t="s">
        <v>286</v>
      </c>
      <c r="Q317" s="212" t="n">
        <v>1</v>
      </c>
      <c r="R317" s="212"/>
      <c r="S317" s="212" t="s">
        <v>286</v>
      </c>
    </row>
    <row r="318" customFormat="false" ht="15" hidden="true" customHeight="false" outlineLevel="0" collapsed="false">
      <c r="B318" s="267" t="n">
        <v>2022</v>
      </c>
      <c r="C318" s="268" t="n">
        <v>2</v>
      </c>
      <c r="D318" s="226" t="s">
        <v>44</v>
      </c>
      <c r="E318" s="221" t="n">
        <v>17891875174</v>
      </c>
      <c r="F318" s="221" t="n">
        <v>6214238</v>
      </c>
      <c r="G318" s="269" t="n">
        <v>1</v>
      </c>
      <c r="H318" s="287" t="s">
        <v>190</v>
      </c>
      <c r="I318" s="273" t="n">
        <v>4253.4</v>
      </c>
      <c r="J318" s="228" t="n">
        <v>4253.4</v>
      </c>
      <c r="K318" s="228" t="n">
        <v>4253.4</v>
      </c>
      <c r="L318" s="228" t="n">
        <v>0</v>
      </c>
      <c r="M318" s="228" t="n">
        <v>4253.4</v>
      </c>
      <c r="N318" s="228"/>
      <c r="Q318" s="212"/>
      <c r="R318" s="212"/>
      <c r="S318" s="212"/>
    </row>
    <row r="319" customFormat="false" ht="15" hidden="true" customHeight="false" outlineLevel="0" collapsed="false">
      <c r="B319" s="267" t="n">
        <v>2022</v>
      </c>
      <c r="C319" s="268" t="n">
        <v>2</v>
      </c>
      <c r="D319" s="226" t="s">
        <v>44</v>
      </c>
      <c r="E319" s="221" t="n">
        <v>13345619462</v>
      </c>
      <c r="F319" s="221" t="n">
        <v>97522183</v>
      </c>
      <c r="G319" s="269" t="n">
        <v>1</v>
      </c>
      <c r="H319" s="287" t="s">
        <v>71</v>
      </c>
      <c r="I319" s="273" t="n">
        <v>771.45</v>
      </c>
      <c r="J319" s="228" t="n">
        <v>6000</v>
      </c>
      <c r="K319" s="228" t="n">
        <v>771.45</v>
      </c>
      <c r="L319" s="228" t="n">
        <v>5228.55</v>
      </c>
      <c r="M319" s="228" t="n">
        <v>6000</v>
      </c>
      <c r="N319" s="228"/>
      <c r="Q319" s="273" t="n">
        <v>25</v>
      </c>
      <c r="R319" s="212"/>
      <c r="S319" s="212"/>
    </row>
    <row r="320" customFormat="false" ht="15" hidden="true" customHeight="false" outlineLevel="0" collapsed="false">
      <c r="B320" s="267" t="n">
        <v>2022</v>
      </c>
      <c r="C320" s="268" t="n">
        <v>2</v>
      </c>
      <c r="D320" s="226" t="s">
        <v>44</v>
      </c>
      <c r="E320" s="221" t="n">
        <v>0</v>
      </c>
      <c r="F320" s="221" t="n">
        <v>0</v>
      </c>
      <c r="G320" s="269" t="n">
        <v>0</v>
      </c>
      <c r="H320" s="287" t="s">
        <v>267</v>
      </c>
      <c r="I320" s="273" t="n">
        <v>0</v>
      </c>
      <c r="J320" s="228" t="n">
        <v>4253</v>
      </c>
      <c r="K320" s="228" t="n">
        <v>0</v>
      </c>
      <c r="L320" s="228" t="n">
        <v>4111.23</v>
      </c>
      <c r="M320" s="228" t="n">
        <v>4111.23</v>
      </c>
      <c r="N320" s="228" t="n">
        <v>-141.77</v>
      </c>
      <c r="Q320" s="212" t="n">
        <v>1</v>
      </c>
      <c r="R320" s="212"/>
      <c r="S320" s="212"/>
    </row>
    <row r="321" customFormat="false" ht="15" hidden="true" customHeight="false" outlineLevel="0" collapsed="false">
      <c r="B321" s="267" t="n">
        <v>2022</v>
      </c>
      <c r="C321" s="268" t="n">
        <v>2</v>
      </c>
      <c r="D321" s="226" t="s">
        <v>44</v>
      </c>
      <c r="E321" s="221" t="n">
        <v>0</v>
      </c>
      <c r="F321" s="221" t="n">
        <v>0</v>
      </c>
      <c r="G321" s="269" t="n">
        <v>0</v>
      </c>
      <c r="H321" s="287" t="s">
        <v>102</v>
      </c>
      <c r="I321" s="228" t="n">
        <v>0</v>
      </c>
      <c r="J321" s="228" t="n">
        <v>6000</v>
      </c>
      <c r="K321" s="228" t="n">
        <v>0</v>
      </c>
      <c r="L321" s="228" t="n">
        <v>6000</v>
      </c>
      <c r="M321" s="228" t="n">
        <v>6000</v>
      </c>
      <c r="N321" s="228"/>
      <c r="Q321" s="212"/>
      <c r="R321" s="212"/>
      <c r="S321" s="212"/>
    </row>
    <row r="322" customFormat="false" ht="15" hidden="true" customHeight="false" outlineLevel="0" collapsed="false">
      <c r="B322" s="267" t="n">
        <v>2022</v>
      </c>
      <c r="C322" s="268" t="n">
        <v>2</v>
      </c>
      <c r="D322" s="226" t="s">
        <v>36</v>
      </c>
      <c r="E322" s="221" t="n">
        <v>14233727054</v>
      </c>
      <c r="F322" s="221" t="n">
        <v>97522331</v>
      </c>
      <c r="G322" s="269" t="n">
        <v>1</v>
      </c>
      <c r="H322" s="287" t="s">
        <v>276</v>
      </c>
      <c r="I322" s="273" t="n">
        <v>771.45</v>
      </c>
      <c r="J322" s="228" t="n">
        <v>6000</v>
      </c>
      <c r="K322" s="228" t="n">
        <v>771.45</v>
      </c>
      <c r="L322" s="228" t="n">
        <v>5028.55</v>
      </c>
      <c r="M322" s="228" t="n">
        <v>5800</v>
      </c>
      <c r="N322" s="228" t="n">
        <v>-200</v>
      </c>
      <c r="Q322" s="273" t="n">
        <v>25</v>
      </c>
      <c r="R322" s="212"/>
      <c r="S322" s="212"/>
    </row>
    <row r="323" customFormat="false" ht="15" hidden="true" customHeight="false" outlineLevel="0" collapsed="false">
      <c r="B323" s="267" t="n">
        <v>2022</v>
      </c>
      <c r="C323" s="268" t="n">
        <v>2</v>
      </c>
      <c r="D323" s="226" t="s">
        <v>44</v>
      </c>
      <c r="E323" s="221" t="n">
        <v>39043021192</v>
      </c>
      <c r="F323" s="221" t="n">
        <v>0</v>
      </c>
      <c r="G323" s="269" t="n">
        <v>0</v>
      </c>
      <c r="H323" s="287" t="s">
        <v>50</v>
      </c>
      <c r="I323" s="228" t="n">
        <v>0</v>
      </c>
      <c r="J323" s="228" t="n">
        <v>6000</v>
      </c>
      <c r="K323" s="228" t="n">
        <v>0</v>
      </c>
      <c r="L323" s="228" t="n">
        <v>3400</v>
      </c>
      <c r="M323" s="228" t="n">
        <v>3400</v>
      </c>
      <c r="N323" s="228" t="n">
        <v>-1000</v>
      </c>
      <c r="O323" s="212" t="s">
        <v>287</v>
      </c>
      <c r="Q323" s="273"/>
      <c r="R323" s="212"/>
      <c r="S323" s="212" t="s">
        <v>287</v>
      </c>
    </row>
    <row r="324" customFormat="false" ht="15" hidden="true" customHeight="false" outlineLevel="0" collapsed="false">
      <c r="B324" s="267" t="n">
        <v>2022</v>
      </c>
      <c r="C324" s="268" t="n">
        <v>2</v>
      </c>
      <c r="D324" s="226" t="s">
        <v>44</v>
      </c>
      <c r="E324" s="221" t="n">
        <v>22093575890</v>
      </c>
      <c r="F324" s="221" t="n">
        <v>96260905</v>
      </c>
      <c r="G324" s="269" t="n">
        <v>1</v>
      </c>
      <c r="H324" s="287" t="s">
        <v>58</v>
      </c>
      <c r="I324" s="273" t="n">
        <v>2835.6</v>
      </c>
      <c r="J324" s="228" t="n">
        <v>4253.4</v>
      </c>
      <c r="K324" s="228" t="n">
        <v>2835.6</v>
      </c>
      <c r="L324" s="228" t="n">
        <v>1417.8</v>
      </c>
      <c r="M324" s="228" t="n">
        <v>4253.4</v>
      </c>
      <c r="N324" s="228"/>
      <c r="O324" s="212" t="s">
        <v>271</v>
      </c>
      <c r="Q324" s="273"/>
      <c r="R324" s="212"/>
      <c r="S324" s="212" t="s">
        <v>271</v>
      </c>
    </row>
    <row r="325" customFormat="false" ht="15" hidden="true" customHeight="false" outlineLevel="0" collapsed="false">
      <c r="B325" s="267" t="n">
        <v>2022</v>
      </c>
      <c r="C325" s="268" t="n">
        <v>2</v>
      </c>
      <c r="D325" s="226" t="s">
        <v>36</v>
      </c>
      <c r="E325" s="221" t="n">
        <v>0</v>
      </c>
      <c r="F325" s="221" t="n">
        <v>0</v>
      </c>
      <c r="G325" s="269" t="n">
        <v>0</v>
      </c>
      <c r="H325" s="287" t="s">
        <v>135</v>
      </c>
      <c r="I325" s="228" t="n">
        <v>4000</v>
      </c>
      <c r="J325" s="228" t="n">
        <v>4000</v>
      </c>
      <c r="K325" s="228" t="n">
        <v>4000</v>
      </c>
      <c r="L325" s="228" t="n">
        <v>0</v>
      </c>
      <c r="M325" s="228" t="n">
        <v>4000</v>
      </c>
      <c r="N325" s="228"/>
      <c r="Q325" s="212"/>
      <c r="R325" s="212"/>
      <c r="S325" s="212"/>
    </row>
    <row r="326" customFormat="false" ht="15" hidden="true" customHeight="false" outlineLevel="0" collapsed="false">
      <c r="B326" s="267" t="n">
        <v>2022</v>
      </c>
      <c r="C326" s="268" t="n">
        <v>3</v>
      </c>
      <c r="D326" s="226" t="s">
        <v>44</v>
      </c>
      <c r="E326" s="221" t="n">
        <v>28699369338</v>
      </c>
      <c r="F326" s="221" t="n">
        <v>96358353</v>
      </c>
      <c r="G326" s="269" t="n">
        <v>1</v>
      </c>
      <c r="H326" s="286" t="s">
        <v>79</v>
      </c>
      <c r="I326" s="273" t="n">
        <v>4730.39</v>
      </c>
      <c r="J326" s="228" t="n">
        <v>7000</v>
      </c>
      <c r="K326" s="228" t="n">
        <v>4730.39</v>
      </c>
      <c r="L326" s="228" t="n">
        <v>1969.61</v>
      </c>
      <c r="M326" s="228" t="n">
        <v>6700</v>
      </c>
      <c r="N326" s="228" t="n">
        <v>-300</v>
      </c>
      <c r="Q326" s="212"/>
      <c r="R326" s="212"/>
      <c r="S326" s="212"/>
    </row>
    <row r="327" customFormat="false" ht="15" hidden="true" customHeight="false" outlineLevel="0" collapsed="false">
      <c r="B327" s="267" t="n">
        <v>2022</v>
      </c>
      <c r="C327" s="268" t="n">
        <v>3</v>
      </c>
      <c r="D327" s="226" t="s">
        <v>44</v>
      </c>
      <c r="E327" s="221" t="n">
        <v>63097169876</v>
      </c>
      <c r="F327" s="221" t="n">
        <v>96843148</v>
      </c>
      <c r="G327" s="269" t="n">
        <v>1</v>
      </c>
      <c r="H327" s="287" t="s">
        <v>122</v>
      </c>
      <c r="I327" s="273" t="n">
        <v>5091.93</v>
      </c>
      <c r="J327" s="228" t="n">
        <v>7000</v>
      </c>
      <c r="K327" s="228" t="n">
        <v>5091.93</v>
      </c>
      <c r="L327" s="228" t="n">
        <v>1908.07</v>
      </c>
      <c r="M327" s="228" t="n">
        <v>7000</v>
      </c>
      <c r="N327" s="228"/>
      <c r="Q327" s="212"/>
      <c r="R327" s="212"/>
      <c r="S327" s="212"/>
    </row>
    <row r="328" customFormat="false" ht="15" hidden="true" customHeight="false" outlineLevel="0" collapsed="false">
      <c r="B328" s="267" t="n">
        <v>2022</v>
      </c>
      <c r="C328" s="268" t="n">
        <v>3</v>
      </c>
      <c r="D328" s="226" t="s">
        <v>44</v>
      </c>
      <c r="E328" s="221" t="n">
        <v>36826974454</v>
      </c>
      <c r="F328" s="221" t="n">
        <v>95573006</v>
      </c>
      <c r="G328" s="269" t="n">
        <v>1</v>
      </c>
      <c r="H328" s="287" t="s">
        <v>188</v>
      </c>
      <c r="I328" s="273" t="n">
        <v>4253.4</v>
      </c>
      <c r="J328" s="228" t="n">
        <v>4253.4</v>
      </c>
      <c r="K328" s="228" t="n">
        <v>4253.4</v>
      </c>
      <c r="L328" s="228" t="n">
        <v>0</v>
      </c>
      <c r="M328" s="228" t="n">
        <v>4253.4</v>
      </c>
      <c r="N328" s="228"/>
      <c r="Q328" s="212"/>
      <c r="R328" s="212"/>
      <c r="S328" s="212"/>
    </row>
    <row r="329" customFormat="false" ht="15" hidden="true" customHeight="false" outlineLevel="0" collapsed="false">
      <c r="B329" s="267" t="n">
        <v>2022</v>
      </c>
      <c r="C329" s="268" t="n">
        <v>3</v>
      </c>
      <c r="D329" s="226" t="s">
        <v>44</v>
      </c>
      <c r="E329" s="221" t="n">
        <v>17630785580</v>
      </c>
      <c r="F329" s="221" t="n">
        <v>95529415</v>
      </c>
      <c r="G329" s="269" t="n">
        <v>1</v>
      </c>
      <c r="H329" s="287" t="s">
        <v>81</v>
      </c>
      <c r="I329" s="273" t="n">
        <v>4572.4</v>
      </c>
      <c r="J329" s="228" t="n">
        <v>14572.4</v>
      </c>
      <c r="K329" s="228" t="n">
        <v>4572.4</v>
      </c>
      <c r="L329" s="228" t="n">
        <v>10000</v>
      </c>
      <c r="M329" s="228" t="n">
        <v>14572.4</v>
      </c>
      <c r="N329" s="228"/>
      <c r="Q329" s="212"/>
      <c r="R329" s="212"/>
      <c r="S329" s="212"/>
    </row>
    <row r="330" customFormat="false" ht="15" hidden="true" customHeight="false" outlineLevel="0" collapsed="false">
      <c r="B330" s="267" t="n">
        <v>2022</v>
      </c>
      <c r="C330" s="268" t="n">
        <v>3</v>
      </c>
      <c r="D330" s="226" t="s">
        <v>44</v>
      </c>
      <c r="E330" s="221" t="n">
        <v>27172394690</v>
      </c>
      <c r="F330" s="221" t="n">
        <v>95702622</v>
      </c>
      <c r="G330" s="269" t="n">
        <v>1</v>
      </c>
      <c r="H330" s="288" t="s">
        <v>72</v>
      </c>
      <c r="I330" s="273" t="n">
        <v>771.45</v>
      </c>
      <c r="J330" s="228" t="n">
        <v>6000</v>
      </c>
      <c r="K330" s="228" t="n">
        <v>771.45</v>
      </c>
      <c r="L330" s="228" t="n">
        <v>4728.55</v>
      </c>
      <c r="M330" s="228" t="n">
        <v>5500</v>
      </c>
      <c r="N330" s="228" t="n">
        <v>-500</v>
      </c>
      <c r="Q330" s="212"/>
      <c r="R330" s="212"/>
      <c r="S330" s="212"/>
    </row>
    <row r="331" customFormat="false" ht="15" hidden="true" customHeight="false" outlineLevel="0" collapsed="false">
      <c r="B331" s="267" t="n">
        <v>2022</v>
      </c>
      <c r="C331" s="268" t="n">
        <v>3</v>
      </c>
      <c r="D331" s="226" t="s">
        <v>44</v>
      </c>
      <c r="E331" s="221" t="n">
        <v>64996156028</v>
      </c>
      <c r="F331" s="221" t="n">
        <v>95539771</v>
      </c>
      <c r="G331" s="269" t="n">
        <v>1</v>
      </c>
      <c r="H331" s="286" t="s">
        <v>55</v>
      </c>
      <c r="I331" s="273" t="n">
        <v>4253.4</v>
      </c>
      <c r="J331" s="228" t="n">
        <v>4253.4</v>
      </c>
      <c r="K331" s="228" t="n">
        <v>4253.4</v>
      </c>
      <c r="L331" s="228" t="n">
        <v>0</v>
      </c>
      <c r="M331" s="228" t="n">
        <v>4253.4</v>
      </c>
      <c r="N331" s="228"/>
      <c r="Q331" s="212"/>
      <c r="R331" s="212"/>
      <c r="S331" s="212"/>
    </row>
    <row r="332" customFormat="false" ht="15" hidden="true" customHeight="false" outlineLevel="0" collapsed="false">
      <c r="B332" s="267" t="n">
        <v>2022</v>
      </c>
      <c r="C332" s="268" t="n">
        <v>3</v>
      </c>
      <c r="D332" s="226" t="s">
        <v>44</v>
      </c>
      <c r="E332" s="221" t="n">
        <v>59233322526</v>
      </c>
      <c r="F332" s="221" t="n">
        <v>96712272</v>
      </c>
      <c r="G332" s="269" t="n">
        <v>1</v>
      </c>
      <c r="H332" s="287" t="s">
        <v>68</v>
      </c>
      <c r="I332" s="273" t="n">
        <v>4730.39</v>
      </c>
      <c r="J332" s="228" t="n">
        <v>7200</v>
      </c>
      <c r="K332" s="228" t="n">
        <v>4730.39</v>
      </c>
      <c r="L332" s="228" t="n">
        <v>2469.61</v>
      </c>
      <c r="M332" s="228" t="n">
        <v>7200</v>
      </c>
      <c r="N332" s="228"/>
      <c r="Q332" s="212"/>
      <c r="R332" s="212"/>
      <c r="S332" s="212"/>
    </row>
    <row r="333" customFormat="false" ht="15" hidden="true" customHeight="false" outlineLevel="0" collapsed="false">
      <c r="B333" s="267" t="n">
        <v>2022</v>
      </c>
      <c r="C333" s="268" t="n">
        <v>3</v>
      </c>
      <c r="D333" s="226" t="s">
        <v>44</v>
      </c>
      <c r="E333" s="221" t="n">
        <v>55186680706</v>
      </c>
      <c r="F333" s="221" t="n">
        <v>95787183</v>
      </c>
      <c r="G333" s="269" t="n">
        <v>1</v>
      </c>
      <c r="H333" s="286" t="s">
        <v>73</v>
      </c>
      <c r="I333" s="273" t="n">
        <v>2126.7</v>
      </c>
      <c r="J333" s="228" t="n">
        <v>5000</v>
      </c>
      <c r="K333" s="228" t="n">
        <v>2126.7</v>
      </c>
      <c r="L333" s="228" t="n">
        <v>2873.3</v>
      </c>
      <c r="M333" s="228" t="n">
        <v>5000</v>
      </c>
      <c r="N333" s="228"/>
      <c r="Q333" s="212"/>
      <c r="R333" s="212"/>
      <c r="S333" s="212"/>
    </row>
    <row r="334" customFormat="false" ht="15" hidden="true" customHeight="false" outlineLevel="0" collapsed="false">
      <c r="B334" s="267" t="n">
        <v>2022</v>
      </c>
      <c r="C334" s="268" t="n">
        <v>3</v>
      </c>
      <c r="D334" s="226" t="s">
        <v>44</v>
      </c>
      <c r="E334" s="221" t="n">
        <v>21242693324</v>
      </c>
      <c r="F334" s="221" t="n">
        <v>95532064</v>
      </c>
      <c r="G334" s="269" t="n">
        <v>1</v>
      </c>
      <c r="H334" s="287" t="s">
        <v>85</v>
      </c>
      <c r="I334" s="273" t="n">
        <v>4730.39</v>
      </c>
      <c r="J334" s="228" t="n">
        <v>4730.39</v>
      </c>
      <c r="K334" s="228" t="n">
        <v>4730.39</v>
      </c>
      <c r="L334" s="228" t="n">
        <v>0</v>
      </c>
      <c r="M334" s="228" t="n">
        <v>4730.39</v>
      </c>
      <c r="N334" s="228"/>
      <c r="Q334" s="212"/>
      <c r="R334" s="212"/>
      <c r="S334" s="212"/>
    </row>
    <row r="335" customFormat="false" ht="15" hidden="true" customHeight="false" outlineLevel="0" collapsed="false">
      <c r="B335" s="267" t="n">
        <v>2022</v>
      </c>
      <c r="C335" s="268" t="n">
        <v>3</v>
      </c>
      <c r="D335" s="226" t="s">
        <v>44</v>
      </c>
      <c r="E335" s="221" t="n">
        <v>17159801204</v>
      </c>
      <c r="F335" s="221" t="n">
        <v>95532066</v>
      </c>
      <c r="G335" s="269" t="n">
        <v>1</v>
      </c>
      <c r="H335" s="287" t="s">
        <v>87</v>
      </c>
      <c r="I335" s="273" t="n">
        <v>4730.39</v>
      </c>
      <c r="J335" s="228" t="n">
        <v>4730.39</v>
      </c>
      <c r="K335" s="228" t="n">
        <v>4730.39</v>
      </c>
      <c r="L335" s="228" t="n">
        <v>0</v>
      </c>
      <c r="M335" s="228" t="n">
        <v>4730.39</v>
      </c>
      <c r="N335" s="228"/>
      <c r="Q335" s="212"/>
      <c r="R335" s="212"/>
      <c r="S335" s="212"/>
    </row>
    <row r="336" customFormat="false" ht="15" hidden="true" customHeight="false" outlineLevel="0" collapsed="false">
      <c r="B336" s="267" t="n">
        <v>2022</v>
      </c>
      <c r="C336" s="268" t="n">
        <v>3</v>
      </c>
      <c r="D336" s="226" t="s">
        <v>44</v>
      </c>
      <c r="E336" s="221" t="n">
        <v>66385338732</v>
      </c>
      <c r="F336" s="221" t="n">
        <v>96717247</v>
      </c>
      <c r="G336" s="269" t="n">
        <v>1</v>
      </c>
      <c r="H336" s="287" t="s">
        <v>52</v>
      </c>
      <c r="I336" s="273" t="n">
        <v>3547.79</v>
      </c>
      <c r="J336" s="228" t="n">
        <v>3547.79</v>
      </c>
      <c r="K336" s="228" t="n">
        <v>3547.79</v>
      </c>
      <c r="L336" s="228" t="n">
        <v>0</v>
      </c>
      <c r="M336" s="228" t="n">
        <v>3547.79</v>
      </c>
      <c r="N336" s="228"/>
      <c r="P336" s="212" t="n">
        <v>-1182.61</v>
      </c>
      <c r="Q336" s="212"/>
      <c r="R336" s="212"/>
      <c r="S336" s="31"/>
    </row>
    <row r="337" customFormat="false" ht="15" hidden="true" customHeight="false" outlineLevel="0" collapsed="false">
      <c r="B337" s="267" t="n">
        <v>2022</v>
      </c>
      <c r="C337" s="268" t="n">
        <v>3</v>
      </c>
      <c r="D337" s="226" t="s">
        <v>44</v>
      </c>
      <c r="E337" s="221" t="n">
        <v>23764482950</v>
      </c>
      <c r="F337" s="221" t="n">
        <v>95532077</v>
      </c>
      <c r="G337" s="269" t="n">
        <v>1</v>
      </c>
      <c r="H337" s="287" t="s">
        <v>93</v>
      </c>
      <c r="I337" s="273" t="n">
        <v>771.45</v>
      </c>
      <c r="J337" s="228" t="n">
        <v>7000</v>
      </c>
      <c r="K337" s="228" t="n">
        <v>771.45</v>
      </c>
      <c r="L337" s="228" t="n">
        <v>6228.55</v>
      </c>
      <c r="M337" s="228" t="n">
        <v>7000</v>
      </c>
      <c r="N337" s="228"/>
      <c r="Q337" s="273" t="n">
        <v>25</v>
      </c>
      <c r="R337" s="212"/>
      <c r="S337" s="212"/>
    </row>
    <row r="338" customFormat="false" ht="15" hidden="true" customHeight="false" outlineLevel="0" collapsed="false">
      <c r="B338" s="267" t="n">
        <v>2022</v>
      </c>
      <c r="C338" s="268" t="n">
        <v>3</v>
      </c>
      <c r="D338" s="226" t="s">
        <v>36</v>
      </c>
      <c r="E338" s="221" t="n">
        <v>25672444846</v>
      </c>
      <c r="F338" s="221" t="n">
        <v>95693810</v>
      </c>
      <c r="G338" s="269" t="n">
        <v>1</v>
      </c>
      <c r="H338" s="287" t="s">
        <v>245</v>
      </c>
      <c r="I338" s="273" t="n">
        <v>4730.39</v>
      </c>
      <c r="J338" s="228" t="n">
        <v>6000</v>
      </c>
      <c r="K338" s="228" t="n">
        <v>4730.39</v>
      </c>
      <c r="L338" s="228" t="n">
        <v>1269.61</v>
      </c>
      <c r="M338" s="228" t="n">
        <v>6000</v>
      </c>
      <c r="N338" s="228"/>
      <c r="Q338" s="212"/>
      <c r="R338" s="212"/>
      <c r="S338" s="212"/>
    </row>
    <row r="339" customFormat="false" ht="15" hidden="true" customHeight="false" outlineLevel="0" collapsed="false">
      <c r="B339" s="267" t="n">
        <v>2022</v>
      </c>
      <c r="C339" s="268" t="n">
        <v>3</v>
      </c>
      <c r="D339" s="226" t="s">
        <v>36</v>
      </c>
      <c r="E339" s="221" t="n">
        <v>15394555838</v>
      </c>
      <c r="F339" s="221" t="n">
        <v>95580195</v>
      </c>
      <c r="G339" s="269" t="n">
        <v>1</v>
      </c>
      <c r="H339" s="287" t="s">
        <v>48</v>
      </c>
      <c r="I339" s="228" t="n">
        <v>0</v>
      </c>
      <c r="J339" s="228" t="n">
        <v>6000</v>
      </c>
      <c r="K339" s="228" t="n">
        <v>0</v>
      </c>
      <c r="L339" s="228" t="n">
        <v>6000</v>
      </c>
      <c r="M339" s="228" t="n">
        <v>6000</v>
      </c>
      <c r="N339" s="228"/>
      <c r="Q339" s="212"/>
      <c r="R339" s="212"/>
      <c r="S339" s="212"/>
    </row>
    <row r="340" customFormat="false" ht="15" hidden="true" customHeight="false" outlineLevel="0" collapsed="false">
      <c r="B340" s="267" t="n">
        <v>2022</v>
      </c>
      <c r="C340" s="268" t="n">
        <v>3</v>
      </c>
      <c r="D340" s="226" t="s">
        <v>44</v>
      </c>
      <c r="E340" s="221" t="n">
        <v>33853146700</v>
      </c>
      <c r="F340" s="221" t="n">
        <v>96959868</v>
      </c>
      <c r="G340" s="269" t="n">
        <v>1</v>
      </c>
      <c r="H340" s="287" t="s">
        <v>247</v>
      </c>
      <c r="I340" s="273" t="n">
        <v>5091.93</v>
      </c>
      <c r="J340" s="228" t="n">
        <v>7000</v>
      </c>
      <c r="K340" s="228" t="n">
        <v>5091.93</v>
      </c>
      <c r="L340" s="228" t="n">
        <v>1674.74</v>
      </c>
      <c r="M340" s="228" t="n">
        <v>6766.67</v>
      </c>
      <c r="N340" s="228" t="n">
        <v>-233.33</v>
      </c>
      <c r="O340" s="212" t="s">
        <v>285</v>
      </c>
      <c r="Q340" s="212" t="n">
        <v>1</v>
      </c>
      <c r="R340" s="212"/>
      <c r="S340" s="212" t="s">
        <v>285</v>
      </c>
    </row>
    <row r="341" customFormat="false" ht="15" hidden="true" customHeight="false" outlineLevel="0" collapsed="false">
      <c r="B341" s="267" t="n">
        <v>2022</v>
      </c>
      <c r="C341" s="268" t="n">
        <v>3</v>
      </c>
      <c r="D341" s="226" t="s">
        <v>44</v>
      </c>
      <c r="E341" s="221" t="n">
        <v>51994540164</v>
      </c>
      <c r="F341" s="221" t="n">
        <v>96900867</v>
      </c>
      <c r="G341" s="269" t="n">
        <v>1</v>
      </c>
      <c r="H341" s="287" t="s">
        <v>97</v>
      </c>
      <c r="I341" s="273" t="n">
        <v>4572.4</v>
      </c>
      <c r="J341" s="228" t="n">
        <v>4572.4</v>
      </c>
      <c r="K341" s="228" t="n">
        <v>4572.4</v>
      </c>
      <c r="L341" s="228" t="n">
        <v>0</v>
      </c>
      <c r="M341" s="228" t="n">
        <v>4572.4</v>
      </c>
      <c r="N341" s="228"/>
      <c r="Q341" s="212"/>
      <c r="R341" s="212"/>
      <c r="S341" s="212"/>
    </row>
    <row r="342" customFormat="false" ht="15" hidden="true" customHeight="false" outlineLevel="0" collapsed="false">
      <c r="B342" s="267" t="n">
        <v>2022</v>
      </c>
      <c r="C342" s="268" t="n">
        <v>3</v>
      </c>
      <c r="D342" s="226" t="s">
        <v>44</v>
      </c>
      <c r="E342" s="221" t="n">
        <v>52657562356</v>
      </c>
      <c r="F342" s="221" t="n">
        <v>97011710</v>
      </c>
      <c r="G342" s="269" t="n">
        <v>1</v>
      </c>
      <c r="H342" s="287" t="s">
        <v>248</v>
      </c>
      <c r="I342" s="273" t="n">
        <v>4253.4</v>
      </c>
      <c r="J342" s="228" t="n">
        <v>4253.4</v>
      </c>
      <c r="K342" s="228" t="n">
        <v>4253.4</v>
      </c>
      <c r="L342" s="228" t="n">
        <v>0</v>
      </c>
      <c r="M342" s="228" t="n">
        <v>4253.4</v>
      </c>
      <c r="N342" s="228"/>
      <c r="Q342" s="212"/>
      <c r="R342" s="212"/>
      <c r="S342" s="212"/>
    </row>
    <row r="343" customFormat="false" ht="15" hidden="true" customHeight="false" outlineLevel="0" collapsed="false">
      <c r="B343" s="267" t="n">
        <v>2022</v>
      </c>
      <c r="C343" s="268" t="n">
        <v>3</v>
      </c>
      <c r="D343" s="226" t="s">
        <v>36</v>
      </c>
      <c r="E343" s="221" t="n">
        <v>10459950610</v>
      </c>
      <c r="F343" s="221" t="n">
        <v>97226520</v>
      </c>
      <c r="G343" s="269" t="n">
        <v>1</v>
      </c>
      <c r="H343" s="287" t="s">
        <v>195</v>
      </c>
      <c r="I343" s="273" t="n">
        <v>4730.39</v>
      </c>
      <c r="J343" s="228" t="n">
        <v>6000</v>
      </c>
      <c r="K343" s="228" t="n">
        <v>4730.39</v>
      </c>
      <c r="L343" s="228" t="n">
        <v>1269.61</v>
      </c>
      <c r="M343" s="228" t="n">
        <v>6000</v>
      </c>
      <c r="N343" s="228"/>
      <c r="Q343" s="212"/>
      <c r="R343" s="212"/>
      <c r="S343" s="212"/>
    </row>
    <row r="344" customFormat="false" ht="15" hidden="true" customHeight="false" outlineLevel="0" collapsed="false">
      <c r="B344" s="267" t="n">
        <v>2022</v>
      </c>
      <c r="C344" s="268" t="n">
        <v>3</v>
      </c>
      <c r="D344" s="226" t="s">
        <v>44</v>
      </c>
      <c r="E344" s="221" t="n">
        <v>23713484608</v>
      </c>
      <c r="F344" s="221" t="n">
        <v>97189681</v>
      </c>
      <c r="G344" s="269" t="n">
        <v>1</v>
      </c>
      <c r="H344" s="287" t="s">
        <v>100</v>
      </c>
      <c r="I344" s="273" t="n">
        <v>4730.39</v>
      </c>
      <c r="J344" s="228" t="n">
        <v>6000</v>
      </c>
      <c r="K344" s="228" t="n">
        <v>4730.39</v>
      </c>
      <c r="L344" s="228" t="n">
        <v>1269.61</v>
      </c>
      <c r="M344" s="228" t="n">
        <v>6000</v>
      </c>
      <c r="N344" s="228"/>
      <c r="Q344" s="212"/>
      <c r="R344" s="212"/>
      <c r="S344" s="212"/>
    </row>
    <row r="345" customFormat="false" ht="15" hidden="true" customHeight="false" outlineLevel="0" collapsed="false">
      <c r="B345" s="267" t="n">
        <v>2022</v>
      </c>
      <c r="C345" s="268" t="n">
        <v>3</v>
      </c>
      <c r="D345" s="226" t="s">
        <v>44</v>
      </c>
      <c r="E345" s="221" t="n">
        <v>17891875174</v>
      </c>
      <c r="F345" s="221" t="n">
        <v>6214238</v>
      </c>
      <c r="G345" s="269" t="n">
        <v>1</v>
      </c>
      <c r="H345" s="287" t="s">
        <v>190</v>
      </c>
      <c r="I345" s="273" t="n">
        <v>4253.4</v>
      </c>
      <c r="J345" s="228" t="n">
        <v>4253.4</v>
      </c>
      <c r="K345" s="228" t="n">
        <v>4253.4</v>
      </c>
      <c r="L345" s="228" t="n">
        <v>0</v>
      </c>
      <c r="M345" s="228" t="n">
        <v>4253.4</v>
      </c>
      <c r="N345" s="228"/>
      <c r="Q345" s="212"/>
      <c r="R345" s="212"/>
      <c r="S345" s="212"/>
    </row>
    <row r="346" customFormat="false" ht="15" hidden="true" customHeight="false" outlineLevel="0" collapsed="false">
      <c r="B346" s="267" t="n">
        <v>2022</v>
      </c>
      <c r="C346" s="268" t="n">
        <v>3</v>
      </c>
      <c r="D346" s="226" t="s">
        <v>44</v>
      </c>
      <c r="E346" s="221" t="n">
        <v>13345619462</v>
      </c>
      <c r="F346" s="221" t="n">
        <v>97522183</v>
      </c>
      <c r="G346" s="269" t="n">
        <v>1</v>
      </c>
      <c r="H346" s="287" t="s">
        <v>71</v>
      </c>
      <c r="I346" s="273" t="n">
        <v>771.45</v>
      </c>
      <c r="J346" s="228" t="n">
        <v>6000</v>
      </c>
      <c r="K346" s="228" t="n">
        <v>771.45</v>
      </c>
      <c r="L346" s="228" t="n">
        <v>5228.55</v>
      </c>
      <c r="M346" s="228" t="n">
        <v>6000</v>
      </c>
      <c r="N346" s="228"/>
      <c r="Q346" s="273" t="n">
        <v>25</v>
      </c>
      <c r="R346" s="212"/>
      <c r="S346" s="212"/>
    </row>
    <row r="347" customFormat="false" ht="15" hidden="true" customHeight="false" outlineLevel="0" collapsed="false">
      <c r="B347" s="267" t="n">
        <v>2022</v>
      </c>
      <c r="C347" s="268" t="n">
        <v>3</v>
      </c>
      <c r="D347" s="226" t="s">
        <v>44</v>
      </c>
      <c r="E347" s="221" t="n">
        <v>0</v>
      </c>
      <c r="F347" s="221" t="n">
        <v>0</v>
      </c>
      <c r="G347" s="269" t="n">
        <v>0</v>
      </c>
      <c r="H347" s="287" t="s">
        <v>267</v>
      </c>
      <c r="I347" s="273" t="n">
        <v>0</v>
      </c>
      <c r="J347" s="228" t="n">
        <v>4253</v>
      </c>
      <c r="K347" s="228" t="n">
        <v>0</v>
      </c>
      <c r="L347" s="228" t="n">
        <v>4253</v>
      </c>
      <c r="M347" s="228" t="n">
        <v>4253</v>
      </c>
      <c r="N347" s="228"/>
      <c r="Q347" s="212"/>
      <c r="R347" s="212"/>
      <c r="S347" s="212"/>
    </row>
    <row r="348" customFormat="false" ht="15" hidden="true" customHeight="false" outlineLevel="0" collapsed="false">
      <c r="B348" s="267" t="n">
        <v>2022</v>
      </c>
      <c r="C348" s="268" t="n">
        <v>3</v>
      </c>
      <c r="D348" s="226" t="s">
        <v>44</v>
      </c>
      <c r="E348" s="221" t="n">
        <v>0</v>
      </c>
      <c r="F348" s="221" t="n">
        <v>0</v>
      </c>
      <c r="G348" s="269" t="n">
        <v>0</v>
      </c>
      <c r="H348" s="287" t="s">
        <v>102</v>
      </c>
      <c r="I348" s="273" t="n">
        <v>0</v>
      </c>
      <c r="J348" s="228" t="n">
        <v>6000</v>
      </c>
      <c r="K348" s="228" t="n">
        <v>0</v>
      </c>
      <c r="L348" s="228" t="n">
        <v>6000</v>
      </c>
      <c r="M348" s="228" t="n">
        <v>6000</v>
      </c>
      <c r="N348" s="228"/>
      <c r="Q348" s="212"/>
      <c r="R348" s="212"/>
      <c r="S348" s="212"/>
    </row>
    <row r="349" customFormat="false" ht="15" hidden="true" customHeight="false" outlineLevel="0" collapsed="false">
      <c r="B349" s="267" t="n">
        <v>2022</v>
      </c>
      <c r="C349" s="268" t="n">
        <v>3</v>
      </c>
      <c r="D349" s="226" t="s">
        <v>36</v>
      </c>
      <c r="E349" s="221" t="n">
        <v>14233727054</v>
      </c>
      <c r="F349" s="221" t="n">
        <v>97522331</v>
      </c>
      <c r="G349" s="269" t="n">
        <v>1</v>
      </c>
      <c r="H349" s="287" t="s">
        <v>276</v>
      </c>
      <c r="I349" s="273" t="n">
        <v>771.45</v>
      </c>
      <c r="J349" s="228" t="n">
        <v>6000</v>
      </c>
      <c r="K349" s="228" t="n">
        <v>771.45</v>
      </c>
      <c r="L349" s="228" t="n">
        <v>5228.55</v>
      </c>
      <c r="M349" s="228" t="n">
        <v>6000</v>
      </c>
      <c r="N349" s="228"/>
      <c r="Q349" s="273" t="n">
        <v>25</v>
      </c>
      <c r="R349" s="212"/>
      <c r="S349" s="212"/>
    </row>
    <row r="350" customFormat="false" ht="15" hidden="true" customHeight="false" outlineLevel="0" collapsed="false">
      <c r="B350" s="267" t="n">
        <v>2022</v>
      </c>
      <c r="C350" s="268" t="n">
        <v>3</v>
      </c>
      <c r="D350" s="226" t="s">
        <v>44</v>
      </c>
      <c r="E350" s="221" t="n">
        <v>22093575890</v>
      </c>
      <c r="F350" s="221" t="n">
        <v>96260905</v>
      </c>
      <c r="G350" s="269" t="n">
        <v>1</v>
      </c>
      <c r="H350" s="287" t="s">
        <v>58</v>
      </c>
      <c r="I350" s="273" t="n">
        <v>4253.4</v>
      </c>
      <c r="J350" s="228" t="n">
        <v>4253.4</v>
      </c>
      <c r="K350" s="228" t="n">
        <v>4253.4</v>
      </c>
      <c r="L350" s="228" t="n">
        <v>0</v>
      </c>
      <c r="M350" s="228" t="n">
        <v>4253.4</v>
      </c>
      <c r="N350" s="228"/>
      <c r="Q350" s="273"/>
      <c r="R350" s="212"/>
      <c r="S350" s="212"/>
    </row>
    <row r="351" customFormat="false" ht="15" hidden="true" customHeight="false" outlineLevel="0" collapsed="false">
      <c r="B351" s="267" t="n">
        <v>2022</v>
      </c>
      <c r="C351" s="268" t="n">
        <v>3</v>
      </c>
      <c r="D351" s="226" t="s">
        <v>36</v>
      </c>
      <c r="E351" s="221" t="n">
        <v>0</v>
      </c>
      <c r="F351" s="221" t="n">
        <v>0</v>
      </c>
      <c r="G351" s="269" t="n">
        <v>0</v>
      </c>
      <c r="H351" s="287" t="s">
        <v>135</v>
      </c>
      <c r="I351" s="228" t="n">
        <v>4000</v>
      </c>
      <c r="J351" s="228" t="n">
        <v>4000</v>
      </c>
      <c r="K351" s="228" t="n">
        <v>4000</v>
      </c>
      <c r="L351" s="228" t="n">
        <v>0</v>
      </c>
      <c r="M351" s="228" t="n">
        <v>4000</v>
      </c>
      <c r="N351" s="228"/>
      <c r="Q351" s="212"/>
      <c r="R351" s="212"/>
      <c r="S351" s="212"/>
    </row>
    <row r="352" customFormat="false" ht="15" hidden="true" customHeight="false" outlineLevel="0" collapsed="false">
      <c r="B352" s="267" t="n">
        <v>2022</v>
      </c>
      <c r="C352" s="268" t="n">
        <v>4</v>
      </c>
      <c r="D352" s="226" t="s">
        <v>44</v>
      </c>
      <c r="E352" s="221" t="n">
        <v>28699369338</v>
      </c>
      <c r="F352" s="221" t="n">
        <v>96358353</v>
      </c>
      <c r="G352" s="269" t="n">
        <v>1</v>
      </c>
      <c r="H352" s="286" t="s">
        <v>79</v>
      </c>
      <c r="I352" s="290" t="n">
        <v>4730.39</v>
      </c>
      <c r="J352" s="228" t="n">
        <v>7000</v>
      </c>
      <c r="K352" s="228" t="n">
        <v>4730.39</v>
      </c>
      <c r="L352" s="228" t="n">
        <v>2269.61</v>
      </c>
      <c r="M352" s="228" t="n">
        <v>7000</v>
      </c>
      <c r="N352" s="228"/>
      <c r="Q352" s="212"/>
      <c r="R352" s="212"/>
      <c r="S352" s="212"/>
    </row>
    <row r="353" customFormat="false" ht="15" hidden="true" customHeight="false" outlineLevel="0" collapsed="false">
      <c r="B353" s="267" t="n">
        <v>2022</v>
      </c>
      <c r="C353" s="268" t="n">
        <v>4</v>
      </c>
      <c r="D353" s="226" t="s">
        <v>44</v>
      </c>
      <c r="E353" s="221" t="n">
        <v>63097169876</v>
      </c>
      <c r="F353" s="221" t="n">
        <v>96843148</v>
      </c>
      <c r="G353" s="269" t="n">
        <v>1</v>
      </c>
      <c r="H353" s="287" t="s">
        <v>122</v>
      </c>
      <c r="I353" s="290" t="n">
        <v>5091.93</v>
      </c>
      <c r="J353" s="228" t="n">
        <v>7000</v>
      </c>
      <c r="K353" s="228" t="n">
        <v>5091.93</v>
      </c>
      <c r="L353" s="228" t="n">
        <v>1908.07</v>
      </c>
      <c r="M353" s="228" t="n">
        <v>7000</v>
      </c>
      <c r="N353" s="228"/>
      <c r="Q353" s="212"/>
      <c r="R353" s="212"/>
      <c r="S353" s="212"/>
    </row>
    <row r="354" customFormat="false" ht="15" hidden="true" customHeight="false" outlineLevel="0" collapsed="false">
      <c r="B354" s="267" t="n">
        <v>2022</v>
      </c>
      <c r="C354" s="268" t="n">
        <v>4</v>
      </c>
      <c r="D354" s="226" t="s">
        <v>44</v>
      </c>
      <c r="E354" s="221" t="n">
        <v>36826974454</v>
      </c>
      <c r="F354" s="221" t="n">
        <v>95573006</v>
      </c>
      <c r="G354" s="269" t="n">
        <v>1</v>
      </c>
      <c r="H354" s="287" t="s">
        <v>188</v>
      </c>
      <c r="I354" s="290" t="n">
        <v>4253.4</v>
      </c>
      <c r="J354" s="228" t="n">
        <v>4253.4</v>
      </c>
      <c r="K354" s="228" t="n">
        <v>4253.4</v>
      </c>
      <c r="L354" s="228" t="n">
        <v>0</v>
      </c>
      <c r="M354" s="228" t="n">
        <v>4253.4</v>
      </c>
      <c r="N354" s="228"/>
      <c r="Q354" s="212"/>
      <c r="R354" s="212"/>
      <c r="S354" s="212"/>
    </row>
    <row r="355" customFormat="false" ht="15" hidden="true" customHeight="false" outlineLevel="0" collapsed="false">
      <c r="B355" s="267" t="n">
        <v>2022</v>
      </c>
      <c r="C355" s="268" t="n">
        <v>4</v>
      </c>
      <c r="D355" s="226" t="s">
        <v>44</v>
      </c>
      <c r="E355" s="221" t="n">
        <v>17630785580</v>
      </c>
      <c r="F355" s="221" t="n">
        <v>95529415</v>
      </c>
      <c r="G355" s="269" t="n">
        <v>1</v>
      </c>
      <c r="H355" s="287" t="s">
        <v>81</v>
      </c>
      <c r="I355" s="290" t="n">
        <v>4572.4</v>
      </c>
      <c r="J355" s="228" t="n">
        <v>14572.4</v>
      </c>
      <c r="K355" s="228" t="n">
        <v>4572.4</v>
      </c>
      <c r="L355" s="228" t="n">
        <v>10000</v>
      </c>
      <c r="M355" s="228" t="n">
        <v>14572.4</v>
      </c>
      <c r="N355" s="228"/>
      <c r="Q355" s="212"/>
      <c r="R355" s="212"/>
      <c r="S355" s="212"/>
    </row>
    <row r="356" customFormat="false" ht="15" hidden="true" customHeight="false" outlineLevel="0" collapsed="false">
      <c r="B356" s="267" t="n">
        <v>2022</v>
      </c>
      <c r="C356" s="268" t="n">
        <v>4</v>
      </c>
      <c r="D356" s="226" t="s">
        <v>44</v>
      </c>
      <c r="E356" s="221" t="n">
        <v>27172394690</v>
      </c>
      <c r="F356" s="221" t="n">
        <v>95702622</v>
      </c>
      <c r="G356" s="269" t="n">
        <v>1</v>
      </c>
      <c r="H356" s="288" t="s">
        <v>72</v>
      </c>
      <c r="I356" s="290" t="n">
        <v>771.45</v>
      </c>
      <c r="J356" s="228" t="n">
        <v>6000</v>
      </c>
      <c r="K356" s="228" t="n">
        <v>771.45</v>
      </c>
      <c r="L356" s="228" t="n">
        <v>5028.55</v>
      </c>
      <c r="M356" s="228" t="n">
        <v>5800</v>
      </c>
      <c r="N356" s="228" t="n">
        <v>-200</v>
      </c>
      <c r="Q356" s="212" t="n">
        <v>1</v>
      </c>
      <c r="R356" s="212"/>
      <c r="S356" s="212"/>
    </row>
    <row r="357" customFormat="false" ht="15" hidden="true" customHeight="false" outlineLevel="0" collapsed="false">
      <c r="B357" s="267" t="n">
        <v>2022</v>
      </c>
      <c r="C357" s="268" t="n">
        <v>4</v>
      </c>
      <c r="D357" s="226" t="s">
        <v>44</v>
      </c>
      <c r="E357" s="221" t="n">
        <v>64996156028</v>
      </c>
      <c r="F357" s="221" t="n">
        <v>95539771</v>
      </c>
      <c r="G357" s="269" t="n">
        <v>1</v>
      </c>
      <c r="H357" s="286" t="s">
        <v>55</v>
      </c>
      <c r="I357" s="290" t="n">
        <v>1417.8</v>
      </c>
      <c r="J357" s="228" t="n">
        <v>4253.4</v>
      </c>
      <c r="K357" s="228" t="n">
        <v>1417.8</v>
      </c>
      <c r="L357" s="228" t="n">
        <v>2835.6</v>
      </c>
      <c r="M357" s="228" t="n">
        <v>4253.4</v>
      </c>
      <c r="N357" s="228"/>
      <c r="Q357" s="212"/>
      <c r="R357" s="212"/>
      <c r="S357" s="212"/>
    </row>
    <row r="358" customFormat="false" ht="15" hidden="true" customHeight="false" outlineLevel="0" collapsed="false">
      <c r="B358" s="267" t="n">
        <v>2022</v>
      </c>
      <c r="C358" s="268" t="n">
        <v>4</v>
      </c>
      <c r="D358" s="226" t="s">
        <v>44</v>
      </c>
      <c r="E358" s="221" t="n">
        <v>59233322526</v>
      </c>
      <c r="F358" s="221" t="n">
        <v>96712272</v>
      </c>
      <c r="G358" s="269" t="n">
        <v>1</v>
      </c>
      <c r="H358" s="287" t="s">
        <v>68</v>
      </c>
      <c r="I358" s="290" t="n">
        <v>4730.39</v>
      </c>
      <c r="J358" s="228" t="n">
        <v>7200</v>
      </c>
      <c r="K358" s="228" t="n">
        <v>4730.39</v>
      </c>
      <c r="L358" s="228" t="n">
        <v>2469.61</v>
      </c>
      <c r="M358" s="228" t="n">
        <v>7200</v>
      </c>
      <c r="N358" s="228"/>
      <c r="Q358" s="212"/>
      <c r="R358" s="212"/>
      <c r="S358" s="212"/>
    </row>
    <row r="359" customFormat="false" ht="15" hidden="true" customHeight="false" outlineLevel="0" collapsed="false">
      <c r="B359" s="267" t="n">
        <v>2022</v>
      </c>
      <c r="C359" s="268" t="n">
        <v>4</v>
      </c>
      <c r="D359" s="226" t="s">
        <v>44</v>
      </c>
      <c r="E359" s="221" t="n">
        <v>55186680706</v>
      </c>
      <c r="F359" s="221" t="n">
        <v>95787183</v>
      </c>
      <c r="G359" s="269" t="n">
        <v>1</v>
      </c>
      <c r="H359" s="286" t="s">
        <v>73</v>
      </c>
      <c r="I359" s="290" t="n">
        <v>2126.7</v>
      </c>
      <c r="J359" s="228" t="n">
        <v>5000</v>
      </c>
      <c r="K359" s="228" t="n">
        <v>2126.7</v>
      </c>
      <c r="L359" s="228" t="n">
        <v>2873.3</v>
      </c>
      <c r="M359" s="228" t="n">
        <v>5000</v>
      </c>
      <c r="N359" s="228"/>
      <c r="Q359" s="212"/>
      <c r="R359" s="212"/>
      <c r="S359" s="212"/>
    </row>
    <row r="360" customFormat="false" ht="15" hidden="true" customHeight="false" outlineLevel="0" collapsed="false">
      <c r="B360" s="267" t="n">
        <v>2022</v>
      </c>
      <c r="C360" s="268" t="n">
        <v>4</v>
      </c>
      <c r="D360" s="226" t="s">
        <v>44</v>
      </c>
      <c r="E360" s="221" t="n">
        <v>21242693324</v>
      </c>
      <c r="F360" s="221" t="n">
        <v>95532064</v>
      </c>
      <c r="G360" s="269" t="n">
        <v>1</v>
      </c>
      <c r="H360" s="287" t="s">
        <v>85</v>
      </c>
      <c r="I360" s="290" t="n">
        <v>4730.39</v>
      </c>
      <c r="J360" s="228" t="n">
        <v>4730.39</v>
      </c>
      <c r="K360" s="228" t="n">
        <v>4730.39</v>
      </c>
      <c r="L360" s="228" t="n">
        <v>0</v>
      </c>
      <c r="M360" s="228" t="n">
        <v>4730.39</v>
      </c>
      <c r="N360" s="228"/>
      <c r="Q360" s="212"/>
      <c r="R360" s="212"/>
      <c r="S360" s="212"/>
    </row>
    <row r="361" customFormat="false" ht="15" hidden="true" customHeight="false" outlineLevel="0" collapsed="false">
      <c r="B361" s="267" t="n">
        <v>2022</v>
      </c>
      <c r="C361" s="268" t="n">
        <v>4</v>
      </c>
      <c r="D361" s="226" t="s">
        <v>44</v>
      </c>
      <c r="E361" s="221" t="n">
        <v>17159801204</v>
      </c>
      <c r="F361" s="221" t="n">
        <v>95532066</v>
      </c>
      <c r="G361" s="269" t="n">
        <v>1</v>
      </c>
      <c r="H361" s="287" t="s">
        <v>87</v>
      </c>
      <c r="I361" s="290" t="n">
        <v>4730.39</v>
      </c>
      <c r="J361" s="228" t="n">
        <v>4730.39</v>
      </c>
      <c r="K361" s="228" t="n">
        <v>4730.39</v>
      </c>
      <c r="L361" s="228" t="n">
        <v>0</v>
      </c>
      <c r="M361" s="228" t="n">
        <v>4730.39</v>
      </c>
      <c r="N361" s="228"/>
      <c r="Q361" s="212"/>
      <c r="R361" s="212"/>
      <c r="S361" s="212"/>
    </row>
    <row r="362" customFormat="false" ht="15" hidden="true" customHeight="false" outlineLevel="0" collapsed="false">
      <c r="B362" s="267" t="n">
        <v>2022</v>
      </c>
      <c r="C362" s="268" t="n">
        <v>4</v>
      </c>
      <c r="D362" s="226" t="s">
        <v>44</v>
      </c>
      <c r="E362" s="221" t="n">
        <v>66385338732</v>
      </c>
      <c r="F362" s="221" t="n">
        <v>96717247</v>
      </c>
      <c r="G362" s="269" t="n">
        <v>1</v>
      </c>
      <c r="H362" s="287" t="s">
        <v>52</v>
      </c>
      <c r="I362" s="290" t="n">
        <v>4730.4</v>
      </c>
      <c r="J362" s="228" t="n">
        <v>4730.4</v>
      </c>
      <c r="K362" s="228" t="n">
        <v>4730.4</v>
      </c>
      <c r="L362" s="228" t="n">
        <v>0</v>
      </c>
      <c r="M362" s="228" t="n">
        <v>4730.4</v>
      </c>
      <c r="N362" s="228"/>
      <c r="Q362" s="212"/>
      <c r="R362" s="212"/>
      <c r="S362" s="31"/>
    </row>
    <row r="363" customFormat="false" ht="15" hidden="true" customHeight="false" outlineLevel="0" collapsed="false">
      <c r="B363" s="267" t="n">
        <v>2022</v>
      </c>
      <c r="C363" s="268" t="n">
        <v>4</v>
      </c>
      <c r="D363" s="226" t="s">
        <v>44</v>
      </c>
      <c r="E363" s="221" t="n">
        <v>23764482950</v>
      </c>
      <c r="F363" s="221" t="n">
        <v>95532077</v>
      </c>
      <c r="G363" s="269" t="n">
        <v>1</v>
      </c>
      <c r="H363" s="287" t="s">
        <v>93</v>
      </c>
      <c r="I363" s="290" t="n">
        <v>771.45</v>
      </c>
      <c r="J363" s="228" t="n">
        <v>7000</v>
      </c>
      <c r="K363" s="228" t="n">
        <v>771.45</v>
      </c>
      <c r="L363" s="228" t="n">
        <v>4128.55</v>
      </c>
      <c r="M363" s="228" t="n">
        <v>4900</v>
      </c>
      <c r="N363" s="228" t="n">
        <v>-2100</v>
      </c>
      <c r="O363" s="212" t="s">
        <v>288</v>
      </c>
      <c r="Q363" s="273" t="n">
        <v>25</v>
      </c>
      <c r="R363" s="212"/>
      <c r="S363" s="212" t="s">
        <v>288</v>
      </c>
    </row>
    <row r="364" customFormat="false" ht="15" hidden="true" customHeight="false" outlineLevel="0" collapsed="false">
      <c r="B364" s="267" t="n">
        <v>2022</v>
      </c>
      <c r="C364" s="268" t="n">
        <v>4</v>
      </c>
      <c r="D364" s="226" t="s">
        <v>36</v>
      </c>
      <c r="E364" s="221" t="n">
        <v>25672444846</v>
      </c>
      <c r="F364" s="221" t="n">
        <v>95693810</v>
      </c>
      <c r="G364" s="269" t="n">
        <v>1</v>
      </c>
      <c r="H364" s="287" t="s">
        <v>245</v>
      </c>
      <c r="I364" s="290" t="n">
        <v>4730.39</v>
      </c>
      <c r="J364" s="228" t="n">
        <v>6000</v>
      </c>
      <c r="K364" s="228" t="n">
        <v>4730.39</v>
      </c>
      <c r="L364" s="228" t="n">
        <v>1269.61</v>
      </c>
      <c r="M364" s="228" t="n">
        <v>6000</v>
      </c>
      <c r="N364" s="228"/>
      <c r="Q364" s="212"/>
      <c r="R364" s="212"/>
      <c r="S364" s="212"/>
    </row>
    <row r="365" customFormat="false" ht="15" hidden="true" customHeight="false" outlineLevel="0" collapsed="false">
      <c r="B365" s="267" t="n">
        <v>2022</v>
      </c>
      <c r="C365" s="268" t="n">
        <v>4</v>
      </c>
      <c r="D365" s="226" t="s">
        <v>44</v>
      </c>
      <c r="E365" s="221" t="n">
        <v>38233125580</v>
      </c>
      <c r="F365" s="221" t="n">
        <v>95532065</v>
      </c>
      <c r="G365" s="269" t="n">
        <v>1</v>
      </c>
      <c r="H365" s="287" t="s">
        <v>289</v>
      </c>
      <c r="I365" s="228" t="n">
        <v>4730.39</v>
      </c>
      <c r="J365" s="228" t="n">
        <v>7000</v>
      </c>
      <c r="K365" s="228"/>
      <c r="L365" s="228" t="n">
        <v>2330</v>
      </c>
      <c r="M365" s="228" t="n">
        <v>7060.39</v>
      </c>
      <c r="N365" s="228"/>
      <c r="Q365" s="212"/>
      <c r="R365" s="212"/>
      <c r="S365" s="212"/>
    </row>
    <row r="366" customFormat="false" ht="15" hidden="true" customHeight="false" outlineLevel="0" collapsed="false">
      <c r="B366" s="267" t="n">
        <v>2022</v>
      </c>
      <c r="C366" s="268" t="n">
        <v>4</v>
      </c>
      <c r="D366" s="226" t="s">
        <v>44</v>
      </c>
      <c r="E366" s="221" t="n">
        <v>33853146700</v>
      </c>
      <c r="F366" s="221" t="n">
        <v>96959868</v>
      </c>
      <c r="G366" s="269" t="n">
        <v>1</v>
      </c>
      <c r="H366" s="287" t="s">
        <v>247</v>
      </c>
      <c r="I366" s="290" t="n">
        <v>5091.93</v>
      </c>
      <c r="J366" s="228" t="n">
        <v>7000</v>
      </c>
      <c r="K366" s="228" t="n">
        <v>5091.93</v>
      </c>
      <c r="L366" s="228" t="n">
        <v>675.07</v>
      </c>
      <c r="M366" s="228" t="n">
        <v>5767</v>
      </c>
      <c r="N366" s="228" t="n">
        <v>-1233</v>
      </c>
      <c r="O366" s="212" t="s">
        <v>285</v>
      </c>
      <c r="Q366" s="212" t="n">
        <v>1</v>
      </c>
      <c r="R366" s="212"/>
      <c r="S366" s="291" t="s">
        <v>285</v>
      </c>
    </row>
    <row r="367" customFormat="false" ht="15" hidden="true" customHeight="false" outlineLevel="0" collapsed="false">
      <c r="B367" s="267" t="n">
        <v>2022</v>
      </c>
      <c r="C367" s="268" t="n">
        <v>4</v>
      </c>
      <c r="D367" s="226" t="s">
        <v>44</v>
      </c>
      <c r="E367" s="221" t="n">
        <v>51994540164</v>
      </c>
      <c r="F367" s="221" t="n">
        <v>96900867</v>
      </c>
      <c r="G367" s="269" t="n">
        <v>1</v>
      </c>
      <c r="H367" s="287" t="s">
        <v>97</v>
      </c>
      <c r="I367" s="290" t="n">
        <v>4572.4</v>
      </c>
      <c r="J367" s="228" t="n">
        <v>4572.4</v>
      </c>
      <c r="K367" s="228" t="n">
        <v>4572.4</v>
      </c>
      <c r="L367" s="228" t="n">
        <v>0</v>
      </c>
      <c r="M367" s="228" t="n">
        <v>4572.4</v>
      </c>
      <c r="N367" s="228"/>
      <c r="Q367" s="212"/>
      <c r="R367" s="212"/>
      <c r="S367" s="212"/>
    </row>
    <row r="368" customFormat="false" ht="15" hidden="true" customHeight="false" outlineLevel="0" collapsed="false">
      <c r="B368" s="267" t="n">
        <v>2022</v>
      </c>
      <c r="C368" s="268" t="n">
        <v>4</v>
      </c>
      <c r="D368" s="226" t="s">
        <v>44</v>
      </c>
      <c r="E368" s="221" t="n">
        <v>52657562356</v>
      </c>
      <c r="F368" s="221" t="n">
        <v>97011710</v>
      </c>
      <c r="G368" s="269" t="n">
        <v>1</v>
      </c>
      <c r="H368" s="287" t="s">
        <v>248</v>
      </c>
      <c r="I368" s="290" t="n">
        <v>4253.4</v>
      </c>
      <c r="J368" s="228" t="n">
        <v>4253.4</v>
      </c>
      <c r="K368" s="228" t="n">
        <v>4253.4</v>
      </c>
      <c r="L368" s="228" t="n">
        <v>0</v>
      </c>
      <c r="M368" s="228" t="n">
        <v>4253.4</v>
      </c>
      <c r="N368" s="228"/>
      <c r="Q368" s="212"/>
      <c r="R368" s="212"/>
      <c r="S368" s="212"/>
    </row>
    <row r="369" customFormat="false" ht="15" hidden="true" customHeight="false" outlineLevel="0" collapsed="false">
      <c r="B369" s="267" t="n">
        <v>2022</v>
      </c>
      <c r="C369" s="268" t="n">
        <v>4</v>
      </c>
      <c r="D369" s="226" t="s">
        <v>36</v>
      </c>
      <c r="E369" s="221" t="n">
        <v>10459950610</v>
      </c>
      <c r="F369" s="221" t="n">
        <v>97226520</v>
      </c>
      <c r="G369" s="269" t="n">
        <v>1</v>
      </c>
      <c r="H369" s="287" t="s">
        <v>195</v>
      </c>
      <c r="I369" s="290" t="n">
        <v>4730.39</v>
      </c>
      <c r="J369" s="228" t="n">
        <v>6000</v>
      </c>
      <c r="K369" s="228" t="n">
        <v>4730.39</v>
      </c>
      <c r="L369" s="228" t="n">
        <v>1069.61</v>
      </c>
      <c r="M369" s="228" t="n">
        <v>5800</v>
      </c>
      <c r="N369" s="228" t="n">
        <v>-200</v>
      </c>
      <c r="O369" s="212" t="s">
        <v>290</v>
      </c>
      <c r="Q369" s="212" t="n">
        <v>1</v>
      </c>
      <c r="R369" s="212"/>
      <c r="S369" s="212" t="s">
        <v>290</v>
      </c>
    </row>
    <row r="370" customFormat="false" ht="15" hidden="true" customHeight="false" outlineLevel="0" collapsed="false">
      <c r="B370" s="267" t="n">
        <v>2022</v>
      </c>
      <c r="C370" s="268" t="n">
        <v>4</v>
      </c>
      <c r="D370" s="226" t="s">
        <v>44</v>
      </c>
      <c r="E370" s="221" t="n">
        <v>23713484608</v>
      </c>
      <c r="F370" s="221" t="n">
        <v>97189681</v>
      </c>
      <c r="G370" s="269" t="n">
        <v>1</v>
      </c>
      <c r="H370" s="287" t="s">
        <v>100</v>
      </c>
      <c r="I370" s="290" t="n">
        <v>4730.39</v>
      </c>
      <c r="J370" s="228" t="n">
        <v>6000</v>
      </c>
      <c r="K370" s="228" t="n">
        <v>4730.39</v>
      </c>
      <c r="L370" s="228" t="n">
        <v>1269.61</v>
      </c>
      <c r="M370" s="228" t="n">
        <v>6000</v>
      </c>
      <c r="N370" s="228"/>
      <c r="Q370" s="212"/>
      <c r="R370" s="212"/>
      <c r="S370" s="212"/>
    </row>
    <row r="371" customFormat="false" ht="15" hidden="true" customHeight="false" outlineLevel="0" collapsed="false">
      <c r="B371" s="267" t="n">
        <v>2022</v>
      </c>
      <c r="C371" s="268" t="n">
        <v>4</v>
      </c>
      <c r="D371" s="226" t="s">
        <v>44</v>
      </c>
      <c r="E371" s="221" t="n">
        <v>17891875174</v>
      </c>
      <c r="F371" s="221" t="n">
        <v>6214238</v>
      </c>
      <c r="G371" s="269" t="n">
        <v>1</v>
      </c>
      <c r="H371" s="287" t="s">
        <v>190</v>
      </c>
      <c r="I371" s="290" t="n">
        <v>4253.4</v>
      </c>
      <c r="J371" s="228" t="n">
        <v>4253.4</v>
      </c>
      <c r="K371" s="228" t="n">
        <v>4253.4</v>
      </c>
      <c r="L371" s="228" t="n">
        <v>0</v>
      </c>
      <c r="M371" s="228" t="n">
        <v>4253.4</v>
      </c>
      <c r="N371" s="228"/>
      <c r="Q371" s="212"/>
      <c r="R371" s="212"/>
      <c r="S371" s="212"/>
    </row>
    <row r="372" customFormat="false" ht="15" hidden="true" customHeight="false" outlineLevel="0" collapsed="false">
      <c r="B372" s="267" t="n">
        <v>2022</v>
      </c>
      <c r="C372" s="268" t="n">
        <v>4</v>
      </c>
      <c r="D372" s="226" t="s">
        <v>44</v>
      </c>
      <c r="E372" s="221" t="n">
        <v>13345619462</v>
      </c>
      <c r="F372" s="221" t="n">
        <v>97522183</v>
      </c>
      <c r="G372" s="269" t="n">
        <v>1</v>
      </c>
      <c r="H372" s="287" t="s">
        <v>71</v>
      </c>
      <c r="I372" s="290" t="n">
        <v>771.45</v>
      </c>
      <c r="J372" s="228" t="n">
        <v>6000</v>
      </c>
      <c r="K372" s="228" t="n">
        <v>771.45</v>
      </c>
      <c r="L372" s="228" t="n">
        <v>4428.55</v>
      </c>
      <c r="M372" s="228" t="n">
        <v>5200</v>
      </c>
      <c r="N372" s="228" t="n">
        <v>-800</v>
      </c>
      <c r="O372" s="212" t="s">
        <v>291</v>
      </c>
      <c r="Q372" s="273" t="n">
        <v>25</v>
      </c>
      <c r="R372" s="212"/>
      <c r="S372" s="212" t="s">
        <v>291</v>
      </c>
    </row>
    <row r="373" customFormat="false" ht="15" hidden="true" customHeight="false" outlineLevel="0" collapsed="false">
      <c r="B373" s="267" t="n">
        <v>2022</v>
      </c>
      <c r="C373" s="268" t="n">
        <v>4</v>
      </c>
      <c r="D373" s="226" t="s">
        <v>44</v>
      </c>
      <c r="E373" s="221" t="n">
        <v>0</v>
      </c>
      <c r="F373" s="221" t="n">
        <v>0</v>
      </c>
      <c r="G373" s="269" t="n">
        <v>0</v>
      </c>
      <c r="H373" s="287" t="s">
        <v>267</v>
      </c>
      <c r="I373" s="273" t="n">
        <v>0</v>
      </c>
      <c r="J373" s="228" t="n">
        <v>4253</v>
      </c>
      <c r="K373" s="228" t="n">
        <v>0</v>
      </c>
      <c r="L373" s="228" t="n">
        <v>4250</v>
      </c>
      <c r="M373" s="228" t="n">
        <v>4250</v>
      </c>
      <c r="N373" s="228"/>
      <c r="Q373" s="212"/>
      <c r="R373" s="212"/>
      <c r="S373" s="212"/>
    </row>
    <row r="374" customFormat="false" ht="15" hidden="true" customHeight="false" outlineLevel="0" collapsed="false">
      <c r="B374" s="267" t="n">
        <v>2022</v>
      </c>
      <c r="C374" s="268" t="n">
        <v>4</v>
      </c>
      <c r="D374" s="226" t="s">
        <v>44</v>
      </c>
      <c r="E374" s="221" t="n">
        <v>0</v>
      </c>
      <c r="F374" s="221" t="n">
        <v>0</v>
      </c>
      <c r="G374" s="269" t="n">
        <v>0</v>
      </c>
      <c r="H374" s="287" t="s">
        <v>102</v>
      </c>
      <c r="I374" s="273" t="n">
        <v>0</v>
      </c>
      <c r="J374" s="228" t="n">
        <v>6000</v>
      </c>
      <c r="K374" s="228" t="n">
        <v>0</v>
      </c>
      <c r="L374" s="228" t="n">
        <v>6000</v>
      </c>
      <c r="M374" s="228" t="n">
        <v>6000</v>
      </c>
      <c r="N374" s="228"/>
      <c r="Q374" s="212"/>
      <c r="R374" s="212"/>
      <c r="S374" s="212"/>
    </row>
    <row r="375" customFormat="false" ht="15" hidden="true" customHeight="false" outlineLevel="0" collapsed="false">
      <c r="B375" s="267" t="n">
        <v>2022</v>
      </c>
      <c r="C375" s="268" t="n">
        <v>4</v>
      </c>
      <c r="D375" s="226" t="s">
        <v>36</v>
      </c>
      <c r="E375" s="221" t="n">
        <v>14233727054</v>
      </c>
      <c r="F375" s="221" t="n">
        <v>97522331</v>
      </c>
      <c r="G375" s="269" t="n">
        <v>1</v>
      </c>
      <c r="H375" s="287" t="s">
        <v>276</v>
      </c>
      <c r="I375" s="290" t="n">
        <v>771.45</v>
      </c>
      <c r="J375" s="228" t="n">
        <v>6000</v>
      </c>
      <c r="K375" s="228" t="n">
        <v>771.45</v>
      </c>
      <c r="L375" s="228" t="n">
        <v>5228.55</v>
      </c>
      <c r="M375" s="228" t="n">
        <v>6000</v>
      </c>
      <c r="N375" s="228"/>
      <c r="Q375" s="273" t="n">
        <v>25</v>
      </c>
      <c r="R375" s="212"/>
      <c r="S375" s="212"/>
    </row>
    <row r="376" customFormat="false" ht="15" hidden="true" customHeight="false" outlineLevel="0" collapsed="false">
      <c r="B376" s="267" t="n">
        <v>2022</v>
      </c>
      <c r="C376" s="268" t="n">
        <v>4</v>
      </c>
      <c r="D376" s="226" t="s">
        <v>44</v>
      </c>
      <c r="E376" s="221" t="n">
        <v>22093575890</v>
      </c>
      <c r="F376" s="221" t="n">
        <v>96260905</v>
      </c>
      <c r="G376" s="269" t="n">
        <v>1</v>
      </c>
      <c r="H376" s="287" t="s">
        <v>58</v>
      </c>
      <c r="I376" s="290" t="n">
        <v>708.9</v>
      </c>
      <c r="J376" s="228" t="n">
        <v>4253.4</v>
      </c>
      <c r="K376" s="228" t="n">
        <v>708.9</v>
      </c>
      <c r="L376" s="228" t="n">
        <v>3544.5</v>
      </c>
      <c r="M376" s="228" t="n">
        <v>4253.4</v>
      </c>
      <c r="N376" s="228"/>
      <c r="Q376" s="273"/>
      <c r="R376" s="212"/>
      <c r="S376" s="212"/>
    </row>
    <row r="377" customFormat="false" ht="15" hidden="true" customHeight="false" outlineLevel="0" collapsed="false">
      <c r="B377" s="267" t="n">
        <v>2022</v>
      </c>
      <c r="C377" s="268" t="n">
        <v>4</v>
      </c>
      <c r="D377" s="230" t="e">
        <f aca="false">#REF!</f>
        <v>#REF!</v>
      </c>
      <c r="E377" s="221" t="n">
        <v>38233125580</v>
      </c>
      <c r="F377" s="221" t="n">
        <v>95532065</v>
      </c>
      <c r="G377" s="269" t="n">
        <v>1</v>
      </c>
      <c r="H377" s="287" t="s">
        <v>289</v>
      </c>
      <c r="I377" s="290" t="n">
        <v>1276</v>
      </c>
      <c r="J377" s="228" t="n">
        <v>1864</v>
      </c>
      <c r="K377" s="228" t="n">
        <v>1276</v>
      </c>
      <c r="L377" s="228" t="n">
        <v>588</v>
      </c>
      <c r="M377" s="228" t="n">
        <v>1864</v>
      </c>
      <c r="N377" s="228"/>
      <c r="Q377" s="273"/>
      <c r="R377" s="212"/>
      <c r="S377" s="212"/>
    </row>
    <row r="378" customFormat="false" ht="15" hidden="true" customHeight="false" outlineLevel="0" collapsed="false">
      <c r="B378" s="267" t="n">
        <v>2022</v>
      </c>
      <c r="C378" s="268" t="n">
        <v>4</v>
      </c>
      <c r="D378" s="230" t="s">
        <v>44</v>
      </c>
      <c r="E378" s="221" t="n">
        <v>30148302742</v>
      </c>
      <c r="F378" s="221" t="n">
        <v>97726066</v>
      </c>
      <c r="G378" s="232" t="n">
        <v>1</v>
      </c>
      <c r="H378" s="229" t="s">
        <v>62</v>
      </c>
      <c r="I378" s="237" t="n">
        <v>708.9</v>
      </c>
      <c r="J378" s="228" t="n">
        <v>4253.4</v>
      </c>
      <c r="K378" s="228" t="n">
        <v>708.9</v>
      </c>
      <c r="L378" s="228" t="n">
        <v>3544.5</v>
      </c>
      <c r="M378" s="228" t="n">
        <v>4253.4</v>
      </c>
      <c r="N378" s="228"/>
      <c r="Q378" s="273"/>
      <c r="R378" s="212"/>
      <c r="S378" s="212"/>
    </row>
    <row r="379" customFormat="false" ht="15" hidden="true" customHeight="false" outlineLevel="0" collapsed="false">
      <c r="B379" s="267" t="n">
        <v>2022</v>
      </c>
      <c r="C379" s="268" t="n">
        <v>4</v>
      </c>
      <c r="D379" s="230" t="s">
        <v>44</v>
      </c>
      <c r="E379" s="221" t="n">
        <v>74524099696</v>
      </c>
      <c r="F379" s="221" t="n">
        <v>0</v>
      </c>
      <c r="G379" s="232" t="n">
        <v>1</v>
      </c>
      <c r="H379" s="229" t="s">
        <v>66</v>
      </c>
      <c r="I379" s="237" t="n">
        <v>0</v>
      </c>
      <c r="J379" s="228" t="n">
        <v>4250</v>
      </c>
      <c r="K379" s="228" t="n">
        <v>0</v>
      </c>
      <c r="L379" s="228" t="n">
        <v>4250</v>
      </c>
      <c r="M379" s="228" t="n">
        <v>4250</v>
      </c>
      <c r="N379" s="228"/>
      <c r="Q379" s="273"/>
      <c r="R379" s="212"/>
      <c r="S379" s="212"/>
    </row>
    <row r="380" customFormat="false" ht="15" hidden="true" customHeight="false" outlineLevel="0" collapsed="false">
      <c r="B380" s="267" t="n">
        <v>2022</v>
      </c>
      <c r="C380" s="268" t="n">
        <v>4</v>
      </c>
      <c r="D380" s="230" t="e">
        <f aca="false">#REF!</f>
        <v>#REF!</v>
      </c>
      <c r="E380" s="231" t="e">
        <f aca="false">#REF!</f>
        <v>#REF!</v>
      </c>
      <c r="F380" s="231" t="e">
        <f aca="false">#REF!</f>
        <v>#REF!</v>
      </c>
      <c r="G380" s="232" t="e">
        <f aca="false">#REF!</f>
        <v>#REF!</v>
      </c>
      <c r="H380" s="229" t="s">
        <v>48</v>
      </c>
      <c r="I380" s="237" t="n">
        <v>0</v>
      </c>
      <c r="J380" s="228" t="n">
        <v>3000</v>
      </c>
      <c r="K380" s="228"/>
      <c r="L380" s="228" t="n">
        <v>3000</v>
      </c>
      <c r="M380" s="228" t="n">
        <v>3000</v>
      </c>
      <c r="N380" s="228"/>
      <c r="Q380" s="273"/>
      <c r="R380" s="212"/>
      <c r="S380" s="212"/>
    </row>
    <row r="381" customFormat="false" ht="15" hidden="true" customHeight="false" outlineLevel="0" collapsed="false">
      <c r="B381" s="267" t="n">
        <v>2022</v>
      </c>
      <c r="C381" s="268" t="n">
        <v>4</v>
      </c>
      <c r="D381" s="226" t="s">
        <v>36</v>
      </c>
      <c r="E381" s="221" t="n">
        <v>0</v>
      </c>
      <c r="F381" s="221" t="n">
        <v>0</v>
      </c>
      <c r="G381" s="269" t="n">
        <v>0</v>
      </c>
      <c r="H381" s="287" t="s">
        <v>135</v>
      </c>
      <c r="I381" s="228" t="n">
        <v>0</v>
      </c>
      <c r="J381" s="228" t="n">
        <v>4000</v>
      </c>
      <c r="K381" s="228" t="n">
        <v>0</v>
      </c>
      <c r="L381" s="228" t="n">
        <v>4000</v>
      </c>
      <c r="M381" s="228" t="n">
        <v>4000</v>
      </c>
      <c r="N381" s="228"/>
      <c r="Q381" s="212"/>
      <c r="R381" s="212"/>
      <c r="S381" s="212"/>
    </row>
    <row r="382" customFormat="false" ht="15" hidden="true" customHeight="false" outlineLevel="0" collapsed="false">
      <c r="B382" s="267" t="n">
        <v>2022</v>
      </c>
      <c r="C382" s="268" t="n">
        <v>5</v>
      </c>
      <c r="D382" s="226" t="s">
        <v>44</v>
      </c>
      <c r="E382" s="221" t="n">
        <v>28699369338</v>
      </c>
      <c r="F382" s="221" t="n">
        <v>96358353</v>
      </c>
      <c r="G382" s="269" t="n">
        <v>1</v>
      </c>
      <c r="H382" s="286" t="s">
        <v>79</v>
      </c>
      <c r="I382" s="290" t="n">
        <v>4730.39</v>
      </c>
      <c r="J382" s="228" t="n">
        <v>7000</v>
      </c>
      <c r="K382" s="228" t="n">
        <v>4730.39</v>
      </c>
      <c r="L382" s="228" t="n">
        <v>2269.61</v>
      </c>
      <c r="M382" s="228" t="n">
        <v>7000</v>
      </c>
      <c r="N382" s="228"/>
      <c r="Q382" s="212"/>
      <c r="R382" s="292"/>
      <c r="S382" s="212"/>
    </row>
    <row r="383" customFormat="false" ht="15" hidden="true" customHeight="false" outlineLevel="0" collapsed="false">
      <c r="B383" s="267" t="n">
        <v>2022</v>
      </c>
      <c r="C383" s="268" t="n">
        <v>5</v>
      </c>
      <c r="D383" s="226" t="s">
        <v>44</v>
      </c>
      <c r="E383" s="221" t="n">
        <v>63097169876</v>
      </c>
      <c r="F383" s="221" t="n">
        <v>96843148</v>
      </c>
      <c r="G383" s="269" t="n">
        <v>1</v>
      </c>
      <c r="H383" s="287" t="s">
        <v>122</v>
      </c>
      <c r="I383" s="290" t="n">
        <v>5091.93</v>
      </c>
      <c r="J383" s="228" t="n">
        <v>7000</v>
      </c>
      <c r="K383" s="228" t="n">
        <v>5091.93</v>
      </c>
      <c r="L383" s="228" t="n">
        <v>1908.07</v>
      </c>
      <c r="M383" s="228" t="n">
        <v>7000</v>
      </c>
      <c r="N383" s="228"/>
      <c r="Q383" s="212"/>
      <c r="R383" s="292"/>
      <c r="S383" s="212"/>
    </row>
    <row r="384" customFormat="false" ht="15" hidden="true" customHeight="false" outlineLevel="0" collapsed="false">
      <c r="B384" s="267" t="n">
        <v>2022</v>
      </c>
      <c r="C384" s="268" t="n">
        <v>5</v>
      </c>
      <c r="D384" s="226" t="s">
        <v>44</v>
      </c>
      <c r="E384" s="221" t="n">
        <v>36826974454</v>
      </c>
      <c r="F384" s="221" t="n">
        <v>95573006</v>
      </c>
      <c r="G384" s="269" t="n">
        <v>1</v>
      </c>
      <c r="H384" s="287" t="s">
        <v>188</v>
      </c>
      <c r="I384" s="290" t="n">
        <v>4253.4</v>
      </c>
      <c r="J384" s="228" t="n">
        <v>4253.4</v>
      </c>
      <c r="K384" s="228" t="n">
        <v>4253.4</v>
      </c>
      <c r="L384" s="228" t="n">
        <v>0</v>
      </c>
      <c r="M384" s="228" t="n">
        <v>4253.4</v>
      </c>
      <c r="N384" s="228"/>
      <c r="Q384" s="212"/>
      <c r="R384" s="292"/>
      <c r="S384" s="212"/>
    </row>
    <row r="385" customFormat="false" ht="15" hidden="true" customHeight="false" outlineLevel="0" collapsed="false">
      <c r="B385" s="267" t="n">
        <v>2022</v>
      </c>
      <c r="C385" s="268" t="n">
        <v>5</v>
      </c>
      <c r="D385" s="226" t="s">
        <v>44</v>
      </c>
      <c r="E385" s="221" t="n">
        <v>17630785580</v>
      </c>
      <c r="F385" s="221" t="n">
        <v>95529415</v>
      </c>
      <c r="G385" s="269" t="n">
        <v>1</v>
      </c>
      <c r="H385" s="287" t="s">
        <v>81</v>
      </c>
      <c r="I385" s="290" t="n">
        <v>4572.4</v>
      </c>
      <c r="J385" s="228" t="n">
        <v>14572.4</v>
      </c>
      <c r="K385" s="228" t="n">
        <v>4572.4</v>
      </c>
      <c r="L385" s="228" t="n">
        <v>10000</v>
      </c>
      <c r="M385" s="228" t="n">
        <v>14572.4</v>
      </c>
      <c r="N385" s="228"/>
      <c r="Q385" s="212"/>
      <c r="R385" s="292"/>
      <c r="S385" s="212"/>
    </row>
    <row r="386" customFormat="false" ht="15" hidden="true" customHeight="false" outlineLevel="0" collapsed="false">
      <c r="B386" s="267" t="n">
        <v>2022</v>
      </c>
      <c r="C386" s="268" t="n">
        <v>5</v>
      </c>
      <c r="D386" s="226" t="s">
        <v>44</v>
      </c>
      <c r="E386" s="221" t="n">
        <v>27172394690</v>
      </c>
      <c r="F386" s="221" t="n">
        <v>95702622</v>
      </c>
      <c r="G386" s="269" t="n">
        <v>1</v>
      </c>
      <c r="H386" s="288" t="s">
        <v>72</v>
      </c>
      <c r="I386" s="290" t="n">
        <v>771.45</v>
      </c>
      <c r="J386" s="228" t="n">
        <v>6000</v>
      </c>
      <c r="K386" s="228" t="n">
        <v>771.45</v>
      </c>
      <c r="L386" s="228" t="n">
        <v>4978.55</v>
      </c>
      <c r="M386" s="228" t="n">
        <v>5750</v>
      </c>
      <c r="N386" s="228" t="n">
        <v>-250</v>
      </c>
      <c r="O386" s="212" t="s">
        <v>159</v>
      </c>
      <c r="Q386" s="212"/>
      <c r="R386" s="292"/>
      <c r="S386" s="212" t="s">
        <v>159</v>
      </c>
    </row>
    <row r="387" customFormat="false" ht="15" hidden="true" customHeight="false" outlineLevel="0" collapsed="false">
      <c r="B387" s="267" t="n">
        <v>2022</v>
      </c>
      <c r="C387" s="268" t="n">
        <v>5</v>
      </c>
      <c r="D387" s="226" t="s">
        <v>44</v>
      </c>
      <c r="E387" s="221" t="n">
        <v>55186680706</v>
      </c>
      <c r="F387" s="221" t="n">
        <v>95787183</v>
      </c>
      <c r="G387" s="269" t="n">
        <v>1</v>
      </c>
      <c r="H387" s="286" t="s">
        <v>73</v>
      </c>
      <c r="I387" s="290" t="n">
        <v>2126.7</v>
      </c>
      <c r="J387" s="228" t="n">
        <v>5000</v>
      </c>
      <c r="K387" s="228" t="n">
        <v>2126.7</v>
      </c>
      <c r="L387" s="228" t="n">
        <v>2873.3</v>
      </c>
      <c r="M387" s="228" t="n">
        <v>5000</v>
      </c>
      <c r="N387" s="228"/>
      <c r="Q387" s="212"/>
      <c r="R387" s="292"/>
      <c r="S387" s="212"/>
    </row>
    <row r="388" customFormat="false" ht="15" hidden="true" customHeight="false" outlineLevel="0" collapsed="false">
      <c r="B388" s="267" t="n">
        <v>2022</v>
      </c>
      <c r="C388" s="268" t="n">
        <v>5</v>
      </c>
      <c r="D388" s="226" t="s">
        <v>44</v>
      </c>
      <c r="E388" s="221" t="n">
        <v>21242693324</v>
      </c>
      <c r="F388" s="221" t="n">
        <v>95532064</v>
      </c>
      <c r="G388" s="269" t="n">
        <v>1</v>
      </c>
      <c r="H388" s="287" t="s">
        <v>85</v>
      </c>
      <c r="I388" s="290" t="n">
        <v>4730.39</v>
      </c>
      <c r="J388" s="228" t="n">
        <v>4730.39</v>
      </c>
      <c r="K388" s="228" t="n">
        <v>4730.39</v>
      </c>
      <c r="L388" s="228" t="n">
        <v>0</v>
      </c>
      <c r="M388" s="228" t="n">
        <v>4730.39</v>
      </c>
      <c r="N388" s="228"/>
      <c r="Q388" s="212"/>
      <c r="R388" s="292"/>
      <c r="S388" s="212"/>
    </row>
    <row r="389" customFormat="false" ht="15" hidden="true" customHeight="false" outlineLevel="0" collapsed="false">
      <c r="B389" s="267" t="n">
        <v>2022</v>
      </c>
      <c r="C389" s="268" t="n">
        <v>5</v>
      </c>
      <c r="D389" s="226" t="s">
        <v>44</v>
      </c>
      <c r="E389" s="221" t="n">
        <v>17159801204</v>
      </c>
      <c r="F389" s="221" t="n">
        <v>95532066</v>
      </c>
      <c r="G389" s="269" t="n">
        <v>1</v>
      </c>
      <c r="H389" s="287" t="s">
        <v>87</v>
      </c>
      <c r="I389" s="290" t="n">
        <v>4730.39</v>
      </c>
      <c r="J389" s="228" t="n">
        <v>4730.39</v>
      </c>
      <c r="K389" s="228" t="n">
        <v>4730.39</v>
      </c>
      <c r="L389" s="228" t="n">
        <v>0</v>
      </c>
      <c r="M389" s="228" t="n">
        <v>4730.39</v>
      </c>
      <c r="N389" s="228"/>
      <c r="Q389" s="212"/>
      <c r="R389" s="292"/>
      <c r="S389" s="212"/>
    </row>
    <row r="390" customFormat="false" ht="15" hidden="true" customHeight="false" outlineLevel="0" collapsed="false">
      <c r="B390" s="267" t="n">
        <v>2022</v>
      </c>
      <c r="C390" s="268" t="n">
        <v>5</v>
      </c>
      <c r="D390" s="226" t="s">
        <v>44</v>
      </c>
      <c r="E390" s="221" t="n">
        <v>23764482950</v>
      </c>
      <c r="F390" s="221" t="n">
        <v>95532077</v>
      </c>
      <c r="G390" s="269" t="n">
        <v>1</v>
      </c>
      <c r="H390" s="287" t="s">
        <v>93</v>
      </c>
      <c r="I390" s="290" t="n">
        <v>771.45</v>
      </c>
      <c r="J390" s="228" t="n">
        <v>7000</v>
      </c>
      <c r="K390" s="228" t="n">
        <v>771.45</v>
      </c>
      <c r="L390" s="228" t="n">
        <v>6228.55</v>
      </c>
      <c r="M390" s="228" t="n">
        <v>7000</v>
      </c>
      <c r="N390" s="228"/>
      <c r="Q390" s="273" t="n">
        <v>25</v>
      </c>
      <c r="R390" s="292"/>
      <c r="S390" s="212"/>
    </row>
    <row r="391" customFormat="false" ht="15" hidden="true" customHeight="false" outlineLevel="0" collapsed="false">
      <c r="B391" s="267" t="n">
        <v>2022</v>
      </c>
      <c r="C391" s="268" t="n">
        <v>5</v>
      </c>
      <c r="D391" s="226" t="s">
        <v>36</v>
      </c>
      <c r="E391" s="221" t="n">
        <v>25672444846</v>
      </c>
      <c r="F391" s="221" t="n">
        <v>95693810</v>
      </c>
      <c r="G391" s="269" t="n">
        <v>1</v>
      </c>
      <c r="H391" s="287" t="s">
        <v>245</v>
      </c>
      <c r="I391" s="290" t="n">
        <v>4730.39</v>
      </c>
      <c r="J391" s="228" t="n">
        <v>6000</v>
      </c>
      <c r="K391" s="228" t="n">
        <v>4730.39</v>
      </c>
      <c r="L391" s="228" t="n">
        <v>1269.61</v>
      </c>
      <c r="M391" s="228" t="n">
        <v>6000</v>
      </c>
      <c r="N391" s="228"/>
      <c r="Q391" s="212"/>
      <c r="R391" s="292"/>
      <c r="S391" s="212"/>
    </row>
    <row r="392" customFormat="false" ht="15" hidden="true" customHeight="false" outlineLevel="0" collapsed="false">
      <c r="B392" s="267" t="n">
        <v>2022</v>
      </c>
      <c r="C392" s="268" t="n">
        <v>5</v>
      </c>
      <c r="D392" s="226" t="s">
        <v>44</v>
      </c>
      <c r="E392" s="221" t="n">
        <v>33853146700</v>
      </c>
      <c r="F392" s="221" t="n">
        <v>96959868</v>
      </c>
      <c r="G392" s="269" t="n">
        <v>1</v>
      </c>
      <c r="H392" s="287" t="s">
        <v>247</v>
      </c>
      <c r="I392" s="290" t="n">
        <v>5091.93</v>
      </c>
      <c r="J392" s="228" t="n">
        <v>7000</v>
      </c>
      <c r="K392" s="228" t="n">
        <v>5091.93</v>
      </c>
      <c r="L392" s="228" t="n">
        <v>908.07</v>
      </c>
      <c r="M392" s="228" t="n">
        <v>6000</v>
      </c>
      <c r="N392" s="228" t="n">
        <v>-1000</v>
      </c>
      <c r="O392" s="212" t="s">
        <v>292</v>
      </c>
      <c r="Q392" s="212"/>
      <c r="R392" s="292"/>
      <c r="S392" s="291" t="s">
        <v>292</v>
      </c>
    </row>
    <row r="393" customFormat="false" ht="15" hidden="true" customHeight="false" outlineLevel="0" collapsed="false">
      <c r="B393" s="267" t="n">
        <v>2022</v>
      </c>
      <c r="C393" s="268" t="n">
        <v>5</v>
      </c>
      <c r="D393" s="226" t="s">
        <v>44</v>
      </c>
      <c r="E393" s="221" t="n">
        <v>51994540164</v>
      </c>
      <c r="F393" s="221" t="n">
        <v>96900867</v>
      </c>
      <c r="G393" s="269" t="n">
        <v>1</v>
      </c>
      <c r="H393" s="287" t="s">
        <v>97</v>
      </c>
      <c r="I393" s="290" t="n">
        <v>4572.4</v>
      </c>
      <c r="J393" s="228" t="n">
        <v>4572.4</v>
      </c>
      <c r="K393" s="228" t="n">
        <v>4572.4</v>
      </c>
      <c r="L393" s="228" t="n">
        <v>0</v>
      </c>
      <c r="M393" s="228" t="n">
        <v>4572.4</v>
      </c>
      <c r="N393" s="228"/>
      <c r="Q393" s="212"/>
      <c r="R393" s="292"/>
      <c r="S393" s="212"/>
    </row>
    <row r="394" customFormat="false" ht="15" hidden="true" customHeight="false" outlineLevel="0" collapsed="false">
      <c r="B394" s="267" t="n">
        <v>2022</v>
      </c>
      <c r="C394" s="268" t="n">
        <v>5</v>
      </c>
      <c r="D394" s="226" t="s">
        <v>44</v>
      </c>
      <c r="E394" s="221" t="n">
        <v>52657562356</v>
      </c>
      <c r="F394" s="221" t="n">
        <v>97011710</v>
      </c>
      <c r="G394" s="269" t="n">
        <v>1</v>
      </c>
      <c r="H394" s="287" t="s">
        <v>248</v>
      </c>
      <c r="I394" s="290" t="n">
        <v>4253.4</v>
      </c>
      <c r="J394" s="228" t="n">
        <v>4253.4</v>
      </c>
      <c r="K394" s="228" t="n">
        <v>4253.4</v>
      </c>
      <c r="L394" s="228" t="n">
        <v>0</v>
      </c>
      <c r="M394" s="228" t="n">
        <v>4253.4</v>
      </c>
      <c r="N394" s="228"/>
      <c r="Q394" s="212"/>
      <c r="R394" s="292"/>
      <c r="S394" s="212"/>
    </row>
    <row r="395" customFormat="false" ht="15" hidden="true" customHeight="false" outlineLevel="0" collapsed="false">
      <c r="B395" s="267" t="n">
        <v>2022</v>
      </c>
      <c r="C395" s="268" t="n">
        <v>5</v>
      </c>
      <c r="D395" s="226" t="s">
        <v>36</v>
      </c>
      <c r="E395" s="221" t="n">
        <v>10459950610</v>
      </c>
      <c r="F395" s="221" t="n">
        <v>97226520</v>
      </c>
      <c r="G395" s="269" t="n">
        <v>1</v>
      </c>
      <c r="H395" s="287" t="s">
        <v>195</v>
      </c>
      <c r="I395" s="290" t="n">
        <v>3544.5</v>
      </c>
      <c r="J395" s="228" t="n">
        <v>6000</v>
      </c>
      <c r="K395" s="228" t="n">
        <v>3544.5</v>
      </c>
      <c r="L395" s="228" t="n">
        <v>1269.61</v>
      </c>
      <c r="M395" s="228" t="n">
        <v>4814.11</v>
      </c>
      <c r="N395" s="228" t="n">
        <v>-1185.89</v>
      </c>
      <c r="O395" s="212" t="s">
        <v>290</v>
      </c>
      <c r="Q395" s="212"/>
      <c r="R395" s="292" t="n">
        <v>10</v>
      </c>
      <c r="S395" s="212" t="s">
        <v>290</v>
      </c>
    </row>
    <row r="396" customFormat="false" ht="15" hidden="true" customHeight="false" outlineLevel="0" collapsed="false">
      <c r="B396" s="267" t="n">
        <v>2022</v>
      </c>
      <c r="C396" s="268" t="n">
        <v>5</v>
      </c>
      <c r="D396" s="226" t="s">
        <v>44</v>
      </c>
      <c r="E396" s="221" t="n">
        <v>23713484608</v>
      </c>
      <c r="F396" s="221" t="n">
        <v>97189681</v>
      </c>
      <c r="G396" s="269" t="n">
        <v>1</v>
      </c>
      <c r="H396" s="287" t="s">
        <v>100</v>
      </c>
      <c r="I396" s="290" t="n">
        <v>4730.39</v>
      </c>
      <c r="J396" s="228" t="n">
        <v>6000</v>
      </c>
      <c r="K396" s="228" t="n">
        <v>4730.39</v>
      </c>
      <c r="L396" s="228" t="n">
        <v>1269.61</v>
      </c>
      <c r="M396" s="228" t="n">
        <v>6000</v>
      </c>
      <c r="N396" s="228"/>
      <c r="Q396" s="212"/>
      <c r="R396" s="292"/>
      <c r="S396" s="212"/>
    </row>
    <row r="397" customFormat="false" ht="15" hidden="true" customHeight="false" outlineLevel="0" collapsed="false">
      <c r="B397" s="267" t="n">
        <v>2022</v>
      </c>
      <c r="C397" s="268" t="n">
        <v>5</v>
      </c>
      <c r="D397" s="226" t="s">
        <v>44</v>
      </c>
      <c r="E397" s="221" t="n">
        <v>17891875174</v>
      </c>
      <c r="F397" s="221" t="n">
        <v>6214238</v>
      </c>
      <c r="G397" s="269" t="n">
        <v>1</v>
      </c>
      <c r="H397" s="287" t="s">
        <v>190</v>
      </c>
      <c r="I397" s="290" t="n">
        <v>4253.4</v>
      </c>
      <c r="J397" s="228" t="n">
        <v>4253.4</v>
      </c>
      <c r="K397" s="228" t="n">
        <v>4253.4</v>
      </c>
      <c r="L397" s="228" t="n">
        <v>0</v>
      </c>
      <c r="M397" s="228" t="n">
        <v>4253.4</v>
      </c>
      <c r="N397" s="228"/>
      <c r="Q397" s="212"/>
      <c r="R397" s="292"/>
      <c r="S397" s="212"/>
    </row>
    <row r="398" customFormat="false" ht="15" hidden="true" customHeight="false" outlineLevel="0" collapsed="false">
      <c r="B398" s="267" t="n">
        <v>2022</v>
      </c>
      <c r="C398" s="268" t="n">
        <v>5</v>
      </c>
      <c r="D398" s="226" t="s">
        <v>44</v>
      </c>
      <c r="E398" s="221" t="n">
        <v>13345619462</v>
      </c>
      <c r="F398" s="221" t="n">
        <v>97522183</v>
      </c>
      <c r="G398" s="269" t="n">
        <v>1</v>
      </c>
      <c r="H398" s="287" t="s">
        <v>71</v>
      </c>
      <c r="I398" s="290" t="n">
        <v>771.45</v>
      </c>
      <c r="J398" s="228" t="n">
        <v>6000</v>
      </c>
      <c r="K398" s="228" t="n">
        <v>771.45</v>
      </c>
      <c r="L398" s="228" t="n">
        <v>5228.55</v>
      </c>
      <c r="M398" s="228" t="n">
        <v>6000</v>
      </c>
      <c r="N398" s="228"/>
      <c r="Q398" s="273" t="n">
        <v>25</v>
      </c>
      <c r="R398" s="292"/>
      <c r="S398" s="212"/>
    </row>
    <row r="399" customFormat="false" ht="15" hidden="true" customHeight="false" outlineLevel="0" collapsed="false">
      <c r="B399" s="267" t="n">
        <v>2022</v>
      </c>
      <c r="C399" s="268" t="n">
        <v>5</v>
      </c>
      <c r="D399" s="226" t="s">
        <v>36</v>
      </c>
      <c r="E399" s="221" t="n">
        <v>14233727054</v>
      </c>
      <c r="F399" s="221" t="n">
        <v>97522331</v>
      </c>
      <c r="G399" s="269" t="n">
        <v>1</v>
      </c>
      <c r="H399" s="287" t="s">
        <v>276</v>
      </c>
      <c r="I399" s="290" t="n">
        <v>771.45</v>
      </c>
      <c r="J399" s="228" t="n">
        <v>6000</v>
      </c>
      <c r="K399" s="228" t="n">
        <v>771.45</v>
      </c>
      <c r="L399" s="228" t="n">
        <v>5228.55</v>
      </c>
      <c r="M399" s="228" t="n">
        <v>6000</v>
      </c>
      <c r="N399" s="228"/>
      <c r="Q399" s="273" t="n">
        <v>25</v>
      </c>
      <c r="R399" s="292"/>
      <c r="S399" s="212"/>
    </row>
    <row r="400" customFormat="false" ht="15" hidden="true" customHeight="false" outlineLevel="0" collapsed="false">
      <c r="B400" s="267" t="n">
        <v>2022</v>
      </c>
      <c r="C400" s="268" t="n">
        <v>5</v>
      </c>
      <c r="D400" s="226" t="s">
        <v>44</v>
      </c>
      <c r="E400" s="221" t="n">
        <v>38233125580</v>
      </c>
      <c r="F400" s="221" t="n">
        <v>95532065</v>
      </c>
      <c r="G400" s="269" t="n">
        <v>1</v>
      </c>
      <c r="H400" s="287" t="s">
        <v>289</v>
      </c>
      <c r="I400" s="290" t="n">
        <v>4730.39</v>
      </c>
      <c r="J400" s="228" t="n">
        <v>7000</v>
      </c>
      <c r="K400" s="228" t="n">
        <v>4730.39</v>
      </c>
      <c r="L400" s="228" t="n">
        <v>2269.61</v>
      </c>
      <c r="M400" s="228" t="n">
        <v>7000</v>
      </c>
      <c r="N400" s="228"/>
      <c r="Q400" s="273"/>
      <c r="R400" s="292"/>
      <c r="S400" s="212"/>
    </row>
    <row r="401" customFormat="false" ht="15" hidden="true" customHeight="false" outlineLevel="0" collapsed="false">
      <c r="B401" s="267" t="n">
        <v>2022</v>
      </c>
      <c r="C401" s="268" t="n">
        <v>5</v>
      </c>
      <c r="D401" s="226" t="s">
        <v>44</v>
      </c>
      <c r="E401" s="221" t="n">
        <v>0</v>
      </c>
      <c r="F401" s="221" t="n">
        <v>0</v>
      </c>
      <c r="G401" s="269" t="n">
        <v>0</v>
      </c>
      <c r="H401" s="287" t="s">
        <v>267</v>
      </c>
      <c r="I401" s="290" t="n">
        <v>0</v>
      </c>
      <c r="J401" s="228" t="n">
        <v>4253</v>
      </c>
      <c r="K401" s="228" t="n">
        <v>0</v>
      </c>
      <c r="L401" s="228" t="n">
        <v>4253</v>
      </c>
      <c r="M401" s="228" t="n">
        <v>4253</v>
      </c>
      <c r="N401" s="228"/>
      <c r="Q401" s="212"/>
      <c r="R401" s="292"/>
      <c r="S401" s="212"/>
    </row>
    <row r="402" customFormat="false" ht="15" hidden="true" customHeight="false" outlineLevel="0" collapsed="false">
      <c r="B402" s="267" t="n">
        <v>2022</v>
      </c>
      <c r="C402" s="268" t="n">
        <v>5</v>
      </c>
      <c r="D402" s="226" t="s">
        <v>44</v>
      </c>
      <c r="E402" s="221" t="n">
        <v>0</v>
      </c>
      <c r="F402" s="221" t="n">
        <v>0</v>
      </c>
      <c r="G402" s="269" t="n">
        <v>0</v>
      </c>
      <c r="H402" s="287" t="s">
        <v>102</v>
      </c>
      <c r="I402" s="290" t="n">
        <v>0</v>
      </c>
      <c r="J402" s="228" t="n">
        <v>6000</v>
      </c>
      <c r="K402" s="228" t="n">
        <v>0</v>
      </c>
      <c r="L402" s="228" t="n">
        <v>6000</v>
      </c>
      <c r="M402" s="228" t="n">
        <v>6000</v>
      </c>
      <c r="N402" s="228"/>
      <c r="Q402" s="212"/>
      <c r="R402" s="292"/>
      <c r="S402" s="212"/>
    </row>
    <row r="403" customFormat="false" ht="15" hidden="true" customHeight="false" outlineLevel="0" collapsed="false">
      <c r="B403" s="267" t="n">
        <v>2022</v>
      </c>
      <c r="C403" s="268" t="n">
        <v>5</v>
      </c>
      <c r="D403" s="226" t="n">
        <v>0</v>
      </c>
      <c r="E403" s="221" t="n">
        <v>0</v>
      </c>
      <c r="F403" s="221" t="n">
        <v>0</v>
      </c>
      <c r="G403" s="269" t="n">
        <v>0</v>
      </c>
      <c r="H403" s="287" t="s">
        <v>293</v>
      </c>
      <c r="I403" s="290" t="n">
        <v>0</v>
      </c>
      <c r="J403" s="228" t="n">
        <v>8500</v>
      </c>
      <c r="K403" s="228" t="n">
        <v>0</v>
      </c>
      <c r="L403" s="228" t="n">
        <v>8500</v>
      </c>
      <c r="M403" s="228" t="n">
        <v>8500</v>
      </c>
      <c r="N403" s="228"/>
      <c r="Q403" s="273"/>
      <c r="R403" s="292"/>
      <c r="S403" s="212"/>
    </row>
    <row r="404" customFormat="false" ht="15" hidden="true" customHeight="false" outlineLevel="0" collapsed="false">
      <c r="B404" s="267" t="n">
        <v>2022</v>
      </c>
      <c r="C404" s="268" t="n">
        <v>5</v>
      </c>
      <c r="D404" s="226" t="n">
        <v>0</v>
      </c>
      <c r="E404" s="221" t="n">
        <v>0</v>
      </c>
      <c r="F404" s="221" t="n">
        <v>0</v>
      </c>
      <c r="G404" s="269" t="n">
        <v>0</v>
      </c>
      <c r="H404" s="286" t="s">
        <v>294</v>
      </c>
      <c r="I404" s="290" t="n">
        <v>0</v>
      </c>
      <c r="J404" s="228" t="n">
        <v>8500</v>
      </c>
      <c r="K404" s="228" t="n">
        <v>0</v>
      </c>
      <c r="L404" s="228" t="n">
        <v>8500</v>
      </c>
      <c r="M404" s="228" t="n">
        <v>8500</v>
      </c>
      <c r="N404" s="228"/>
      <c r="Q404" s="212"/>
      <c r="R404" s="292"/>
      <c r="S404" s="212"/>
    </row>
    <row r="405" customFormat="false" ht="15" hidden="true" customHeight="false" outlineLevel="0" collapsed="false">
      <c r="B405" s="267" t="n">
        <v>2022</v>
      </c>
      <c r="C405" s="268" t="n">
        <v>5</v>
      </c>
      <c r="D405" s="226" t="s">
        <v>36</v>
      </c>
      <c r="E405" s="221" t="n">
        <v>0</v>
      </c>
      <c r="F405" s="221" t="n">
        <v>0</v>
      </c>
      <c r="G405" s="269" t="n">
        <v>0</v>
      </c>
      <c r="H405" s="287" t="s">
        <v>135</v>
      </c>
      <c r="I405" s="290" t="n">
        <v>0</v>
      </c>
      <c r="J405" s="228" t="n">
        <v>6250</v>
      </c>
      <c r="K405" s="228" t="n">
        <v>0</v>
      </c>
      <c r="L405" s="228" t="n">
        <v>6250</v>
      </c>
      <c r="M405" s="228" t="n">
        <v>6250</v>
      </c>
      <c r="N405" s="228"/>
      <c r="Q405" s="212"/>
      <c r="R405" s="292"/>
      <c r="S405" s="212"/>
    </row>
    <row r="406" customFormat="false" ht="15" hidden="true" customHeight="false" outlineLevel="0" collapsed="false">
      <c r="B406" s="267" t="n">
        <v>2022</v>
      </c>
      <c r="C406" s="268" t="n">
        <v>6</v>
      </c>
      <c r="D406" s="226" t="s">
        <v>44</v>
      </c>
      <c r="E406" s="221" t="n">
        <v>28699369338</v>
      </c>
      <c r="F406" s="221" t="n">
        <v>96358353</v>
      </c>
      <c r="G406" s="269" t="n">
        <v>1</v>
      </c>
      <c r="H406" s="286" t="s">
        <v>79</v>
      </c>
      <c r="I406" s="293" t="n">
        <v>4000</v>
      </c>
      <c r="J406" s="228" t="n">
        <v>5000</v>
      </c>
      <c r="K406" s="228" t="n">
        <v>4000</v>
      </c>
      <c r="L406" s="228" t="n">
        <v>1200</v>
      </c>
      <c r="M406" s="228" t="n">
        <v>5200</v>
      </c>
      <c r="N406" s="228" t="n">
        <v>200</v>
      </c>
      <c r="Q406" s="212"/>
      <c r="R406" s="292"/>
      <c r="S406" s="212"/>
    </row>
    <row r="407" customFormat="false" ht="15" hidden="true" customHeight="false" outlineLevel="0" collapsed="false">
      <c r="B407" s="267" t="n">
        <v>2022</v>
      </c>
      <c r="C407" s="268" t="n">
        <v>6</v>
      </c>
      <c r="D407" s="226" t="s">
        <v>44</v>
      </c>
      <c r="E407" s="221" t="n">
        <v>63097169876</v>
      </c>
      <c r="F407" s="221" t="n">
        <v>96843148</v>
      </c>
      <c r="G407" s="269" t="n">
        <v>1</v>
      </c>
      <c r="H407" s="287" t="s">
        <v>122</v>
      </c>
      <c r="I407" s="293" t="n">
        <v>2825.9</v>
      </c>
      <c r="J407" s="228" t="n">
        <v>5000</v>
      </c>
      <c r="K407" s="228" t="n">
        <v>2825.9</v>
      </c>
      <c r="L407" s="228" t="n">
        <v>2374.1</v>
      </c>
      <c r="M407" s="228" t="n">
        <v>5200</v>
      </c>
      <c r="N407" s="228" t="n">
        <v>200</v>
      </c>
      <c r="Q407" s="212"/>
      <c r="R407" s="292"/>
      <c r="S407" s="212"/>
    </row>
    <row r="408" customFormat="false" ht="15" hidden="true" customHeight="false" outlineLevel="0" collapsed="false">
      <c r="B408" s="267" t="n">
        <v>2022</v>
      </c>
      <c r="C408" s="268" t="n">
        <v>6</v>
      </c>
      <c r="D408" s="226" t="s">
        <v>47</v>
      </c>
      <c r="E408" s="221" t="s">
        <v>44</v>
      </c>
      <c r="F408" s="221" t="n">
        <v>36826974454</v>
      </c>
      <c r="G408" s="269" t="n">
        <v>95573006</v>
      </c>
      <c r="H408" s="287" t="s">
        <v>188</v>
      </c>
      <c r="I408" s="293" t="n">
        <v>4253.4</v>
      </c>
      <c r="J408" s="228" t="n">
        <v>40</v>
      </c>
      <c r="K408" s="228" t="n">
        <v>4253.4</v>
      </c>
      <c r="L408" s="228" t="n">
        <v>-4013.4</v>
      </c>
      <c r="M408" s="228" t="n">
        <v>240</v>
      </c>
      <c r="N408" s="228" t="n">
        <v>200</v>
      </c>
      <c r="Q408" s="212"/>
      <c r="R408" s="292"/>
      <c r="S408" s="212"/>
    </row>
    <row r="409" customFormat="false" ht="15" hidden="true" customHeight="false" outlineLevel="0" collapsed="false">
      <c r="B409" s="267" t="n">
        <v>2022</v>
      </c>
      <c r="C409" s="268" t="n">
        <v>6</v>
      </c>
      <c r="D409" s="226" t="s">
        <v>47</v>
      </c>
      <c r="E409" s="221" t="s">
        <v>44</v>
      </c>
      <c r="F409" s="221" t="n">
        <v>17630785580</v>
      </c>
      <c r="G409" s="269" t="n">
        <v>95529415</v>
      </c>
      <c r="H409" s="287" t="s">
        <v>81</v>
      </c>
      <c r="I409" s="293" t="n">
        <v>4572.4</v>
      </c>
      <c r="J409" s="228" t="n">
        <v>60</v>
      </c>
      <c r="K409" s="228" t="n">
        <v>4572.4</v>
      </c>
      <c r="L409" s="228" t="n">
        <v>-4312.4</v>
      </c>
      <c r="M409" s="228" t="n">
        <v>260</v>
      </c>
      <c r="N409" s="228" t="n">
        <v>200</v>
      </c>
      <c r="Q409" s="212"/>
      <c r="R409" s="292"/>
      <c r="S409" s="212"/>
    </row>
    <row r="410" customFormat="false" ht="15" hidden="true" customHeight="false" outlineLevel="0" collapsed="false">
      <c r="B410" s="267" t="n">
        <v>2022</v>
      </c>
      <c r="C410" s="268" t="n">
        <v>6</v>
      </c>
      <c r="D410" s="226" t="s">
        <v>47</v>
      </c>
      <c r="E410" s="221" t="s">
        <v>36</v>
      </c>
      <c r="F410" s="221" t="n">
        <v>27172394690</v>
      </c>
      <c r="G410" s="269" t="n">
        <v>95702622</v>
      </c>
      <c r="H410" s="288" t="s">
        <v>72</v>
      </c>
      <c r="I410" s="293" t="n">
        <v>771.45</v>
      </c>
      <c r="J410" s="228" t="n">
        <v>50</v>
      </c>
      <c r="K410" s="228" t="n">
        <v>771.45</v>
      </c>
      <c r="L410" s="228" t="n">
        <v>-524.78</v>
      </c>
      <c r="M410" s="228" t="n">
        <v>246.67</v>
      </c>
      <c r="N410" s="228" t="n">
        <v>196.67</v>
      </c>
      <c r="Q410" s="212" t="n">
        <v>25</v>
      </c>
      <c r="R410" s="292"/>
      <c r="S410" s="212"/>
    </row>
    <row r="411" customFormat="false" ht="15" hidden="true" customHeight="false" outlineLevel="0" collapsed="false">
      <c r="B411" s="267" t="n">
        <v>2022</v>
      </c>
      <c r="C411" s="268" t="n">
        <v>6</v>
      </c>
      <c r="D411" s="226" t="s">
        <v>47</v>
      </c>
      <c r="E411" s="221" t="s">
        <v>44</v>
      </c>
      <c r="F411" s="221" t="n">
        <v>55186680706</v>
      </c>
      <c r="G411" s="269" t="n">
        <v>95787183</v>
      </c>
      <c r="H411" s="286" t="s">
        <v>73</v>
      </c>
      <c r="I411" s="293" t="n">
        <v>2126.7</v>
      </c>
      <c r="J411" s="228" t="n">
        <v>0</v>
      </c>
      <c r="K411" s="228" t="n">
        <v>2126.7</v>
      </c>
      <c r="L411" s="228" t="n">
        <v>-1926.7</v>
      </c>
      <c r="M411" s="228" t="n">
        <v>200</v>
      </c>
      <c r="N411" s="228" t="n">
        <v>200</v>
      </c>
      <c r="Q411" s="212"/>
      <c r="R411" s="292"/>
      <c r="S411" s="212"/>
    </row>
    <row r="412" customFormat="false" ht="15" hidden="true" customHeight="false" outlineLevel="0" collapsed="false">
      <c r="B412" s="267" t="n">
        <v>2022</v>
      </c>
      <c r="C412" s="268" t="n">
        <v>6</v>
      </c>
      <c r="D412" s="226" t="s">
        <v>47</v>
      </c>
      <c r="E412" s="221" t="s">
        <v>44</v>
      </c>
      <c r="F412" s="221" t="n">
        <v>21242693324</v>
      </c>
      <c r="G412" s="269" t="n">
        <v>95532064</v>
      </c>
      <c r="H412" s="287" t="s">
        <v>85</v>
      </c>
      <c r="I412" s="293" t="n">
        <v>4730.39</v>
      </c>
      <c r="J412" s="228" t="n">
        <v>50</v>
      </c>
      <c r="K412" s="228" t="n">
        <v>4730.39</v>
      </c>
      <c r="L412" s="228" t="n">
        <v>-4480.39</v>
      </c>
      <c r="M412" s="228" t="n">
        <v>250</v>
      </c>
      <c r="N412" s="228" t="n">
        <v>200</v>
      </c>
      <c r="Q412" s="212"/>
      <c r="R412" s="292"/>
      <c r="S412" s="212"/>
    </row>
    <row r="413" customFormat="false" ht="15" hidden="true" customHeight="false" outlineLevel="0" collapsed="false">
      <c r="B413" s="267" t="n">
        <v>2022</v>
      </c>
      <c r="C413" s="268" t="n">
        <v>6</v>
      </c>
      <c r="D413" s="226" t="s">
        <v>47</v>
      </c>
      <c r="E413" s="221" t="s">
        <v>44</v>
      </c>
      <c r="F413" s="221" t="n">
        <v>17159801204</v>
      </c>
      <c r="G413" s="269" t="n">
        <v>95532066</v>
      </c>
      <c r="H413" s="287" t="s">
        <v>87</v>
      </c>
      <c r="I413" s="293" t="n">
        <v>4730.39</v>
      </c>
      <c r="J413" s="228" t="n">
        <v>60</v>
      </c>
      <c r="K413" s="228" t="n">
        <v>4730.39</v>
      </c>
      <c r="L413" s="228" t="n">
        <v>-4470.39</v>
      </c>
      <c r="M413" s="228" t="n">
        <v>260</v>
      </c>
      <c r="N413" s="228" t="n">
        <v>200</v>
      </c>
      <c r="Q413" s="212"/>
      <c r="R413" s="292"/>
      <c r="S413" s="212"/>
    </row>
    <row r="414" customFormat="false" ht="15" hidden="true" customHeight="false" outlineLevel="0" collapsed="false">
      <c r="B414" s="267" t="n">
        <v>2022</v>
      </c>
      <c r="C414" s="268" t="n">
        <v>6</v>
      </c>
      <c r="D414" s="226" t="s">
        <v>47</v>
      </c>
      <c r="E414" s="221" t="s">
        <v>44</v>
      </c>
      <c r="F414" s="221" t="n">
        <v>23764482950</v>
      </c>
      <c r="G414" s="269" t="n">
        <v>95532077</v>
      </c>
      <c r="H414" s="287" t="s">
        <v>93</v>
      </c>
      <c r="I414" s="293" t="n">
        <v>771.45</v>
      </c>
      <c r="J414" s="228" t="n">
        <v>60</v>
      </c>
      <c r="K414" s="228" t="n">
        <v>771.45</v>
      </c>
      <c r="L414" s="228" t="n">
        <v>-511.45</v>
      </c>
      <c r="M414" s="228" t="n">
        <v>260</v>
      </c>
      <c r="N414" s="228" t="n">
        <v>200</v>
      </c>
      <c r="Q414" s="273" t="n">
        <v>25</v>
      </c>
      <c r="R414" s="292"/>
      <c r="S414" s="212"/>
    </row>
    <row r="415" customFormat="false" ht="15" hidden="true" customHeight="false" outlineLevel="0" collapsed="false">
      <c r="B415" s="267" t="n">
        <v>2022</v>
      </c>
      <c r="C415" s="268" t="n">
        <v>6</v>
      </c>
      <c r="D415" s="226" t="s">
        <v>47</v>
      </c>
      <c r="E415" s="221" t="s">
        <v>36</v>
      </c>
      <c r="F415" s="221" t="n">
        <v>25672444846</v>
      </c>
      <c r="G415" s="269" t="n">
        <v>95693810</v>
      </c>
      <c r="H415" s="287" t="s">
        <v>245</v>
      </c>
      <c r="I415" s="293" t="n">
        <v>4730.39</v>
      </c>
      <c r="J415" s="228" t="n">
        <v>50</v>
      </c>
      <c r="K415" s="228" t="n">
        <v>4730.39</v>
      </c>
      <c r="L415" s="228" t="n">
        <v>-4480.39</v>
      </c>
      <c r="M415" s="228" t="n">
        <v>250</v>
      </c>
      <c r="N415" s="228" t="n">
        <v>200</v>
      </c>
      <c r="Q415" s="212"/>
      <c r="R415" s="292"/>
      <c r="S415" s="212"/>
    </row>
    <row r="416" customFormat="false" ht="15" hidden="true" customHeight="false" outlineLevel="0" collapsed="false">
      <c r="B416" s="267" t="n">
        <v>2022</v>
      </c>
      <c r="C416" s="268" t="n">
        <v>6</v>
      </c>
      <c r="D416" s="226" t="s">
        <v>47</v>
      </c>
      <c r="E416" s="221" t="s">
        <v>44</v>
      </c>
      <c r="F416" s="221" t="n">
        <v>33853146700</v>
      </c>
      <c r="G416" s="269" t="n">
        <v>96959868</v>
      </c>
      <c r="H416" s="287" t="s">
        <v>247</v>
      </c>
      <c r="I416" s="293" t="n">
        <v>5091.93</v>
      </c>
      <c r="J416" s="228" t="n">
        <v>60</v>
      </c>
      <c r="K416" s="228" t="n">
        <v>5091.93</v>
      </c>
      <c r="L416" s="228" t="n">
        <v>-5831.93</v>
      </c>
      <c r="M416" s="228" t="n">
        <v>-740</v>
      </c>
      <c r="N416" s="228" t="n">
        <v>-800</v>
      </c>
      <c r="O416" s="212" t="s">
        <v>292</v>
      </c>
      <c r="Q416" s="212"/>
      <c r="R416" s="292"/>
      <c r="S416" s="291" t="s">
        <v>292</v>
      </c>
    </row>
    <row r="417" customFormat="false" ht="15" hidden="true" customHeight="false" outlineLevel="0" collapsed="false">
      <c r="B417" s="267" t="n">
        <v>2022</v>
      </c>
      <c r="C417" s="268" t="n">
        <v>6</v>
      </c>
      <c r="D417" s="226" t="s">
        <v>47</v>
      </c>
      <c r="E417" s="221" t="s">
        <v>44</v>
      </c>
      <c r="F417" s="221" t="n">
        <v>51994540164</v>
      </c>
      <c r="G417" s="269" t="n">
        <v>96900867</v>
      </c>
      <c r="H417" s="287" t="s">
        <v>97</v>
      </c>
      <c r="I417" s="293" t="n">
        <v>4572.4</v>
      </c>
      <c r="J417" s="228" t="n">
        <v>0</v>
      </c>
      <c r="K417" s="228" t="n">
        <v>4572.4</v>
      </c>
      <c r="L417" s="228" t="n">
        <v>-4572.4</v>
      </c>
      <c r="M417" s="228" t="n">
        <v>0</v>
      </c>
      <c r="N417" s="228" t="n">
        <v>0</v>
      </c>
      <c r="Q417" s="212"/>
      <c r="R417" s="292"/>
      <c r="S417" s="212"/>
    </row>
    <row r="418" customFormat="false" ht="15" hidden="true" customHeight="false" outlineLevel="0" collapsed="false">
      <c r="B418" s="267" t="n">
        <v>2022</v>
      </c>
      <c r="C418" s="268" t="n">
        <v>6</v>
      </c>
      <c r="D418" s="226" t="s">
        <v>47</v>
      </c>
      <c r="E418" s="221" t="s">
        <v>44</v>
      </c>
      <c r="F418" s="221" t="n">
        <v>52657562356</v>
      </c>
      <c r="G418" s="269" t="n">
        <v>97011710</v>
      </c>
      <c r="H418" s="287" t="s">
        <v>248</v>
      </c>
      <c r="I418" s="293" t="n">
        <v>4253.4</v>
      </c>
      <c r="J418" s="228" t="n">
        <v>0</v>
      </c>
      <c r="K418" s="228" t="n">
        <v>4253.4</v>
      </c>
      <c r="L418" s="228" t="n">
        <v>-4253.4</v>
      </c>
      <c r="M418" s="228" t="n">
        <v>0</v>
      </c>
      <c r="N418" s="228" t="n">
        <v>0</v>
      </c>
      <c r="Q418" s="212"/>
      <c r="R418" s="292"/>
      <c r="S418" s="212"/>
    </row>
    <row r="419" customFormat="false" ht="15" hidden="true" customHeight="false" outlineLevel="0" collapsed="false">
      <c r="B419" s="267" t="n">
        <v>2022</v>
      </c>
      <c r="C419" s="268" t="n">
        <v>6</v>
      </c>
      <c r="D419" s="226" t="s">
        <v>47</v>
      </c>
      <c r="E419" s="221" t="s">
        <v>36</v>
      </c>
      <c r="F419" s="221" t="n">
        <v>10459950610</v>
      </c>
      <c r="G419" s="269" t="n">
        <v>97226520</v>
      </c>
      <c r="H419" s="287" t="s">
        <v>195</v>
      </c>
      <c r="I419" s="293" t="n">
        <v>4730.39</v>
      </c>
      <c r="J419" s="228" t="n">
        <v>50</v>
      </c>
      <c r="K419" s="228" t="n">
        <v>4730.39</v>
      </c>
      <c r="L419" s="228" t="n">
        <v>-4480.39</v>
      </c>
      <c r="M419" s="228" t="n">
        <v>250</v>
      </c>
      <c r="N419" s="228" t="n">
        <v>200</v>
      </c>
      <c r="Q419" s="212"/>
      <c r="R419" s="292"/>
      <c r="S419" s="212"/>
    </row>
    <row r="420" customFormat="false" ht="15" hidden="true" customHeight="false" outlineLevel="0" collapsed="false">
      <c r="B420" s="267" t="n">
        <v>2022</v>
      </c>
      <c r="C420" s="268" t="n">
        <v>6</v>
      </c>
      <c r="D420" s="226" t="s">
        <v>47</v>
      </c>
      <c r="E420" s="221" t="s">
        <v>44</v>
      </c>
      <c r="F420" s="221" t="n">
        <v>23713484608</v>
      </c>
      <c r="G420" s="269" t="n">
        <v>97189681</v>
      </c>
      <c r="H420" s="287" t="s">
        <v>100</v>
      </c>
      <c r="I420" s="293" t="n">
        <v>4730.39</v>
      </c>
      <c r="J420" s="228" t="n">
        <v>50</v>
      </c>
      <c r="K420" s="228" t="n">
        <v>4730.39</v>
      </c>
      <c r="L420" s="228" t="n">
        <v>-4480.39</v>
      </c>
      <c r="M420" s="228" t="n">
        <v>250</v>
      </c>
      <c r="N420" s="228" t="n">
        <v>200</v>
      </c>
      <c r="Q420" s="212"/>
      <c r="R420" s="292"/>
      <c r="S420" s="212"/>
    </row>
    <row r="421" customFormat="false" ht="15" hidden="true" customHeight="false" outlineLevel="0" collapsed="false">
      <c r="B421" s="267" t="n">
        <v>2022</v>
      </c>
      <c r="C421" s="268" t="n">
        <v>6</v>
      </c>
      <c r="D421" s="226" t="s">
        <v>47</v>
      </c>
      <c r="E421" s="221" t="s">
        <v>44</v>
      </c>
      <c r="F421" s="221" t="n">
        <v>17891875174</v>
      </c>
      <c r="G421" s="269" t="n">
        <v>6214238</v>
      </c>
      <c r="H421" s="287" t="s">
        <v>190</v>
      </c>
      <c r="I421" s="293" t="n">
        <v>4253.4</v>
      </c>
      <c r="J421" s="228" t="n">
        <v>40</v>
      </c>
      <c r="K421" s="228" t="n">
        <v>4253.4</v>
      </c>
      <c r="L421" s="228" t="n">
        <v>-4013.4</v>
      </c>
      <c r="M421" s="228" t="n">
        <v>240</v>
      </c>
      <c r="N421" s="228" t="n">
        <v>200</v>
      </c>
      <c r="Q421" s="212"/>
      <c r="R421" s="292"/>
      <c r="S421" s="212"/>
    </row>
    <row r="422" customFormat="false" ht="15" hidden="true" customHeight="false" outlineLevel="0" collapsed="false">
      <c r="B422" s="267" t="n">
        <v>2022</v>
      </c>
      <c r="C422" s="268" t="n">
        <v>6</v>
      </c>
      <c r="D422" s="226" t="s">
        <v>47</v>
      </c>
      <c r="E422" s="221" t="s">
        <v>44</v>
      </c>
      <c r="F422" s="221" t="n">
        <v>13345619462</v>
      </c>
      <c r="G422" s="269" t="n">
        <v>97522183</v>
      </c>
      <c r="H422" s="287" t="s">
        <v>71</v>
      </c>
      <c r="I422" s="293" t="n">
        <v>771.45</v>
      </c>
      <c r="J422" s="228" t="n">
        <v>50</v>
      </c>
      <c r="K422" s="228" t="n">
        <v>771.45</v>
      </c>
      <c r="L422" s="228" t="n">
        <v>-521.45</v>
      </c>
      <c r="M422" s="228" t="n">
        <v>250</v>
      </c>
      <c r="N422" s="228" t="n">
        <v>200</v>
      </c>
      <c r="Q422" s="273" t="n">
        <v>25</v>
      </c>
      <c r="R422" s="292"/>
      <c r="S422" s="212"/>
    </row>
    <row r="423" customFormat="false" ht="15" hidden="true" customHeight="false" outlineLevel="0" collapsed="false">
      <c r="B423" s="267" t="n">
        <v>2022</v>
      </c>
      <c r="C423" s="268" t="n">
        <v>6</v>
      </c>
      <c r="D423" s="226" t="s">
        <v>47</v>
      </c>
      <c r="E423" s="221" t="s">
        <v>36</v>
      </c>
      <c r="F423" s="221" t="n">
        <v>14233727054</v>
      </c>
      <c r="G423" s="269" t="n">
        <v>97522331</v>
      </c>
      <c r="H423" s="287" t="s">
        <v>276</v>
      </c>
      <c r="I423" s="293" t="n">
        <v>771.45</v>
      </c>
      <c r="J423" s="228" t="n">
        <v>50</v>
      </c>
      <c r="K423" s="228" t="n">
        <v>771.45</v>
      </c>
      <c r="L423" s="228" t="n">
        <v>-521.45</v>
      </c>
      <c r="M423" s="228" t="n">
        <v>250</v>
      </c>
      <c r="N423" s="228" t="n">
        <v>200</v>
      </c>
      <c r="Q423" s="273" t="n">
        <v>25</v>
      </c>
      <c r="R423" s="292"/>
      <c r="S423" s="212"/>
    </row>
    <row r="424" customFormat="false" ht="15" hidden="true" customHeight="false" outlineLevel="0" collapsed="false">
      <c r="B424" s="267" t="n">
        <v>2022</v>
      </c>
      <c r="C424" s="268" t="n">
        <v>6</v>
      </c>
      <c r="D424" s="226" t="s">
        <v>47</v>
      </c>
      <c r="E424" s="221" t="s">
        <v>44</v>
      </c>
      <c r="F424" s="221" t="n">
        <v>38233125580</v>
      </c>
      <c r="G424" s="269" t="n">
        <v>95532065</v>
      </c>
      <c r="H424" s="287" t="s">
        <v>289</v>
      </c>
      <c r="I424" s="293" t="n">
        <v>4730.39</v>
      </c>
      <c r="J424" s="228" t="n">
        <v>60</v>
      </c>
      <c r="K424" s="228" t="n">
        <v>4730.39</v>
      </c>
      <c r="L424" s="228" t="n">
        <v>-4470.39</v>
      </c>
      <c r="M424" s="228" t="n">
        <v>260</v>
      </c>
      <c r="N424" s="228" t="n">
        <v>200</v>
      </c>
      <c r="Q424" s="273"/>
      <c r="R424" s="292"/>
      <c r="S424" s="212"/>
    </row>
    <row r="425" customFormat="false" ht="15" hidden="true" customHeight="false" outlineLevel="0" collapsed="false">
      <c r="B425" s="267" t="n">
        <v>2022</v>
      </c>
      <c r="C425" s="268" t="n">
        <v>6</v>
      </c>
      <c r="D425" s="226" t="s">
        <v>47</v>
      </c>
      <c r="E425" s="221" t="s">
        <v>36</v>
      </c>
      <c r="F425" s="221" t="n">
        <v>18736701092</v>
      </c>
      <c r="G425" s="269" t="n">
        <v>95547779</v>
      </c>
      <c r="H425" s="287" t="s">
        <v>127</v>
      </c>
      <c r="I425" s="290" t="n">
        <v>2626.5</v>
      </c>
      <c r="J425" s="228" t="n">
        <v>2626.5</v>
      </c>
      <c r="K425" s="228" t="n">
        <v>2626.5</v>
      </c>
      <c r="L425" s="228" t="n">
        <v>0</v>
      </c>
      <c r="M425" s="228" t="n">
        <v>2626.5</v>
      </c>
      <c r="N425" s="228" t="n">
        <v>0</v>
      </c>
      <c r="O425" s="212" t="s">
        <v>295</v>
      </c>
      <c r="Q425" s="273"/>
      <c r="R425" s="292"/>
      <c r="S425" s="212" t="s">
        <v>295</v>
      </c>
    </row>
    <row r="426" customFormat="false" ht="15" hidden="true" customHeight="false" outlineLevel="0" collapsed="false">
      <c r="B426" s="267" t="n">
        <v>2022</v>
      </c>
      <c r="C426" s="268" t="n">
        <v>6</v>
      </c>
      <c r="D426" s="226" t="s">
        <v>47</v>
      </c>
      <c r="E426" s="221" t="s">
        <v>44</v>
      </c>
      <c r="F426" s="221" t="n">
        <v>0</v>
      </c>
      <c r="G426" s="269" t="n">
        <v>0</v>
      </c>
      <c r="H426" s="287" t="s">
        <v>74</v>
      </c>
      <c r="I426" s="293" t="n">
        <v>0</v>
      </c>
      <c r="J426" s="228" t="n">
        <v>40</v>
      </c>
      <c r="K426" s="228" t="n">
        <v>0</v>
      </c>
      <c r="L426" s="228" t="n">
        <v>240</v>
      </c>
      <c r="M426" s="228" t="n">
        <v>240</v>
      </c>
      <c r="N426" s="228" t="n">
        <v>200</v>
      </c>
      <c r="Q426" s="273"/>
      <c r="R426" s="292"/>
      <c r="S426" s="212"/>
    </row>
    <row r="427" customFormat="false" ht="15" hidden="true" customHeight="false" outlineLevel="0" collapsed="false">
      <c r="B427" s="267" t="n">
        <v>2022</v>
      </c>
      <c r="C427" s="268" t="n">
        <v>6</v>
      </c>
      <c r="D427" s="226" t="s">
        <v>47</v>
      </c>
      <c r="E427" s="221" t="s">
        <v>44</v>
      </c>
      <c r="F427" s="221" t="n">
        <v>0</v>
      </c>
      <c r="G427" s="269" t="n">
        <v>0</v>
      </c>
      <c r="H427" s="287" t="s">
        <v>102</v>
      </c>
      <c r="I427" s="290" t="n">
        <v>0</v>
      </c>
      <c r="J427" s="228" t="n">
        <v>50</v>
      </c>
      <c r="K427" s="228" t="n">
        <v>0</v>
      </c>
      <c r="L427" s="228" t="n">
        <v>250</v>
      </c>
      <c r="M427" s="228" t="n">
        <v>250</v>
      </c>
      <c r="N427" s="228" t="n">
        <v>200</v>
      </c>
      <c r="Q427" s="273"/>
      <c r="R427" s="292"/>
      <c r="S427" s="212"/>
    </row>
    <row r="428" customFormat="false" ht="15" hidden="true" customHeight="false" outlineLevel="0" collapsed="false">
      <c r="B428" s="267" t="n">
        <v>2022</v>
      </c>
      <c r="C428" s="268" t="n">
        <v>6</v>
      </c>
      <c r="D428" s="226" t="s">
        <v>47</v>
      </c>
      <c r="E428" s="221" t="s">
        <v>44</v>
      </c>
      <c r="F428" s="221" t="n">
        <v>0</v>
      </c>
      <c r="G428" s="269" t="n">
        <v>0</v>
      </c>
      <c r="H428" s="287" t="s">
        <v>196</v>
      </c>
      <c r="I428" s="290" t="n">
        <v>0</v>
      </c>
      <c r="J428" s="228" t="n">
        <v>0</v>
      </c>
      <c r="K428" s="228" t="n">
        <v>0</v>
      </c>
      <c r="L428" s="228" t="n">
        <v>200</v>
      </c>
      <c r="M428" s="228" t="n">
        <v>200</v>
      </c>
      <c r="N428" s="228" t="n">
        <v>200</v>
      </c>
      <c r="Q428" s="273"/>
      <c r="R428" s="292"/>
      <c r="S428" s="212"/>
    </row>
    <row r="429" customFormat="false" ht="15" hidden="true" customHeight="false" outlineLevel="0" collapsed="false">
      <c r="B429" s="267" t="n">
        <v>2022</v>
      </c>
      <c r="C429" s="268" t="n">
        <v>6</v>
      </c>
      <c r="D429" s="226" t="n">
        <v>0</v>
      </c>
      <c r="E429" s="221" t="s">
        <v>44</v>
      </c>
      <c r="F429" s="221" t="n">
        <v>0</v>
      </c>
      <c r="G429" s="269" t="n">
        <v>0</v>
      </c>
      <c r="H429" s="287" t="s">
        <v>293</v>
      </c>
      <c r="I429" s="290" t="n">
        <v>0</v>
      </c>
      <c r="J429" s="228" t="n">
        <v>0</v>
      </c>
      <c r="K429" s="228" t="n">
        <v>0</v>
      </c>
      <c r="L429" s="228" t="n">
        <v>0</v>
      </c>
      <c r="M429" s="228" t="n">
        <v>0</v>
      </c>
      <c r="N429" s="228" t="n">
        <v>0</v>
      </c>
      <c r="Q429" s="273"/>
      <c r="R429" s="292"/>
      <c r="S429" s="212"/>
    </row>
    <row r="430" customFormat="false" ht="15" hidden="true" customHeight="false" outlineLevel="0" collapsed="false">
      <c r="B430" s="267" t="n">
        <v>2022</v>
      </c>
      <c r="C430" s="268" t="n">
        <v>6</v>
      </c>
      <c r="D430" s="226" t="n">
        <v>0</v>
      </c>
      <c r="E430" s="221" t="s">
        <v>44</v>
      </c>
      <c r="F430" s="221" t="n">
        <v>0</v>
      </c>
      <c r="G430" s="269" t="n">
        <v>0</v>
      </c>
      <c r="H430" s="286" t="s">
        <v>294</v>
      </c>
      <c r="I430" s="290" t="n">
        <v>0</v>
      </c>
      <c r="J430" s="228" t="n">
        <v>0</v>
      </c>
      <c r="K430" s="228" t="n">
        <v>0</v>
      </c>
      <c r="L430" s="228" t="n">
        <v>0</v>
      </c>
      <c r="M430" s="228" t="n">
        <v>0</v>
      </c>
      <c r="N430" s="228" t="n">
        <v>0</v>
      </c>
      <c r="Q430" s="212"/>
      <c r="R430" s="292"/>
      <c r="S430" s="212"/>
    </row>
    <row r="431" customFormat="false" ht="15" hidden="true" customHeight="false" outlineLevel="0" collapsed="false">
      <c r="B431" s="267" t="n">
        <v>2022</v>
      </c>
      <c r="C431" s="268" t="n">
        <v>6</v>
      </c>
      <c r="D431" s="226" t="n">
        <v>0</v>
      </c>
      <c r="E431" s="221" t="s">
        <v>36</v>
      </c>
      <c r="F431" s="221" t="n">
        <v>0</v>
      </c>
      <c r="G431" s="269" t="n">
        <v>0</v>
      </c>
      <c r="H431" s="287" t="s">
        <v>135</v>
      </c>
      <c r="I431" s="290" t="n">
        <v>0</v>
      </c>
      <c r="J431" s="228" t="n">
        <v>0</v>
      </c>
      <c r="K431" s="228" t="n">
        <v>0</v>
      </c>
      <c r="L431" s="228" t="n">
        <v>0</v>
      </c>
      <c r="M431" s="228" t="n">
        <v>0</v>
      </c>
      <c r="N431" s="228" t="n">
        <v>0</v>
      </c>
      <c r="Q431" s="212"/>
      <c r="R431" s="292"/>
      <c r="S431" s="212"/>
    </row>
    <row r="432" customFormat="false" ht="15" hidden="true" customHeight="false" outlineLevel="0" collapsed="false">
      <c r="B432" s="267" t="n">
        <v>2022</v>
      </c>
      <c r="C432" s="268" t="n">
        <v>7</v>
      </c>
      <c r="D432" s="226" t="s">
        <v>44</v>
      </c>
      <c r="E432" s="221" t="n">
        <v>28699369338</v>
      </c>
      <c r="F432" s="221" t="n">
        <v>96358353</v>
      </c>
      <c r="G432" s="221" t="n">
        <v>1</v>
      </c>
      <c r="H432" s="286" t="s">
        <v>79</v>
      </c>
      <c r="I432" s="293" t="n">
        <v>4363.61</v>
      </c>
      <c r="J432" s="228" t="n">
        <v>9000</v>
      </c>
      <c r="K432" s="228" t="n">
        <v>4363.61</v>
      </c>
      <c r="L432" s="228" t="n">
        <v>1636.39</v>
      </c>
      <c r="M432" s="228" t="n">
        <v>6000</v>
      </c>
      <c r="N432" s="294" t="n">
        <v>-3000</v>
      </c>
      <c r="O432" s="212" t="s">
        <v>286</v>
      </c>
      <c r="Q432" s="212" t="n">
        <v>10</v>
      </c>
      <c r="R432" s="292"/>
      <c r="S432" s="291" t="s">
        <v>286</v>
      </c>
    </row>
    <row r="433" customFormat="false" ht="15" hidden="true" customHeight="false" outlineLevel="0" collapsed="false">
      <c r="B433" s="267" t="n">
        <v>2022</v>
      </c>
      <c r="C433" s="268" t="n">
        <v>7</v>
      </c>
      <c r="D433" s="226" t="s">
        <v>44</v>
      </c>
      <c r="E433" s="221" t="n">
        <v>63097169876</v>
      </c>
      <c r="F433" s="221" t="n">
        <v>96843148</v>
      </c>
      <c r="G433" s="221" t="n">
        <v>1</v>
      </c>
      <c r="H433" s="287" t="s">
        <v>122</v>
      </c>
      <c r="I433" s="293" t="n">
        <v>6333.47</v>
      </c>
      <c r="J433" s="228" t="n">
        <v>9000</v>
      </c>
      <c r="K433" s="228" t="n">
        <v>6333.47</v>
      </c>
      <c r="L433" s="228" t="n">
        <v>2666.53</v>
      </c>
      <c r="M433" s="228" t="n">
        <v>9000</v>
      </c>
      <c r="N433" s="294"/>
      <c r="Q433" s="212"/>
      <c r="R433" s="292"/>
      <c r="S433" s="291"/>
    </row>
    <row r="434" customFormat="false" ht="15" hidden="true" customHeight="false" outlineLevel="0" collapsed="false">
      <c r="B434" s="267" t="n">
        <v>2022</v>
      </c>
      <c r="C434" s="268" t="n">
        <v>7</v>
      </c>
      <c r="D434" s="226" t="s">
        <v>44</v>
      </c>
      <c r="E434" s="221" t="n">
        <v>36826974454</v>
      </c>
      <c r="F434" s="221" t="n">
        <v>95573006</v>
      </c>
      <c r="G434" s="221" t="n">
        <v>1</v>
      </c>
      <c r="H434" s="287" t="s">
        <v>188</v>
      </c>
      <c r="I434" s="293" t="n">
        <v>1833.45</v>
      </c>
      <c r="J434" s="228" t="n">
        <v>5500</v>
      </c>
      <c r="K434" s="228" t="n">
        <v>1833.45</v>
      </c>
      <c r="L434" s="228" t="n">
        <v>916.55</v>
      </c>
      <c r="M434" s="228" t="n">
        <v>2750</v>
      </c>
      <c r="N434" s="294" t="n">
        <v>-2750</v>
      </c>
      <c r="O434" s="212" t="s">
        <v>286</v>
      </c>
      <c r="Q434" s="212" t="n">
        <v>15</v>
      </c>
      <c r="R434" s="292"/>
      <c r="S434" s="291" t="s">
        <v>286</v>
      </c>
    </row>
    <row r="435" customFormat="false" ht="15" hidden="true" customHeight="false" outlineLevel="0" collapsed="false">
      <c r="B435" s="267" t="n">
        <v>2022</v>
      </c>
      <c r="C435" s="268" t="n">
        <v>7</v>
      </c>
      <c r="D435" s="226" t="s">
        <v>44</v>
      </c>
      <c r="E435" s="221" t="n">
        <v>17630785580</v>
      </c>
      <c r="F435" s="221" t="n">
        <v>95529415</v>
      </c>
      <c r="G435" s="221" t="n">
        <v>1</v>
      </c>
      <c r="H435" s="287" t="s">
        <v>81</v>
      </c>
      <c r="I435" s="293" t="n">
        <v>5824.98</v>
      </c>
      <c r="J435" s="228" t="n">
        <v>18824.98</v>
      </c>
      <c r="K435" s="228" t="n">
        <v>5824.98</v>
      </c>
      <c r="L435" s="228" t="n">
        <v>13000</v>
      </c>
      <c r="M435" s="228" t="n">
        <v>18824.98</v>
      </c>
      <c r="N435" s="294"/>
      <c r="Q435" s="212"/>
      <c r="R435" s="292"/>
      <c r="S435" s="291"/>
    </row>
    <row r="436" customFormat="false" ht="15" hidden="true" customHeight="false" outlineLevel="0" collapsed="false">
      <c r="B436" s="267" t="n">
        <v>2022</v>
      </c>
      <c r="C436" s="268" t="n">
        <v>7</v>
      </c>
      <c r="D436" s="226" t="s">
        <v>36</v>
      </c>
      <c r="E436" s="221" t="n">
        <v>27172394690</v>
      </c>
      <c r="F436" s="221" t="n">
        <v>95702622</v>
      </c>
      <c r="G436" s="221" t="n">
        <v>1</v>
      </c>
      <c r="H436" s="288" t="s">
        <v>72</v>
      </c>
      <c r="I436" s="293" t="n">
        <v>997.61</v>
      </c>
      <c r="J436" s="228" t="n">
        <v>7500</v>
      </c>
      <c r="K436" s="228" t="n">
        <v>997.61</v>
      </c>
      <c r="L436" s="228" t="n">
        <v>5377.39</v>
      </c>
      <c r="M436" s="228" t="n">
        <v>6375</v>
      </c>
      <c r="N436" s="294" t="n">
        <v>-1125</v>
      </c>
      <c r="O436" s="212" t="s">
        <v>296</v>
      </c>
      <c r="Q436" s="212" t="n">
        <v>25</v>
      </c>
      <c r="R436" s="292"/>
      <c r="S436" s="291" t="s">
        <v>296</v>
      </c>
    </row>
    <row r="437" customFormat="false" ht="15" hidden="true" customHeight="false" outlineLevel="0" collapsed="false">
      <c r="B437" s="267" t="n">
        <v>2022</v>
      </c>
      <c r="C437" s="268" t="n">
        <v>7</v>
      </c>
      <c r="D437" s="226" t="s">
        <v>44</v>
      </c>
      <c r="E437" s="221" t="n">
        <v>55186680706</v>
      </c>
      <c r="F437" s="221" t="n">
        <v>95787183</v>
      </c>
      <c r="G437" s="221" t="n">
        <v>1</v>
      </c>
      <c r="H437" s="286" t="s">
        <v>73</v>
      </c>
      <c r="I437" s="293" t="n">
        <v>2750.17</v>
      </c>
      <c r="J437" s="228" t="n">
        <v>7000</v>
      </c>
      <c r="K437" s="228" t="n">
        <v>2750.17</v>
      </c>
      <c r="L437" s="228" t="n">
        <v>5549.83</v>
      </c>
      <c r="M437" s="228" t="n">
        <v>8300</v>
      </c>
      <c r="N437" s="294" t="n">
        <v>1300</v>
      </c>
      <c r="O437" s="212" t="s">
        <v>297</v>
      </c>
      <c r="Q437" s="212"/>
      <c r="R437" s="292"/>
      <c r="S437" s="291" t="s">
        <v>297</v>
      </c>
    </row>
    <row r="438" customFormat="false" ht="15" hidden="true" customHeight="false" outlineLevel="0" collapsed="false">
      <c r="B438" s="267" t="n">
        <v>2022</v>
      </c>
      <c r="C438" s="268" t="n">
        <v>7</v>
      </c>
      <c r="D438" s="226" t="s">
        <v>44</v>
      </c>
      <c r="E438" s="221" t="n">
        <v>21242693324</v>
      </c>
      <c r="F438" s="221" t="n">
        <v>95532064</v>
      </c>
      <c r="G438" s="221" t="n">
        <v>1</v>
      </c>
      <c r="H438" s="287" t="s">
        <v>85</v>
      </c>
      <c r="I438" s="293" t="n">
        <v>5959.33</v>
      </c>
      <c r="J438" s="228" t="n">
        <v>5959.33</v>
      </c>
      <c r="K438" s="228" t="n">
        <v>5959.33</v>
      </c>
      <c r="L438" s="228" t="n">
        <v>0</v>
      </c>
      <c r="M438" s="228" t="n">
        <v>5959.33</v>
      </c>
      <c r="N438" s="294"/>
      <c r="Q438" s="212"/>
      <c r="R438" s="292"/>
      <c r="S438" s="291"/>
    </row>
    <row r="439" customFormat="false" ht="15" hidden="true" customHeight="false" outlineLevel="0" collapsed="false">
      <c r="B439" s="267" t="n">
        <v>2022</v>
      </c>
      <c r="C439" s="268" t="n">
        <v>7</v>
      </c>
      <c r="D439" s="226" t="s">
        <v>44</v>
      </c>
      <c r="E439" s="221" t="n">
        <v>17159801204</v>
      </c>
      <c r="F439" s="221" t="n">
        <v>95532066</v>
      </c>
      <c r="G439" s="221" t="n">
        <v>1</v>
      </c>
      <c r="H439" s="287" t="s">
        <v>87</v>
      </c>
      <c r="I439" s="293" t="n">
        <v>5959.33</v>
      </c>
      <c r="J439" s="228" t="n">
        <v>5959.33</v>
      </c>
      <c r="K439" s="228" t="n">
        <v>5959.33</v>
      </c>
      <c r="L439" s="228" t="n">
        <v>0</v>
      </c>
      <c r="M439" s="228" t="n">
        <v>5959.33</v>
      </c>
      <c r="N439" s="294"/>
      <c r="Q439" s="212"/>
      <c r="R439" s="292"/>
      <c r="S439" s="291"/>
    </row>
    <row r="440" customFormat="false" ht="15" hidden="true" customHeight="false" outlineLevel="0" collapsed="false">
      <c r="B440" s="267" t="n">
        <v>2022</v>
      </c>
      <c r="C440" s="268" t="n">
        <v>7</v>
      </c>
      <c r="D440" s="226" t="s">
        <v>44</v>
      </c>
      <c r="E440" s="221" t="n">
        <v>23764482950</v>
      </c>
      <c r="F440" s="221" t="n">
        <v>95532077</v>
      </c>
      <c r="G440" s="221" t="n">
        <v>1</v>
      </c>
      <c r="H440" s="287" t="s">
        <v>93</v>
      </c>
      <c r="I440" s="293" t="n">
        <v>997.61</v>
      </c>
      <c r="J440" s="228" t="n">
        <v>9000</v>
      </c>
      <c r="K440" s="228" t="n">
        <v>997.61</v>
      </c>
      <c r="L440" s="228" t="n">
        <v>8002.39</v>
      </c>
      <c r="M440" s="228" t="n">
        <v>9000</v>
      </c>
      <c r="N440" s="294"/>
      <c r="Q440" s="273" t="n">
        <v>25</v>
      </c>
      <c r="R440" s="292"/>
      <c r="S440" s="291"/>
    </row>
    <row r="441" customFormat="false" ht="15" hidden="true" customHeight="false" outlineLevel="0" collapsed="false">
      <c r="B441" s="267" t="n">
        <v>2022</v>
      </c>
      <c r="C441" s="268" t="n">
        <v>7</v>
      </c>
      <c r="D441" s="226" t="s">
        <v>36</v>
      </c>
      <c r="E441" s="221" t="n">
        <v>25672444846</v>
      </c>
      <c r="F441" s="221" t="n">
        <v>95693810</v>
      </c>
      <c r="G441" s="221" t="n">
        <v>1</v>
      </c>
      <c r="H441" s="287" t="s">
        <v>245</v>
      </c>
      <c r="I441" s="293" t="n">
        <v>5959.33</v>
      </c>
      <c r="J441" s="228" t="n">
        <v>8000</v>
      </c>
      <c r="K441" s="228" t="n">
        <v>5959.33</v>
      </c>
      <c r="L441" s="228" t="n">
        <v>1390.67</v>
      </c>
      <c r="M441" s="228" t="n">
        <v>7350</v>
      </c>
      <c r="N441" s="294" t="n">
        <v>-650</v>
      </c>
      <c r="O441" s="212" t="s">
        <v>298</v>
      </c>
      <c r="Q441" s="212"/>
      <c r="R441" s="292"/>
      <c r="S441" s="291" t="s">
        <v>298</v>
      </c>
    </row>
    <row r="442" customFormat="false" ht="15" hidden="true" customHeight="false" outlineLevel="0" collapsed="false">
      <c r="B442" s="267" t="n">
        <v>2022</v>
      </c>
      <c r="C442" s="268" t="n">
        <v>7</v>
      </c>
      <c r="D442" s="226" t="s">
        <v>44</v>
      </c>
      <c r="E442" s="221" t="n">
        <v>33853146700</v>
      </c>
      <c r="F442" s="221" t="n">
        <v>96959868</v>
      </c>
      <c r="G442" s="221" t="n">
        <v>1</v>
      </c>
      <c r="H442" s="287" t="s">
        <v>247</v>
      </c>
      <c r="I442" s="293" t="n">
        <v>6271.75</v>
      </c>
      <c r="J442" s="228" t="n">
        <v>9000</v>
      </c>
      <c r="K442" s="228" t="n">
        <v>6271.75</v>
      </c>
      <c r="L442" s="228" t="n">
        <v>1586.58</v>
      </c>
      <c r="M442" s="228" t="n">
        <v>7858.33</v>
      </c>
      <c r="N442" s="294" t="n">
        <v>-1141.67</v>
      </c>
      <c r="O442" s="212" t="s">
        <v>299</v>
      </c>
      <c r="Q442" s="212"/>
      <c r="R442" s="292"/>
      <c r="S442" s="291" t="s">
        <v>299</v>
      </c>
    </row>
    <row r="443" customFormat="false" ht="15" hidden="true" customHeight="false" outlineLevel="0" collapsed="false">
      <c r="B443" s="267" t="n">
        <v>2022</v>
      </c>
      <c r="C443" s="268" t="n">
        <v>7</v>
      </c>
      <c r="D443" s="226" t="s">
        <v>44</v>
      </c>
      <c r="E443" s="221" t="n">
        <v>51994540164</v>
      </c>
      <c r="F443" s="221" t="n">
        <v>96900867</v>
      </c>
      <c r="G443" s="221" t="n">
        <v>1</v>
      </c>
      <c r="H443" s="287" t="s">
        <v>97</v>
      </c>
      <c r="I443" s="293" t="n">
        <v>5912.87</v>
      </c>
      <c r="J443" s="228" t="n">
        <v>5912.87</v>
      </c>
      <c r="K443" s="228" t="n">
        <v>5912.87</v>
      </c>
      <c r="L443" s="228" t="n">
        <v>0</v>
      </c>
      <c r="M443" s="228" t="n">
        <v>5912.87</v>
      </c>
      <c r="N443" s="294"/>
      <c r="Q443" s="212"/>
      <c r="R443" s="292"/>
      <c r="S443" s="291"/>
    </row>
    <row r="444" customFormat="false" ht="15" hidden="true" customHeight="false" outlineLevel="0" collapsed="false">
      <c r="B444" s="267" t="n">
        <v>2022</v>
      </c>
      <c r="C444" s="268" t="n">
        <v>7</v>
      </c>
      <c r="D444" s="226" t="s">
        <v>44</v>
      </c>
      <c r="E444" s="221" t="n">
        <v>52657562356</v>
      </c>
      <c r="F444" s="221" t="n">
        <v>97011710</v>
      </c>
      <c r="G444" s="221" t="n">
        <v>1</v>
      </c>
      <c r="H444" s="287" t="s">
        <v>248</v>
      </c>
      <c r="I444" s="293" t="n">
        <v>5500.35</v>
      </c>
      <c r="J444" s="228" t="n">
        <v>5500.35</v>
      </c>
      <c r="K444" s="228" t="n">
        <v>5500.35</v>
      </c>
      <c r="L444" s="228" t="n">
        <v>0</v>
      </c>
      <c r="M444" s="228" t="n">
        <v>5500.35</v>
      </c>
      <c r="N444" s="294"/>
      <c r="Q444" s="212"/>
      <c r="R444" s="292"/>
      <c r="S444" s="291"/>
    </row>
    <row r="445" customFormat="false" ht="15" hidden="true" customHeight="false" outlineLevel="0" collapsed="false">
      <c r="B445" s="267" t="n">
        <v>2022</v>
      </c>
      <c r="C445" s="268" t="n">
        <v>7</v>
      </c>
      <c r="D445" s="226" t="s">
        <v>36</v>
      </c>
      <c r="E445" s="221" t="n">
        <v>10459950610</v>
      </c>
      <c r="F445" s="221" t="n">
        <v>97226520</v>
      </c>
      <c r="G445" s="221" t="n">
        <v>1</v>
      </c>
      <c r="H445" s="287" t="s">
        <v>195</v>
      </c>
      <c r="I445" s="293" t="n">
        <v>6058.57</v>
      </c>
      <c r="J445" s="228" t="n">
        <v>8000</v>
      </c>
      <c r="K445" s="228" t="n">
        <v>6058.57</v>
      </c>
      <c r="L445" s="228" t="n">
        <v>1941.43</v>
      </c>
      <c r="M445" s="228" t="n">
        <v>8000</v>
      </c>
      <c r="N445" s="294"/>
      <c r="Q445" s="212"/>
      <c r="R445" s="292"/>
      <c r="S445" s="291"/>
    </row>
    <row r="446" customFormat="false" ht="15" hidden="true" customHeight="false" outlineLevel="0" collapsed="false">
      <c r="B446" s="267" t="n">
        <v>2022</v>
      </c>
      <c r="C446" s="268" t="n">
        <v>7</v>
      </c>
      <c r="D446" s="226" t="s">
        <v>44</v>
      </c>
      <c r="E446" s="221" t="n">
        <v>23713484608</v>
      </c>
      <c r="F446" s="221" t="n">
        <v>97189681</v>
      </c>
      <c r="G446" s="221" t="n">
        <v>1</v>
      </c>
      <c r="H446" s="287" t="s">
        <v>100</v>
      </c>
      <c r="I446" s="293" t="n">
        <v>5959.33</v>
      </c>
      <c r="J446" s="228" t="n">
        <v>7500</v>
      </c>
      <c r="K446" s="228" t="n">
        <v>5959.33</v>
      </c>
      <c r="L446" s="228" t="n">
        <v>1540.67</v>
      </c>
      <c r="M446" s="228" t="n">
        <v>7500</v>
      </c>
      <c r="N446" s="294"/>
      <c r="Q446" s="212"/>
      <c r="R446" s="292"/>
      <c r="S446" s="291"/>
    </row>
    <row r="447" customFormat="false" ht="15" hidden="true" customHeight="false" outlineLevel="0" collapsed="false">
      <c r="B447" s="267" t="n">
        <v>2022</v>
      </c>
      <c r="C447" s="268" t="n">
        <v>7</v>
      </c>
      <c r="D447" s="226" t="s">
        <v>44</v>
      </c>
      <c r="E447" s="221" t="n">
        <v>17891875174</v>
      </c>
      <c r="F447" s="221" t="n">
        <v>6214238</v>
      </c>
      <c r="G447" s="221" t="n">
        <v>1</v>
      </c>
      <c r="H447" s="287" t="s">
        <v>190</v>
      </c>
      <c r="I447" s="293" t="n">
        <v>5500.35</v>
      </c>
      <c r="J447" s="228" t="n">
        <v>5500.35</v>
      </c>
      <c r="K447" s="228" t="n">
        <v>5500.35</v>
      </c>
      <c r="L447" s="228" t="n">
        <v>0</v>
      </c>
      <c r="M447" s="228" t="n">
        <v>5500.35</v>
      </c>
      <c r="N447" s="294"/>
      <c r="Q447" s="212"/>
      <c r="R447" s="292"/>
      <c r="S447" s="291"/>
    </row>
    <row r="448" customFormat="false" ht="15" hidden="true" customHeight="false" outlineLevel="0" collapsed="false">
      <c r="B448" s="267" t="n">
        <v>2022</v>
      </c>
      <c r="C448" s="268" t="n">
        <v>7</v>
      </c>
      <c r="D448" s="226" t="s">
        <v>44</v>
      </c>
      <c r="E448" s="221" t="n">
        <v>13345619462</v>
      </c>
      <c r="F448" s="221" t="n">
        <v>97522183</v>
      </c>
      <c r="G448" s="221" t="n">
        <v>1</v>
      </c>
      <c r="H448" s="287" t="s">
        <v>71</v>
      </c>
      <c r="I448" s="293" t="n">
        <v>997.61</v>
      </c>
      <c r="J448" s="228" t="n">
        <v>7500</v>
      </c>
      <c r="K448" s="228" t="n">
        <v>997.61</v>
      </c>
      <c r="L448" s="228" t="n">
        <v>6127.39</v>
      </c>
      <c r="M448" s="228" t="n">
        <v>7125</v>
      </c>
      <c r="N448" s="294" t="n">
        <v>-375</v>
      </c>
      <c r="O448" s="212" t="s">
        <v>300</v>
      </c>
      <c r="Q448" s="273" t="n">
        <v>25</v>
      </c>
      <c r="R448" s="292"/>
      <c r="S448" s="291" t="s">
        <v>300</v>
      </c>
    </row>
    <row r="449" customFormat="false" ht="15" hidden="true" customHeight="false" outlineLevel="0" collapsed="false">
      <c r="B449" s="267" t="n">
        <v>2022</v>
      </c>
      <c r="C449" s="268" t="n">
        <v>7</v>
      </c>
      <c r="D449" s="226" t="s">
        <v>36</v>
      </c>
      <c r="E449" s="221" t="n">
        <v>14233727054</v>
      </c>
      <c r="F449" s="221" t="n">
        <v>97522331</v>
      </c>
      <c r="G449" s="221" t="n">
        <v>1</v>
      </c>
      <c r="H449" s="287" t="s">
        <v>276</v>
      </c>
      <c r="I449" s="293" t="n">
        <v>997.61</v>
      </c>
      <c r="J449" s="228" t="n">
        <v>8000</v>
      </c>
      <c r="K449" s="228" t="n">
        <v>997.61</v>
      </c>
      <c r="L449" s="228" t="n">
        <v>6869.06</v>
      </c>
      <c r="M449" s="228" t="n">
        <v>7866.67</v>
      </c>
      <c r="N449" s="294" t="n">
        <v>-133.33</v>
      </c>
      <c r="O449" s="212" t="s">
        <v>299</v>
      </c>
      <c r="Q449" s="273" t="n">
        <v>25</v>
      </c>
      <c r="R449" s="292"/>
      <c r="S449" s="291" t="s">
        <v>299</v>
      </c>
    </row>
    <row r="450" customFormat="false" ht="15" hidden="true" customHeight="false" outlineLevel="0" collapsed="false">
      <c r="B450" s="267" t="n">
        <v>2022</v>
      </c>
      <c r="C450" s="268" t="n">
        <v>7</v>
      </c>
      <c r="D450" s="226" t="s">
        <v>44</v>
      </c>
      <c r="E450" s="221" t="n">
        <v>38233125580</v>
      </c>
      <c r="F450" s="221" t="n">
        <v>95532065</v>
      </c>
      <c r="G450" s="221" t="n">
        <v>1</v>
      </c>
      <c r="H450" s="287" t="s">
        <v>289</v>
      </c>
      <c r="I450" s="293" t="n">
        <v>6117.17</v>
      </c>
      <c r="J450" s="228" t="n">
        <v>9000</v>
      </c>
      <c r="K450" s="228" t="n">
        <v>6117.17</v>
      </c>
      <c r="L450" s="228" t="n">
        <v>2882.83</v>
      </c>
      <c r="M450" s="228" t="n">
        <v>9000</v>
      </c>
      <c r="N450" s="294"/>
      <c r="Q450" s="273"/>
      <c r="R450" s="292"/>
      <c r="S450" s="291"/>
    </row>
    <row r="451" customFormat="false" ht="15" hidden="true" customHeight="false" outlineLevel="0" collapsed="false">
      <c r="B451" s="267" t="n">
        <v>2022</v>
      </c>
      <c r="C451" s="268" t="n">
        <v>7</v>
      </c>
      <c r="D451" s="226" t="s">
        <v>36</v>
      </c>
      <c r="E451" s="221" t="n">
        <v>18736701092</v>
      </c>
      <c r="F451" s="221" t="n">
        <v>95547779</v>
      </c>
      <c r="G451" s="221" t="n">
        <v>1</v>
      </c>
      <c r="H451" s="287" t="s">
        <v>127</v>
      </c>
      <c r="I451" s="293" t="n">
        <v>5500</v>
      </c>
      <c r="J451" s="228" t="n">
        <v>5500</v>
      </c>
      <c r="K451" s="228" t="n">
        <v>5500</v>
      </c>
      <c r="L451" s="228" t="n">
        <v>0</v>
      </c>
      <c r="M451" s="228" t="n">
        <v>5500</v>
      </c>
      <c r="N451" s="294"/>
      <c r="Q451" s="273"/>
      <c r="R451" s="292"/>
      <c r="S451" s="291"/>
    </row>
    <row r="452" customFormat="false" ht="15" hidden="true" customHeight="false" outlineLevel="0" collapsed="false">
      <c r="B452" s="267" t="n">
        <v>2022</v>
      </c>
      <c r="C452" s="268" t="n">
        <v>7</v>
      </c>
      <c r="D452" s="226" t="s">
        <v>44</v>
      </c>
      <c r="E452" s="221" t="n">
        <v>0</v>
      </c>
      <c r="F452" s="221" t="n">
        <v>0</v>
      </c>
      <c r="G452" s="221" t="n">
        <v>0</v>
      </c>
      <c r="H452" s="287" t="s">
        <v>74</v>
      </c>
      <c r="I452" s="293" t="n">
        <v>0</v>
      </c>
      <c r="J452" s="228" t="n">
        <v>5500</v>
      </c>
      <c r="K452" s="228" t="n">
        <v>0</v>
      </c>
      <c r="L452" s="228" t="n">
        <v>5500</v>
      </c>
      <c r="M452" s="228" t="n">
        <v>5500</v>
      </c>
      <c r="N452" s="294"/>
      <c r="Q452" s="273"/>
      <c r="R452" s="292"/>
      <c r="S452" s="291"/>
    </row>
    <row r="453" customFormat="false" ht="15" hidden="true" customHeight="false" outlineLevel="0" collapsed="false">
      <c r="B453" s="267" t="n">
        <v>2022</v>
      </c>
      <c r="C453" s="268" t="n">
        <v>7</v>
      </c>
      <c r="D453" s="226" t="s">
        <v>36</v>
      </c>
      <c r="E453" s="221" t="n">
        <v>18274523170</v>
      </c>
      <c r="F453" s="221" t="n">
        <v>95532068</v>
      </c>
      <c r="G453" s="221" t="n">
        <v>1</v>
      </c>
      <c r="H453" s="229" t="s">
        <v>14</v>
      </c>
      <c r="I453" s="293" t="n">
        <v>5187.58</v>
      </c>
      <c r="J453" s="228" t="n">
        <v>8000</v>
      </c>
      <c r="K453" s="228" t="n">
        <v>5187.58</v>
      </c>
      <c r="L453" s="228" t="n">
        <v>2812.42</v>
      </c>
      <c r="M453" s="228" t="n">
        <v>8000</v>
      </c>
      <c r="N453" s="294"/>
      <c r="Q453" s="273"/>
      <c r="R453" s="212"/>
      <c r="S453" s="291"/>
    </row>
    <row r="454" customFormat="false" ht="15" hidden="true" customHeight="false" outlineLevel="0" collapsed="false">
      <c r="B454" s="267" t="n">
        <v>2022</v>
      </c>
      <c r="C454" s="268" t="n">
        <v>7</v>
      </c>
      <c r="D454" s="226" t="s">
        <v>36</v>
      </c>
      <c r="E454" s="221" t="n">
        <v>38614007368</v>
      </c>
      <c r="F454" s="221" t="n">
        <v>97665848</v>
      </c>
      <c r="G454" s="221" t="n">
        <v>1</v>
      </c>
      <c r="H454" s="229" t="s">
        <v>75</v>
      </c>
      <c r="I454" s="293" t="n">
        <v>1650.11</v>
      </c>
      <c r="J454" s="228" t="n">
        <v>7500</v>
      </c>
      <c r="K454" s="228" t="n">
        <v>1650.11</v>
      </c>
      <c r="L454" s="228" t="n">
        <v>599.89</v>
      </c>
      <c r="M454" s="228" t="n">
        <v>2250</v>
      </c>
      <c r="N454" s="294" t="n">
        <v>-5250</v>
      </c>
      <c r="O454" s="212" t="s">
        <v>301</v>
      </c>
      <c r="Q454" s="273" t="n">
        <v>21</v>
      </c>
      <c r="R454" s="292"/>
      <c r="S454" s="291" t="s">
        <v>301</v>
      </c>
    </row>
    <row r="455" customFormat="false" ht="15" hidden="true" customHeight="false" outlineLevel="0" collapsed="false">
      <c r="B455" s="267" t="n">
        <v>2022</v>
      </c>
      <c r="C455" s="268" t="n">
        <v>7</v>
      </c>
      <c r="D455" s="226" t="s">
        <v>44</v>
      </c>
      <c r="E455" s="221" t="n">
        <v>0</v>
      </c>
      <c r="F455" s="221" t="n">
        <v>0</v>
      </c>
      <c r="G455" s="221" t="n">
        <v>0</v>
      </c>
      <c r="H455" s="287" t="s">
        <v>102</v>
      </c>
      <c r="I455" s="290" t="n">
        <v>0</v>
      </c>
      <c r="J455" s="228" t="n">
        <v>8000</v>
      </c>
      <c r="K455" s="228" t="n">
        <v>0</v>
      </c>
      <c r="L455" s="228" t="n">
        <v>8000</v>
      </c>
      <c r="M455" s="228" t="n">
        <v>8000</v>
      </c>
      <c r="N455" s="294"/>
      <c r="Q455" s="273"/>
      <c r="R455" s="292"/>
      <c r="S455" s="291"/>
    </row>
    <row r="456" customFormat="false" ht="15" hidden="true" customHeight="false" outlineLevel="0" collapsed="false">
      <c r="B456" s="267" t="n">
        <v>2022</v>
      </c>
      <c r="C456" s="268" t="n">
        <v>7</v>
      </c>
      <c r="D456" s="226" t="s">
        <v>44</v>
      </c>
      <c r="E456" s="221" t="n">
        <v>0</v>
      </c>
      <c r="F456" s="221" t="n">
        <v>0</v>
      </c>
      <c r="G456" s="221" t="n">
        <v>0</v>
      </c>
      <c r="H456" s="287" t="s">
        <v>196</v>
      </c>
      <c r="I456" s="290" t="n">
        <v>0</v>
      </c>
      <c r="J456" s="228" t="n">
        <v>5500</v>
      </c>
      <c r="K456" s="228" t="n">
        <v>0</v>
      </c>
      <c r="L456" s="228" t="n">
        <v>5500</v>
      </c>
      <c r="M456" s="228" t="n">
        <v>5500</v>
      </c>
      <c r="N456" s="294"/>
      <c r="Q456" s="273"/>
      <c r="R456" s="292"/>
      <c r="S456" s="291"/>
    </row>
    <row r="457" customFormat="false" ht="15" hidden="true" customHeight="false" outlineLevel="0" collapsed="false">
      <c r="B457" s="267" t="n">
        <v>2022</v>
      </c>
      <c r="C457" s="268" t="n">
        <v>7</v>
      </c>
      <c r="D457" s="226" t="n">
        <v>0</v>
      </c>
      <c r="E457" s="221" t="n">
        <v>0</v>
      </c>
      <c r="F457" s="221" t="n">
        <v>0</v>
      </c>
      <c r="G457" s="221" t="n">
        <v>0</v>
      </c>
      <c r="H457" s="287" t="s">
        <v>293</v>
      </c>
      <c r="I457" s="290" t="n">
        <v>0</v>
      </c>
      <c r="J457" s="228" t="n">
        <v>12000</v>
      </c>
      <c r="K457" s="228" t="n">
        <v>0</v>
      </c>
      <c r="L457" s="228" t="n">
        <v>12000</v>
      </c>
      <c r="M457" s="228" t="n">
        <v>12000</v>
      </c>
      <c r="N457" s="294"/>
      <c r="Q457" s="273"/>
      <c r="R457" s="292"/>
      <c r="S457" s="291"/>
    </row>
    <row r="458" customFormat="false" ht="15" hidden="true" customHeight="false" outlineLevel="0" collapsed="false">
      <c r="B458" s="267" t="n">
        <v>2022</v>
      </c>
      <c r="C458" s="268" t="n">
        <v>7</v>
      </c>
      <c r="D458" s="226" t="n">
        <v>0</v>
      </c>
      <c r="E458" s="221" t="n">
        <v>0</v>
      </c>
      <c r="F458" s="221" t="n">
        <v>0</v>
      </c>
      <c r="G458" s="221" t="n">
        <v>0</v>
      </c>
      <c r="H458" s="286" t="s">
        <v>294</v>
      </c>
      <c r="I458" s="290" t="n">
        <v>0</v>
      </c>
      <c r="J458" s="228" t="n">
        <v>12000</v>
      </c>
      <c r="K458" s="228" t="n">
        <v>0</v>
      </c>
      <c r="L458" s="228" t="n">
        <v>12000</v>
      </c>
      <c r="M458" s="228" t="n">
        <v>12000</v>
      </c>
      <c r="N458" s="294"/>
      <c r="Q458" s="212"/>
      <c r="R458" s="292"/>
      <c r="S458" s="291"/>
    </row>
    <row r="459" customFormat="false" ht="15" hidden="true" customHeight="false" outlineLevel="0" collapsed="false">
      <c r="B459" s="267" t="n">
        <v>2022</v>
      </c>
      <c r="C459" s="268" t="n">
        <v>7</v>
      </c>
      <c r="D459" s="226" t="n">
        <v>0</v>
      </c>
      <c r="E459" s="221" t="n">
        <v>0</v>
      </c>
      <c r="F459" s="221" t="n">
        <v>0</v>
      </c>
      <c r="G459" s="221" t="n">
        <v>0</v>
      </c>
      <c r="H459" s="287" t="s">
        <v>135</v>
      </c>
      <c r="I459" s="290" t="n">
        <v>0</v>
      </c>
      <c r="J459" s="228" t="n">
        <v>6250</v>
      </c>
      <c r="K459" s="228" t="n">
        <v>0</v>
      </c>
      <c r="L459" s="228" t="n">
        <v>4000</v>
      </c>
      <c r="M459" s="228" t="n">
        <v>4000</v>
      </c>
      <c r="N459" s="294" t="n">
        <v>-2250</v>
      </c>
      <c r="O459" s="212" t="s">
        <v>302</v>
      </c>
      <c r="Q459" s="212"/>
      <c r="R459" s="292"/>
      <c r="S459" s="291" t="s">
        <v>302</v>
      </c>
    </row>
    <row r="460" customFormat="false" ht="15" hidden="true" customHeight="false" outlineLevel="0" collapsed="false">
      <c r="B460" s="267" t="n">
        <v>2022</v>
      </c>
      <c r="C460" s="268" t="n">
        <v>8</v>
      </c>
      <c r="D460" s="226" t="s">
        <v>44</v>
      </c>
      <c r="E460" s="221" t="n">
        <v>28699369338</v>
      </c>
      <c r="F460" s="221" t="n">
        <v>96358353</v>
      </c>
      <c r="G460" s="221" t="n">
        <v>1</v>
      </c>
      <c r="H460" s="286" t="s">
        <v>79</v>
      </c>
      <c r="I460" s="293" t="n">
        <v>2108.46</v>
      </c>
      <c r="J460" s="228" t="n">
        <v>9000</v>
      </c>
      <c r="K460" s="228" t="n">
        <v>2108.46</v>
      </c>
      <c r="L460" s="228" t="n">
        <v>4791.54</v>
      </c>
      <c r="M460" s="214" t="n">
        <v>6900</v>
      </c>
      <c r="N460" s="294" t="n">
        <v>-2100</v>
      </c>
      <c r="O460" s="212" t="s">
        <v>286</v>
      </c>
      <c r="Q460" s="212" t="n">
        <v>21</v>
      </c>
      <c r="R460" s="216" t="n">
        <v>14</v>
      </c>
      <c r="S460" s="291" t="s">
        <v>286</v>
      </c>
    </row>
    <row r="461" customFormat="false" ht="15" hidden="true" customHeight="false" outlineLevel="0" collapsed="false">
      <c r="B461" s="267" t="n">
        <v>2022</v>
      </c>
      <c r="C461" s="268" t="n">
        <v>8</v>
      </c>
      <c r="D461" s="226" t="s">
        <v>44</v>
      </c>
      <c r="E461" s="221" t="n">
        <v>63097169876</v>
      </c>
      <c r="F461" s="221" t="n">
        <v>96843148</v>
      </c>
      <c r="G461" s="221" t="n">
        <v>1</v>
      </c>
      <c r="H461" s="287" t="s">
        <v>122</v>
      </c>
      <c r="I461" s="293" t="n">
        <v>6471.57</v>
      </c>
      <c r="J461" s="228" t="n">
        <v>9000</v>
      </c>
      <c r="K461" s="228" t="n">
        <v>6471.57</v>
      </c>
      <c r="L461" s="228" t="n">
        <v>2528.43</v>
      </c>
      <c r="M461" s="214" t="n">
        <v>9000</v>
      </c>
      <c r="N461" s="294"/>
      <c r="O461" s="212" t="s">
        <v>280</v>
      </c>
      <c r="Q461" s="212"/>
      <c r="R461" s="295" t="n">
        <v>8</v>
      </c>
      <c r="S461" s="296" t="s">
        <v>280</v>
      </c>
    </row>
    <row r="462" customFormat="false" ht="15" hidden="true" customHeight="false" outlineLevel="0" collapsed="false">
      <c r="B462" s="267" t="n">
        <v>2022</v>
      </c>
      <c r="C462" s="268" t="n">
        <v>8</v>
      </c>
      <c r="D462" s="226" t="s">
        <v>44</v>
      </c>
      <c r="E462" s="221" t="n">
        <v>36826974454</v>
      </c>
      <c r="F462" s="221" t="n">
        <v>95573006</v>
      </c>
      <c r="G462" s="221" t="n">
        <v>1</v>
      </c>
      <c r="H462" s="287" t="s">
        <v>188</v>
      </c>
      <c r="I462" s="293" t="n">
        <v>5500</v>
      </c>
      <c r="J462" s="228" t="n">
        <v>5500</v>
      </c>
      <c r="K462" s="228" t="n">
        <v>5500</v>
      </c>
      <c r="L462" s="228" t="n">
        <v>0</v>
      </c>
      <c r="M462" s="214" t="n">
        <v>5500</v>
      </c>
      <c r="N462" s="294"/>
      <c r="Q462" s="212"/>
      <c r="S462" s="291"/>
    </row>
    <row r="463" customFormat="false" ht="15" hidden="true" customHeight="false" outlineLevel="0" collapsed="false">
      <c r="B463" s="267" t="n">
        <v>2022</v>
      </c>
      <c r="C463" s="268" t="n">
        <v>8</v>
      </c>
      <c r="D463" s="226" t="s">
        <v>44</v>
      </c>
      <c r="E463" s="221" t="n">
        <v>17630785580</v>
      </c>
      <c r="F463" s="221" t="n">
        <v>95529415</v>
      </c>
      <c r="G463" s="221" t="n">
        <v>1</v>
      </c>
      <c r="H463" s="287" t="s">
        <v>81</v>
      </c>
      <c r="I463" s="293" t="n">
        <v>5839.65</v>
      </c>
      <c r="J463" s="228" t="n">
        <v>18839.65</v>
      </c>
      <c r="K463" s="228" t="n">
        <v>5839.65</v>
      </c>
      <c r="L463" s="228" t="n">
        <v>13000</v>
      </c>
      <c r="M463" s="214" t="n">
        <v>18839.65</v>
      </c>
      <c r="N463" s="294"/>
      <c r="Q463" s="212"/>
      <c r="S463" s="291"/>
    </row>
    <row r="464" customFormat="false" ht="15" hidden="true" customHeight="false" outlineLevel="0" collapsed="false">
      <c r="B464" s="267" t="n">
        <v>2022</v>
      </c>
      <c r="C464" s="268" t="n">
        <v>8</v>
      </c>
      <c r="D464" s="226" t="s">
        <v>44</v>
      </c>
      <c r="E464" s="221" t="n">
        <v>55186680706</v>
      </c>
      <c r="F464" s="221" t="n">
        <v>95787183</v>
      </c>
      <c r="G464" s="221" t="n">
        <v>1</v>
      </c>
      <c r="H464" s="286" t="s">
        <v>73</v>
      </c>
      <c r="I464" s="293" t="n">
        <v>5500.35</v>
      </c>
      <c r="J464" s="228" t="n">
        <v>7000</v>
      </c>
      <c r="K464" s="228" t="n">
        <v>5500.35</v>
      </c>
      <c r="L464" s="228" t="n">
        <v>7499.65</v>
      </c>
      <c r="M464" s="214" t="n">
        <v>13000</v>
      </c>
      <c r="N464" s="294" t="n">
        <v>6000</v>
      </c>
      <c r="O464" s="212" t="s">
        <v>303</v>
      </c>
      <c r="Q464" s="212"/>
      <c r="S464" s="291" t="s">
        <v>303</v>
      </c>
    </row>
    <row r="465" customFormat="false" ht="15" hidden="true" customHeight="false" outlineLevel="0" collapsed="false">
      <c r="B465" s="267" t="n">
        <v>2022</v>
      </c>
      <c r="C465" s="268" t="n">
        <v>8</v>
      </c>
      <c r="D465" s="226" t="s">
        <v>44</v>
      </c>
      <c r="E465" s="221" t="n">
        <v>21242693324</v>
      </c>
      <c r="F465" s="221" t="n">
        <v>95532064</v>
      </c>
      <c r="G465" s="221" t="n">
        <v>1</v>
      </c>
      <c r="H465" s="287" t="s">
        <v>85</v>
      </c>
      <c r="I465" s="293" t="n">
        <v>6031.54</v>
      </c>
      <c r="J465" s="293" t="n">
        <v>6031.54</v>
      </c>
      <c r="K465" s="228" t="n">
        <v>6031.54</v>
      </c>
      <c r="L465" s="228" t="n">
        <v>0</v>
      </c>
      <c r="M465" s="214" t="n">
        <v>6031.54</v>
      </c>
      <c r="N465" s="294"/>
      <c r="Q465" s="212"/>
      <c r="S465" s="291"/>
    </row>
    <row r="466" customFormat="false" ht="15" hidden="true" customHeight="false" outlineLevel="0" collapsed="false">
      <c r="B466" s="267" t="n">
        <v>2022</v>
      </c>
      <c r="C466" s="268" t="n">
        <v>8</v>
      </c>
      <c r="D466" s="226" t="s">
        <v>44</v>
      </c>
      <c r="E466" s="221" t="n">
        <v>17159801204</v>
      </c>
      <c r="F466" s="221" t="n">
        <v>95532066</v>
      </c>
      <c r="G466" s="221" t="n">
        <v>1</v>
      </c>
      <c r="H466" s="287" t="s">
        <v>87</v>
      </c>
      <c r="I466" s="293" t="n">
        <v>6031.54</v>
      </c>
      <c r="J466" s="293" t="n">
        <v>6031.54</v>
      </c>
      <c r="K466" s="228" t="n">
        <v>6031.54</v>
      </c>
      <c r="L466" s="228" t="n">
        <v>0</v>
      </c>
      <c r="M466" s="214" t="n">
        <v>6031.54</v>
      </c>
      <c r="N466" s="294"/>
      <c r="Q466" s="212"/>
      <c r="S466" s="291"/>
    </row>
    <row r="467" customFormat="false" ht="15" hidden="true" customHeight="false" outlineLevel="0" collapsed="false">
      <c r="B467" s="267" t="n">
        <v>2022</v>
      </c>
      <c r="C467" s="268" t="n">
        <v>8</v>
      </c>
      <c r="D467" s="226" t="s">
        <v>44</v>
      </c>
      <c r="E467" s="221" t="n">
        <v>23764482950</v>
      </c>
      <c r="F467" s="221" t="n">
        <v>95532077</v>
      </c>
      <c r="G467" s="221" t="n">
        <v>1</v>
      </c>
      <c r="H467" s="287" t="s">
        <v>93</v>
      </c>
      <c r="I467" s="293" t="n">
        <v>997.61</v>
      </c>
      <c r="J467" s="228" t="n">
        <v>9000</v>
      </c>
      <c r="K467" s="228" t="n">
        <v>997.61</v>
      </c>
      <c r="L467" s="228" t="n">
        <v>8002.39</v>
      </c>
      <c r="M467" s="214" t="n">
        <v>9000</v>
      </c>
      <c r="N467" s="294"/>
      <c r="O467" s="212" t="s">
        <v>280</v>
      </c>
      <c r="Q467" s="273" t="n">
        <v>25</v>
      </c>
      <c r="R467" s="295" t="n">
        <v>7</v>
      </c>
      <c r="S467" s="296" t="s">
        <v>280</v>
      </c>
    </row>
    <row r="468" customFormat="false" ht="15" hidden="true" customHeight="false" outlineLevel="0" collapsed="false">
      <c r="B468" s="267" t="n">
        <v>2022</v>
      </c>
      <c r="C468" s="268" t="n">
        <v>8</v>
      </c>
      <c r="D468" s="226" t="s">
        <v>36</v>
      </c>
      <c r="E468" s="221" t="n">
        <v>25672444846</v>
      </c>
      <c r="F468" s="221" t="n">
        <v>95693810</v>
      </c>
      <c r="G468" s="221" t="n">
        <v>1</v>
      </c>
      <c r="H468" s="287" t="s">
        <v>245</v>
      </c>
      <c r="I468" s="293" t="n">
        <v>6031.54</v>
      </c>
      <c r="J468" s="228" t="n">
        <v>8000</v>
      </c>
      <c r="K468" s="228" t="n">
        <v>6031.54</v>
      </c>
      <c r="L468" s="228" t="n">
        <v>1968.46</v>
      </c>
      <c r="M468" s="214" t="n">
        <v>8000</v>
      </c>
      <c r="N468" s="294"/>
      <c r="O468" s="212" t="s">
        <v>280</v>
      </c>
      <c r="Q468" s="212"/>
      <c r="R468" s="295" t="n">
        <v>7</v>
      </c>
      <c r="S468" s="296" t="s">
        <v>280</v>
      </c>
    </row>
    <row r="469" customFormat="false" ht="15" hidden="true" customHeight="false" outlineLevel="0" collapsed="false">
      <c r="B469" s="267" t="n">
        <v>2022</v>
      </c>
      <c r="C469" s="268" t="n">
        <v>8</v>
      </c>
      <c r="D469" s="226" t="s">
        <v>44</v>
      </c>
      <c r="E469" s="221" t="n">
        <v>33853146700</v>
      </c>
      <c r="F469" s="221" t="n">
        <v>96959868</v>
      </c>
      <c r="G469" s="221" t="n">
        <v>1</v>
      </c>
      <c r="H469" s="287" t="s">
        <v>247</v>
      </c>
      <c r="I469" s="293" t="n">
        <v>6471.57</v>
      </c>
      <c r="J469" s="228" t="n">
        <v>9000</v>
      </c>
      <c r="K469" s="228" t="n">
        <v>6471.57</v>
      </c>
      <c r="L469" s="228" t="n">
        <v>1528.43</v>
      </c>
      <c r="M469" s="214" t="n">
        <v>8000</v>
      </c>
      <c r="N469" s="294" t="n">
        <v>-1000</v>
      </c>
      <c r="Q469" s="212"/>
      <c r="R469" s="295"/>
      <c r="S469" s="296"/>
    </row>
    <row r="470" customFormat="false" ht="15" hidden="true" customHeight="false" outlineLevel="0" collapsed="false">
      <c r="B470" s="267" t="n">
        <v>2022</v>
      </c>
      <c r="C470" s="268" t="n">
        <v>8</v>
      </c>
      <c r="D470" s="226" t="s">
        <v>44</v>
      </c>
      <c r="E470" s="221" t="n">
        <v>51994540164</v>
      </c>
      <c r="F470" s="221" t="n">
        <v>96900867</v>
      </c>
      <c r="G470" s="221" t="n">
        <v>1</v>
      </c>
      <c r="H470" s="287" t="s">
        <v>97</v>
      </c>
      <c r="I470" s="293" t="n">
        <v>5770.52</v>
      </c>
      <c r="J470" s="228" t="n">
        <v>5912.87</v>
      </c>
      <c r="K470" s="228" t="n">
        <v>5770.52</v>
      </c>
      <c r="L470" s="228" t="n">
        <v>142.35</v>
      </c>
      <c r="M470" s="214" t="n">
        <v>5912.87</v>
      </c>
      <c r="N470" s="294"/>
      <c r="Q470" s="212"/>
      <c r="R470" s="295"/>
      <c r="S470" s="296"/>
    </row>
    <row r="471" customFormat="false" ht="15" hidden="true" customHeight="false" outlineLevel="0" collapsed="false">
      <c r="B471" s="267" t="n">
        <v>2022</v>
      </c>
      <c r="C471" s="268" t="n">
        <v>8</v>
      </c>
      <c r="D471" s="226" t="s">
        <v>44</v>
      </c>
      <c r="E471" s="221" t="n">
        <v>52657562356</v>
      </c>
      <c r="F471" s="221" t="n">
        <v>97011710</v>
      </c>
      <c r="G471" s="221" t="n">
        <v>1</v>
      </c>
      <c r="H471" s="287" t="s">
        <v>248</v>
      </c>
      <c r="I471" s="293" t="n">
        <v>5500.35</v>
      </c>
      <c r="J471" s="228" t="n">
        <v>5500.35</v>
      </c>
      <c r="K471" s="228" t="n">
        <v>5500.35</v>
      </c>
      <c r="L471" s="228" t="n">
        <v>0</v>
      </c>
      <c r="M471" s="214" t="n">
        <v>5500.35</v>
      </c>
      <c r="N471" s="294"/>
      <c r="Q471" s="212"/>
      <c r="R471" s="295"/>
      <c r="S471" s="296"/>
    </row>
    <row r="472" customFormat="false" ht="15" hidden="true" customHeight="false" outlineLevel="0" collapsed="false">
      <c r="B472" s="267" t="n">
        <v>2022</v>
      </c>
      <c r="C472" s="268" t="n">
        <v>8</v>
      </c>
      <c r="D472" s="226" t="s">
        <v>36</v>
      </c>
      <c r="E472" s="221" t="n">
        <v>10459950610</v>
      </c>
      <c r="F472" s="221" t="n">
        <v>97226520</v>
      </c>
      <c r="G472" s="221" t="n">
        <v>1</v>
      </c>
      <c r="H472" s="287" t="s">
        <v>195</v>
      </c>
      <c r="I472" s="293" t="n">
        <v>6031.54</v>
      </c>
      <c r="J472" s="228" t="n">
        <v>8000</v>
      </c>
      <c r="K472" s="228" t="n">
        <v>6031.54</v>
      </c>
      <c r="L472" s="228" t="n">
        <v>1968.46</v>
      </c>
      <c r="M472" s="214" t="n">
        <v>8000</v>
      </c>
      <c r="N472" s="294"/>
      <c r="Q472" s="212"/>
      <c r="R472" s="295"/>
      <c r="S472" s="296"/>
    </row>
    <row r="473" customFormat="false" ht="15" hidden="true" customHeight="false" outlineLevel="0" collapsed="false">
      <c r="B473" s="267" t="n">
        <v>2022</v>
      </c>
      <c r="C473" s="268" t="n">
        <v>8</v>
      </c>
      <c r="D473" s="226" t="s">
        <v>44</v>
      </c>
      <c r="E473" s="221" t="n">
        <v>23713484608</v>
      </c>
      <c r="F473" s="221" t="n">
        <v>97189681</v>
      </c>
      <c r="G473" s="221" t="n">
        <v>1</v>
      </c>
      <c r="H473" s="287" t="s">
        <v>100</v>
      </c>
      <c r="I473" s="293" t="n">
        <v>6031.54</v>
      </c>
      <c r="J473" s="228" t="n">
        <v>7500</v>
      </c>
      <c r="K473" s="228" t="n">
        <v>6031.54</v>
      </c>
      <c r="L473" s="228" t="n">
        <v>1468.46</v>
      </c>
      <c r="M473" s="214" t="n">
        <v>7500</v>
      </c>
      <c r="N473" s="294"/>
      <c r="Q473" s="212"/>
      <c r="R473" s="295"/>
      <c r="S473" s="296"/>
    </row>
    <row r="474" customFormat="false" ht="15" hidden="true" customHeight="false" outlineLevel="0" collapsed="false">
      <c r="B474" s="267" t="n">
        <v>2022</v>
      </c>
      <c r="C474" s="268" t="n">
        <v>8</v>
      </c>
      <c r="D474" s="226" t="s">
        <v>44</v>
      </c>
      <c r="E474" s="221" t="n">
        <v>17891875174</v>
      </c>
      <c r="F474" s="221" t="n">
        <v>6214238</v>
      </c>
      <c r="G474" s="221" t="n">
        <v>1</v>
      </c>
      <c r="H474" s="287" t="s">
        <v>190</v>
      </c>
      <c r="I474" s="293" t="n">
        <v>5500.35</v>
      </c>
      <c r="J474" s="228" t="n">
        <v>5500.35</v>
      </c>
      <c r="K474" s="228" t="n">
        <v>5500.35</v>
      </c>
      <c r="L474" s="228" t="n">
        <v>0</v>
      </c>
      <c r="M474" s="214" t="n">
        <v>5500.35</v>
      </c>
      <c r="N474" s="294"/>
      <c r="Q474" s="212"/>
      <c r="R474" s="295"/>
      <c r="S474" s="296"/>
    </row>
    <row r="475" customFormat="false" ht="15" hidden="true" customHeight="false" outlineLevel="0" collapsed="false">
      <c r="B475" s="267" t="n">
        <v>2022</v>
      </c>
      <c r="C475" s="268" t="n">
        <v>8</v>
      </c>
      <c r="D475" s="226" t="s">
        <v>44</v>
      </c>
      <c r="E475" s="221" t="n">
        <v>13345619462</v>
      </c>
      <c r="F475" s="221" t="n">
        <v>97522183</v>
      </c>
      <c r="G475" s="221" t="n">
        <v>1</v>
      </c>
      <c r="H475" s="287" t="s">
        <v>71</v>
      </c>
      <c r="I475" s="293" t="n">
        <v>997.61</v>
      </c>
      <c r="J475" s="228" t="n">
        <v>8000</v>
      </c>
      <c r="K475" s="228" t="n">
        <v>997.61</v>
      </c>
      <c r="L475" s="228" t="n">
        <v>4902.39</v>
      </c>
      <c r="M475" s="214" t="n">
        <v>5900</v>
      </c>
      <c r="N475" s="294" t="n">
        <v>-2100</v>
      </c>
      <c r="O475" s="212" t="s">
        <v>280</v>
      </c>
      <c r="Q475" s="273" t="n">
        <v>25</v>
      </c>
      <c r="R475" s="295" t="n">
        <v>15.5</v>
      </c>
      <c r="S475" s="296" t="s">
        <v>280</v>
      </c>
    </row>
    <row r="476" customFormat="false" ht="15" hidden="true" customHeight="false" outlineLevel="0" collapsed="false">
      <c r="B476" s="267" t="n">
        <v>2022</v>
      </c>
      <c r="C476" s="268" t="n">
        <v>8</v>
      </c>
      <c r="D476" s="226" t="s">
        <v>36</v>
      </c>
      <c r="E476" s="221" t="n">
        <v>14233727054</v>
      </c>
      <c r="F476" s="221" t="n">
        <v>97522331</v>
      </c>
      <c r="G476" s="221" t="n">
        <v>1</v>
      </c>
      <c r="H476" s="287" t="s">
        <v>276</v>
      </c>
      <c r="I476" s="293" t="n">
        <v>997.61</v>
      </c>
      <c r="J476" s="228" t="n">
        <v>8000</v>
      </c>
      <c r="K476" s="228" t="n">
        <v>997.61</v>
      </c>
      <c r="L476" s="228" t="n">
        <v>7002.39</v>
      </c>
      <c r="M476" s="214" t="n">
        <v>8000</v>
      </c>
      <c r="N476" s="294"/>
      <c r="O476" s="212" t="s">
        <v>280</v>
      </c>
      <c r="Q476" s="273" t="n">
        <v>25</v>
      </c>
      <c r="R476" s="295" t="n">
        <v>1</v>
      </c>
      <c r="S476" s="296" t="s">
        <v>280</v>
      </c>
    </row>
    <row r="477" customFormat="false" ht="15" hidden="true" customHeight="false" outlineLevel="0" collapsed="false">
      <c r="B477" s="267" t="n">
        <v>2022</v>
      </c>
      <c r="C477" s="268" t="n">
        <v>8</v>
      </c>
      <c r="D477" s="226" t="s">
        <v>44</v>
      </c>
      <c r="E477" s="221" t="n">
        <v>38233125580</v>
      </c>
      <c r="F477" s="221" t="n">
        <v>95532065</v>
      </c>
      <c r="G477" s="221" t="n">
        <v>1</v>
      </c>
      <c r="H477" s="287" t="s">
        <v>289</v>
      </c>
      <c r="I477" s="293" t="n">
        <v>6117.17</v>
      </c>
      <c r="J477" s="228" t="n">
        <v>9000</v>
      </c>
      <c r="K477" s="228" t="n">
        <v>6117.17</v>
      </c>
      <c r="L477" s="228" t="n">
        <v>2882.83</v>
      </c>
      <c r="M477" s="214" t="n">
        <v>9000</v>
      </c>
      <c r="N477" s="294"/>
      <c r="Q477" s="273"/>
      <c r="S477" s="291"/>
    </row>
    <row r="478" customFormat="false" ht="15" hidden="true" customHeight="false" outlineLevel="0" collapsed="false">
      <c r="B478" s="267" t="n">
        <v>2022</v>
      </c>
      <c r="C478" s="268" t="n">
        <v>8</v>
      </c>
      <c r="D478" s="226" t="s">
        <v>36</v>
      </c>
      <c r="E478" s="221" t="n">
        <v>18736701092</v>
      </c>
      <c r="F478" s="221" t="n">
        <v>95547779</v>
      </c>
      <c r="G478" s="221" t="n">
        <v>1</v>
      </c>
      <c r="H478" s="287" t="s">
        <v>127</v>
      </c>
      <c r="I478" s="293" t="n">
        <v>6500.35</v>
      </c>
      <c r="J478" s="228" t="n">
        <v>6500.35</v>
      </c>
      <c r="K478" s="228" t="n">
        <v>6500.35</v>
      </c>
      <c r="L478" s="228" t="n">
        <v>0</v>
      </c>
      <c r="M478" s="214" t="n">
        <v>6500.35</v>
      </c>
      <c r="N478" s="294"/>
      <c r="O478" s="212" t="s">
        <v>304</v>
      </c>
      <c r="Q478" s="273"/>
      <c r="S478" s="291" t="s">
        <v>304</v>
      </c>
    </row>
    <row r="479" customFormat="false" ht="15" hidden="true" customHeight="false" outlineLevel="0" collapsed="false">
      <c r="B479" s="267" t="n">
        <v>2022</v>
      </c>
      <c r="C479" s="268" t="n">
        <v>8</v>
      </c>
      <c r="D479" s="226" t="s">
        <v>44</v>
      </c>
      <c r="E479" s="221" t="n">
        <v>0</v>
      </c>
      <c r="F479" s="221" t="n">
        <v>0</v>
      </c>
      <c r="G479" s="221" t="n">
        <v>0</v>
      </c>
      <c r="H479" s="287" t="s">
        <v>74</v>
      </c>
      <c r="I479" s="293" t="n">
        <v>0</v>
      </c>
      <c r="J479" s="228" t="n">
        <v>5500</v>
      </c>
      <c r="K479" s="228" t="n">
        <v>0</v>
      </c>
      <c r="L479" s="228" t="n">
        <v>5500</v>
      </c>
      <c r="M479" s="214" t="n">
        <v>5500</v>
      </c>
      <c r="N479" s="294"/>
      <c r="O479" s="212" t="s">
        <v>280</v>
      </c>
      <c r="Q479" s="273"/>
      <c r="R479" s="216" t="n">
        <v>4</v>
      </c>
      <c r="S479" s="291" t="s">
        <v>280</v>
      </c>
    </row>
    <row r="480" customFormat="false" ht="15" hidden="true" customHeight="false" outlineLevel="0" collapsed="false">
      <c r="B480" s="267" t="n">
        <v>2022</v>
      </c>
      <c r="C480" s="268" t="n">
        <v>8</v>
      </c>
      <c r="D480" s="226" t="s">
        <v>36</v>
      </c>
      <c r="E480" s="221" t="n">
        <v>18274523170</v>
      </c>
      <c r="F480" s="221" t="n">
        <v>95532068</v>
      </c>
      <c r="G480" s="221" t="n">
        <v>1</v>
      </c>
      <c r="H480" s="287" t="s">
        <v>14</v>
      </c>
      <c r="I480" s="293" t="n">
        <v>997.61</v>
      </c>
      <c r="J480" s="228" t="n">
        <v>8000</v>
      </c>
      <c r="K480" s="228" t="n">
        <v>997.61</v>
      </c>
      <c r="L480" s="228" t="n">
        <v>7002.39</v>
      </c>
      <c r="M480" s="214" t="n">
        <v>8000</v>
      </c>
      <c r="N480" s="294"/>
      <c r="Q480" s="273"/>
      <c r="S480" s="291"/>
    </row>
    <row r="481" customFormat="false" ht="15" hidden="true" customHeight="false" outlineLevel="0" collapsed="false">
      <c r="B481" s="267" t="n">
        <v>2022</v>
      </c>
      <c r="C481" s="268" t="n">
        <v>8</v>
      </c>
      <c r="D481" s="226" t="s">
        <v>36</v>
      </c>
      <c r="E481" s="221" t="n">
        <v>38614007368</v>
      </c>
      <c r="F481" s="221" t="n">
        <v>97665848</v>
      </c>
      <c r="G481" s="221" t="n">
        <v>1</v>
      </c>
      <c r="H481" s="287" t="s">
        <v>75</v>
      </c>
      <c r="I481" s="293" t="n">
        <v>5808.76</v>
      </c>
      <c r="J481" s="228" t="n">
        <v>8000</v>
      </c>
      <c r="K481" s="228" t="n">
        <v>5808.76</v>
      </c>
      <c r="L481" s="228" t="n">
        <v>2584.57</v>
      </c>
      <c r="M481" s="214" t="n">
        <v>8393.33</v>
      </c>
      <c r="N481" s="294" t="n">
        <v>393.33</v>
      </c>
      <c r="O481" s="212" t="s">
        <v>281</v>
      </c>
      <c r="Q481" s="273" t="n">
        <v>2.5</v>
      </c>
      <c r="S481" s="291" t="s">
        <v>281</v>
      </c>
    </row>
    <row r="482" customFormat="false" ht="15" hidden="true" customHeight="false" outlineLevel="0" collapsed="false">
      <c r="B482" s="267" t="n">
        <v>2022</v>
      </c>
      <c r="C482" s="268" t="n">
        <v>8</v>
      </c>
      <c r="D482" s="226" t="s">
        <v>44</v>
      </c>
      <c r="E482" s="221" t="n">
        <v>0</v>
      </c>
      <c r="F482" s="221" t="n">
        <v>0</v>
      </c>
      <c r="G482" s="221" t="n">
        <v>0</v>
      </c>
      <c r="H482" s="287" t="s">
        <v>102</v>
      </c>
      <c r="I482" s="290" t="n">
        <v>0</v>
      </c>
      <c r="J482" s="228" t="n">
        <v>8000</v>
      </c>
      <c r="K482" s="228" t="n">
        <v>0</v>
      </c>
      <c r="L482" s="228" t="n">
        <v>8000</v>
      </c>
      <c r="M482" s="214" t="n">
        <v>8000</v>
      </c>
      <c r="N482" s="294"/>
      <c r="O482" s="212" t="s">
        <v>280</v>
      </c>
      <c r="Q482" s="273"/>
      <c r="R482" s="216" t="n">
        <v>1</v>
      </c>
      <c r="S482" s="291" t="s">
        <v>280</v>
      </c>
    </row>
    <row r="483" customFormat="false" ht="15" hidden="true" customHeight="false" outlineLevel="0" collapsed="false">
      <c r="B483" s="267" t="n">
        <v>2022</v>
      </c>
      <c r="C483" s="268" t="n">
        <v>8</v>
      </c>
      <c r="D483" s="226" t="s">
        <v>44</v>
      </c>
      <c r="E483" s="221" t="n">
        <v>0</v>
      </c>
      <c r="F483" s="221" t="n">
        <v>0</v>
      </c>
      <c r="G483" s="221" t="n">
        <v>0</v>
      </c>
      <c r="H483" s="287" t="s">
        <v>196</v>
      </c>
      <c r="I483" s="290" t="n">
        <v>0</v>
      </c>
      <c r="J483" s="228" t="n">
        <v>5500</v>
      </c>
      <c r="K483" s="228" t="n">
        <v>0</v>
      </c>
      <c r="L483" s="228" t="n">
        <v>5500</v>
      </c>
      <c r="M483" s="214" t="n">
        <v>5500</v>
      </c>
      <c r="N483" s="294"/>
      <c r="Q483" s="273"/>
      <c r="S483" s="291"/>
    </row>
    <row r="484" customFormat="false" ht="15" hidden="true" customHeight="false" outlineLevel="0" collapsed="false">
      <c r="B484" s="267" t="n">
        <v>2022</v>
      </c>
      <c r="C484" s="268" t="n">
        <v>8</v>
      </c>
      <c r="D484" s="226" t="n">
        <v>0</v>
      </c>
      <c r="E484" s="221" t="n">
        <v>0</v>
      </c>
      <c r="F484" s="221" t="n">
        <v>0</v>
      </c>
      <c r="G484" s="221" t="n">
        <v>0</v>
      </c>
      <c r="H484" s="287" t="s">
        <v>293</v>
      </c>
      <c r="I484" s="290" t="n">
        <v>0</v>
      </c>
      <c r="J484" s="228" t="n">
        <v>12000</v>
      </c>
      <c r="K484" s="228" t="n">
        <v>0</v>
      </c>
      <c r="L484" s="228" t="n">
        <v>12000</v>
      </c>
      <c r="M484" s="214" t="n">
        <v>12000</v>
      </c>
      <c r="N484" s="294"/>
      <c r="Q484" s="273"/>
      <c r="S484" s="291"/>
    </row>
    <row r="485" customFormat="false" ht="15" hidden="true" customHeight="false" outlineLevel="0" collapsed="false">
      <c r="B485" s="267" t="n">
        <v>2022</v>
      </c>
      <c r="C485" s="268" t="n">
        <v>8</v>
      </c>
      <c r="D485" s="226" t="n">
        <v>0</v>
      </c>
      <c r="E485" s="221" t="n">
        <v>0</v>
      </c>
      <c r="F485" s="221" t="n">
        <v>0</v>
      </c>
      <c r="G485" s="221" t="n">
        <v>0</v>
      </c>
      <c r="H485" s="286" t="s">
        <v>294</v>
      </c>
      <c r="I485" s="290" t="n">
        <v>0</v>
      </c>
      <c r="J485" s="228" t="n">
        <v>12000</v>
      </c>
      <c r="K485" s="228" t="n">
        <v>0</v>
      </c>
      <c r="L485" s="228" t="n">
        <v>12000</v>
      </c>
      <c r="M485" s="214" t="n">
        <v>12000</v>
      </c>
      <c r="N485" s="294"/>
      <c r="Q485" s="212"/>
      <c r="S485" s="291"/>
    </row>
    <row r="486" customFormat="false" ht="15" hidden="true" customHeight="false" outlineLevel="0" collapsed="false">
      <c r="B486" s="267" t="n">
        <v>2022</v>
      </c>
      <c r="C486" s="268" t="n">
        <v>8</v>
      </c>
      <c r="D486" s="226" t="n">
        <v>0</v>
      </c>
      <c r="E486" s="221" t="n">
        <v>0</v>
      </c>
      <c r="F486" s="221" t="n">
        <v>0</v>
      </c>
      <c r="G486" s="221" t="n">
        <v>0</v>
      </c>
      <c r="H486" s="287" t="s">
        <v>135</v>
      </c>
      <c r="I486" s="290" t="n">
        <v>0</v>
      </c>
      <c r="J486" s="228" t="n">
        <v>6250</v>
      </c>
      <c r="K486" s="228" t="n">
        <v>0</v>
      </c>
      <c r="L486" s="228" t="n">
        <v>6250</v>
      </c>
      <c r="M486" s="214" t="n">
        <v>6250</v>
      </c>
      <c r="N486" s="294"/>
      <c r="O486" s="212" t="s">
        <v>302</v>
      </c>
      <c r="Q486" s="212"/>
      <c r="S486" s="291" t="s">
        <v>302</v>
      </c>
    </row>
    <row r="487" customFormat="false" ht="15" hidden="true" customHeight="false" outlineLevel="0" collapsed="false">
      <c r="B487" s="267" t="n">
        <v>2022</v>
      </c>
      <c r="C487" s="268" t="n">
        <v>9</v>
      </c>
      <c r="D487" s="226" t="s">
        <v>44</v>
      </c>
      <c r="E487" s="221" t="n">
        <v>28699369338</v>
      </c>
      <c r="F487" s="221" t="n">
        <v>96358353</v>
      </c>
      <c r="G487" s="221" t="n">
        <v>1</v>
      </c>
      <c r="H487" s="286" t="s">
        <v>79</v>
      </c>
      <c r="I487" s="293" t="n">
        <v>580.5</v>
      </c>
      <c r="J487" s="228" t="n">
        <v>4500</v>
      </c>
      <c r="K487" s="228" t="n">
        <v>580.5</v>
      </c>
      <c r="L487" s="228" t="n">
        <v>3919.5</v>
      </c>
      <c r="M487" s="214" t="n">
        <v>4500</v>
      </c>
      <c r="N487" s="294"/>
      <c r="O487" s="212" t="s">
        <v>286</v>
      </c>
      <c r="P487" s="212" t="n">
        <v>-5500</v>
      </c>
      <c r="Q487" s="212" t="n">
        <v>21</v>
      </c>
      <c r="R487" s="216" t="n">
        <v>14</v>
      </c>
      <c r="S487" s="291" t="s">
        <v>286</v>
      </c>
    </row>
    <row r="488" customFormat="false" ht="15" hidden="true" customHeight="false" outlineLevel="0" collapsed="false">
      <c r="B488" s="267" t="n">
        <v>2022</v>
      </c>
      <c r="C488" s="268" t="n">
        <v>9</v>
      </c>
      <c r="D488" s="226" t="s">
        <v>44</v>
      </c>
      <c r="E488" s="221" t="n">
        <v>63097169876</v>
      </c>
      <c r="F488" s="221" t="n">
        <v>96843148</v>
      </c>
      <c r="G488" s="221" t="n">
        <v>1</v>
      </c>
      <c r="H488" s="287" t="s">
        <v>122</v>
      </c>
      <c r="I488" s="293" t="n">
        <v>6520.53</v>
      </c>
      <c r="J488" s="228" t="n">
        <v>9000</v>
      </c>
      <c r="K488" s="228" t="n">
        <v>6520.53</v>
      </c>
      <c r="L488" s="228" t="n">
        <v>2479.47</v>
      </c>
      <c r="M488" s="214" t="n">
        <v>9000</v>
      </c>
      <c r="N488" s="294"/>
      <c r="O488" s="212" t="s">
        <v>280</v>
      </c>
      <c r="Q488" s="212"/>
      <c r="R488" s="295" t="n">
        <v>8</v>
      </c>
      <c r="S488" s="296" t="s">
        <v>280</v>
      </c>
    </row>
    <row r="489" customFormat="false" ht="15" hidden="true" customHeight="false" outlineLevel="0" collapsed="false">
      <c r="B489" s="267" t="n">
        <v>2022</v>
      </c>
      <c r="C489" s="268" t="n">
        <v>9</v>
      </c>
      <c r="D489" s="226" t="s">
        <v>44</v>
      </c>
      <c r="E489" s="221" t="n">
        <v>36826974454</v>
      </c>
      <c r="F489" s="221" t="n">
        <v>95573006</v>
      </c>
      <c r="G489" s="221" t="n">
        <v>1</v>
      </c>
      <c r="H489" s="287" t="s">
        <v>188</v>
      </c>
      <c r="I489" s="293" t="n">
        <v>5500</v>
      </c>
      <c r="J489" s="228" t="n">
        <v>5500</v>
      </c>
      <c r="K489" s="228" t="n">
        <v>5500</v>
      </c>
      <c r="L489" s="228" t="n">
        <v>0</v>
      </c>
      <c r="M489" s="214" t="n">
        <v>5500</v>
      </c>
      <c r="N489" s="294"/>
      <c r="Q489" s="212"/>
      <c r="S489" s="291"/>
    </row>
    <row r="490" customFormat="false" ht="15" hidden="true" customHeight="false" outlineLevel="0" collapsed="false">
      <c r="B490" s="267" t="n">
        <v>2022</v>
      </c>
      <c r="C490" s="268" t="n">
        <v>9</v>
      </c>
      <c r="D490" s="226" t="s">
        <v>44</v>
      </c>
      <c r="E490" s="221" t="n">
        <v>17630785580</v>
      </c>
      <c r="F490" s="221" t="n">
        <v>95529415</v>
      </c>
      <c r="G490" s="221" t="n">
        <v>1</v>
      </c>
      <c r="H490" s="287" t="s">
        <v>81</v>
      </c>
      <c r="I490" s="293" t="n">
        <v>5888.61</v>
      </c>
      <c r="J490" s="228" t="n">
        <v>18888.61</v>
      </c>
      <c r="K490" s="228" t="n">
        <v>5888.61</v>
      </c>
      <c r="L490" s="228" t="n">
        <v>13000</v>
      </c>
      <c r="M490" s="214" t="n">
        <v>18888.61</v>
      </c>
      <c r="N490" s="294"/>
      <c r="Q490" s="212"/>
      <c r="S490" s="291"/>
    </row>
    <row r="491" customFormat="false" ht="15" hidden="true" customHeight="false" outlineLevel="0" collapsed="false">
      <c r="B491" s="267" t="n">
        <v>2022</v>
      </c>
      <c r="C491" s="268" t="n">
        <v>9</v>
      </c>
      <c r="D491" s="226" t="s">
        <v>44</v>
      </c>
      <c r="E491" s="221" t="n">
        <v>55186680706</v>
      </c>
      <c r="F491" s="221" t="n">
        <v>95787183</v>
      </c>
      <c r="G491" s="221" t="n">
        <v>1</v>
      </c>
      <c r="H491" s="286" t="s">
        <v>73</v>
      </c>
      <c r="I491" s="293" t="n">
        <v>2750.17</v>
      </c>
      <c r="J491" s="228" t="n">
        <v>7000</v>
      </c>
      <c r="K491" s="228" t="n">
        <v>2750.17</v>
      </c>
      <c r="L491" s="228" t="n">
        <v>4249.83</v>
      </c>
      <c r="M491" s="214" t="n">
        <v>7000</v>
      </c>
      <c r="N491" s="294"/>
      <c r="O491" s="212" t="s">
        <v>303</v>
      </c>
      <c r="Q491" s="212"/>
      <c r="S491" s="291" t="s">
        <v>303</v>
      </c>
    </row>
    <row r="492" customFormat="false" ht="15" hidden="true" customHeight="false" outlineLevel="0" collapsed="false">
      <c r="B492" s="267" t="n">
        <v>2022</v>
      </c>
      <c r="C492" s="268" t="n">
        <v>9</v>
      </c>
      <c r="D492" s="226" t="s">
        <v>44</v>
      </c>
      <c r="E492" s="221" t="n">
        <v>21242693324</v>
      </c>
      <c r="F492" s="221" t="n">
        <v>95532064</v>
      </c>
      <c r="G492" s="221" t="n">
        <v>1</v>
      </c>
      <c r="H492" s="287" t="s">
        <v>85</v>
      </c>
      <c r="I492" s="293" t="n">
        <v>6080.5</v>
      </c>
      <c r="J492" s="228" t="n">
        <v>6080.5</v>
      </c>
      <c r="K492" s="228" t="n">
        <v>6080.5</v>
      </c>
      <c r="L492" s="228" t="n">
        <v>0</v>
      </c>
      <c r="M492" s="214" t="n">
        <v>6080.5</v>
      </c>
      <c r="N492" s="294"/>
      <c r="Q492" s="212"/>
      <c r="S492" s="291"/>
    </row>
    <row r="493" customFormat="false" ht="15" hidden="true" customHeight="false" outlineLevel="0" collapsed="false">
      <c r="B493" s="267" t="n">
        <v>2022</v>
      </c>
      <c r="C493" s="268" t="n">
        <v>9</v>
      </c>
      <c r="D493" s="226" t="s">
        <v>44</v>
      </c>
      <c r="E493" s="221" t="n">
        <v>17159801204</v>
      </c>
      <c r="F493" s="221" t="n">
        <v>95532066</v>
      </c>
      <c r="G493" s="221" t="n">
        <v>1</v>
      </c>
      <c r="H493" s="287" t="s">
        <v>87</v>
      </c>
      <c r="I493" s="293" t="n">
        <v>6080.5</v>
      </c>
      <c r="J493" s="228" t="n">
        <v>6080.5</v>
      </c>
      <c r="K493" s="228" t="n">
        <v>6080.5</v>
      </c>
      <c r="L493" s="228" t="n">
        <v>0</v>
      </c>
      <c r="M493" s="214" t="n">
        <v>6080.5</v>
      </c>
      <c r="N493" s="294"/>
      <c r="Q493" s="212"/>
      <c r="S493" s="291"/>
    </row>
    <row r="494" customFormat="false" ht="15" hidden="true" customHeight="false" outlineLevel="0" collapsed="false">
      <c r="B494" s="267" t="n">
        <v>2022</v>
      </c>
      <c r="C494" s="268" t="n">
        <v>9</v>
      </c>
      <c r="D494" s="226" t="s">
        <v>44</v>
      </c>
      <c r="E494" s="221" t="n">
        <v>23764482950</v>
      </c>
      <c r="F494" s="221" t="n">
        <v>95532077</v>
      </c>
      <c r="G494" s="221" t="n">
        <v>1</v>
      </c>
      <c r="H494" s="287" t="s">
        <v>93</v>
      </c>
      <c r="I494" s="293" t="n">
        <v>997.61</v>
      </c>
      <c r="J494" s="228" t="n">
        <v>9000</v>
      </c>
      <c r="K494" s="228" t="n">
        <v>997.61</v>
      </c>
      <c r="L494" s="228" t="n">
        <v>8002.39</v>
      </c>
      <c r="M494" s="214" t="n">
        <v>9000</v>
      </c>
      <c r="N494" s="294"/>
      <c r="O494" s="212" t="s">
        <v>280</v>
      </c>
      <c r="Q494" s="273" t="n">
        <v>25</v>
      </c>
      <c r="R494" s="295" t="n">
        <v>3</v>
      </c>
      <c r="S494" s="296" t="s">
        <v>280</v>
      </c>
    </row>
    <row r="495" customFormat="false" ht="15" hidden="true" customHeight="false" outlineLevel="0" collapsed="false">
      <c r="B495" s="267" t="n">
        <v>2022</v>
      </c>
      <c r="C495" s="268" t="n">
        <v>9</v>
      </c>
      <c r="D495" s="226" t="s">
        <v>36</v>
      </c>
      <c r="E495" s="221" t="n">
        <v>25672444846</v>
      </c>
      <c r="F495" s="221" t="n">
        <v>95693810</v>
      </c>
      <c r="G495" s="221" t="n">
        <v>1</v>
      </c>
      <c r="H495" s="287" t="s">
        <v>245</v>
      </c>
      <c r="I495" s="293" t="n">
        <v>6080.5</v>
      </c>
      <c r="J495" s="228" t="n">
        <v>8000</v>
      </c>
      <c r="K495" s="228" t="n">
        <v>6080.5</v>
      </c>
      <c r="L495" s="228" t="n">
        <v>1919.5</v>
      </c>
      <c r="M495" s="214" t="n">
        <v>8000</v>
      </c>
      <c r="N495" s="294"/>
      <c r="Q495" s="212"/>
      <c r="R495" s="295"/>
      <c r="S495" s="296"/>
    </row>
    <row r="496" customFormat="false" ht="15" hidden="true" customHeight="false" outlineLevel="0" collapsed="false">
      <c r="B496" s="267" t="n">
        <v>2022</v>
      </c>
      <c r="C496" s="268" t="n">
        <v>9</v>
      </c>
      <c r="D496" s="226" t="s">
        <v>44</v>
      </c>
      <c r="E496" s="221" t="n">
        <v>33853146700</v>
      </c>
      <c r="F496" s="221" t="n">
        <v>96959868</v>
      </c>
      <c r="G496" s="221" t="n">
        <v>1</v>
      </c>
      <c r="H496" s="287" t="s">
        <v>247</v>
      </c>
      <c r="I496" s="293" t="n">
        <v>6520.53</v>
      </c>
      <c r="J496" s="228" t="n">
        <v>9000</v>
      </c>
      <c r="K496" s="228" t="n">
        <v>6520.53</v>
      </c>
      <c r="L496" s="228" t="n">
        <v>1479.47</v>
      </c>
      <c r="M496" s="214" t="n">
        <v>8000</v>
      </c>
      <c r="N496" s="294" t="n">
        <v>-1000</v>
      </c>
      <c r="Q496" s="212"/>
      <c r="R496" s="295"/>
      <c r="S496" s="296"/>
    </row>
    <row r="497" customFormat="false" ht="15" hidden="true" customHeight="false" outlineLevel="0" collapsed="false">
      <c r="B497" s="267" t="n">
        <v>2022</v>
      </c>
      <c r="C497" s="268" t="n">
        <v>9</v>
      </c>
      <c r="D497" s="226" t="s">
        <v>44</v>
      </c>
      <c r="E497" s="221" t="n">
        <v>51994540164</v>
      </c>
      <c r="F497" s="221" t="n">
        <v>96900867</v>
      </c>
      <c r="G497" s="221" t="n">
        <v>1</v>
      </c>
      <c r="H497" s="287" t="s">
        <v>97</v>
      </c>
      <c r="I497" s="293" t="n">
        <v>5888.61</v>
      </c>
      <c r="J497" s="228" t="n">
        <v>5770.52</v>
      </c>
      <c r="K497" s="228" t="n">
        <v>5888.61</v>
      </c>
      <c r="L497" s="228" t="n">
        <v>-118.09</v>
      </c>
      <c r="M497" s="214" t="n">
        <v>5770.52</v>
      </c>
      <c r="N497" s="294"/>
      <c r="Q497" s="212"/>
      <c r="R497" s="295"/>
      <c r="S497" s="296"/>
    </row>
    <row r="498" customFormat="false" ht="15" hidden="true" customHeight="false" outlineLevel="0" collapsed="false">
      <c r="B498" s="267" t="n">
        <v>2022</v>
      </c>
      <c r="C498" s="268" t="n">
        <v>9</v>
      </c>
      <c r="D498" s="226" t="s">
        <v>44</v>
      </c>
      <c r="E498" s="221" t="n">
        <v>52657562356</v>
      </c>
      <c r="F498" s="221" t="n">
        <v>97011710</v>
      </c>
      <c r="G498" s="221" t="n">
        <v>1</v>
      </c>
      <c r="H498" s="287" t="s">
        <v>248</v>
      </c>
      <c r="I498" s="293" t="n">
        <v>5500.35</v>
      </c>
      <c r="J498" s="228" t="n">
        <v>5500.35</v>
      </c>
      <c r="K498" s="228" t="n">
        <v>5500.35</v>
      </c>
      <c r="L498" s="228" t="n">
        <v>0</v>
      </c>
      <c r="M498" s="214" t="n">
        <v>5500.35</v>
      </c>
      <c r="N498" s="294"/>
      <c r="Q498" s="212"/>
      <c r="R498" s="295"/>
      <c r="S498" s="296"/>
    </row>
    <row r="499" customFormat="false" ht="15" hidden="true" customHeight="false" outlineLevel="0" collapsed="false">
      <c r="B499" s="267" t="n">
        <v>2022</v>
      </c>
      <c r="C499" s="268" t="n">
        <v>9</v>
      </c>
      <c r="D499" s="226" t="s">
        <v>36</v>
      </c>
      <c r="E499" s="221" t="n">
        <v>10459950610</v>
      </c>
      <c r="F499" s="221" t="n">
        <v>97226520</v>
      </c>
      <c r="G499" s="221" t="n">
        <v>1</v>
      </c>
      <c r="H499" s="287" t="s">
        <v>195</v>
      </c>
      <c r="I499" s="293" t="n">
        <v>6080.5</v>
      </c>
      <c r="J499" s="228" t="n">
        <v>8000</v>
      </c>
      <c r="K499" s="228" t="n">
        <v>6080.5</v>
      </c>
      <c r="L499" s="228" t="n">
        <v>1919.5</v>
      </c>
      <c r="M499" s="214" t="n">
        <v>8000</v>
      </c>
      <c r="N499" s="294"/>
      <c r="Q499" s="212"/>
      <c r="R499" s="295"/>
      <c r="S499" s="296"/>
    </row>
    <row r="500" customFormat="false" ht="15" hidden="true" customHeight="false" outlineLevel="0" collapsed="false">
      <c r="B500" s="267" t="n">
        <v>2022</v>
      </c>
      <c r="C500" s="268" t="n">
        <v>9</v>
      </c>
      <c r="D500" s="226" t="s">
        <v>44</v>
      </c>
      <c r="E500" s="221" t="n">
        <v>23713484608</v>
      </c>
      <c r="F500" s="221" t="n">
        <v>97189681</v>
      </c>
      <c r="G500" s="221" t="n">
        <v>1</v>
      </c>
      <c r="H500" s="287" t="s">
        <v>100</v>
      </c>
      <c r="I500" s="293" t="n">
        <v>6080.5</v>
      </c>
      <c r="J500" s="228" t="n">
        <v>7500</v>
      </c>
      <c r="K500" s="228" t="n">
        <v>6080.5</v>
      </c>
      <c r="L500" s="228" t="n">
        <v>1419.5</v>
      </c>
      <c r="M500" s="214" t="n">
        <v>7500</v>
      </c>
      <c r="N500" s="294"/>
      <c r="Q500" s="212"/>
      <c r="R500" s="295"/>
      <c r="S500" s="296"/>
    </row>
    <row r="501" customFormat="false" ht="15" hidden="true" customHeight="false" outlineLevel="0" collapsed="false">
      <c r="B501" s="267" t="n">
        <v>2022</v>
      </c>
      <c r="C501" s="268" t="n">
        <v>9</v>
      </c>
      <c r="D501" s="226" t="s">
        <v>44</v>
      </c>
      <c r="E501" s="221" t="n">
        <v>17891875174</v>
      </c>
      <c r="F501" s="221" t="n">
        <v>6214238</v>
      </c>
      <c r="G501" s="221" t="n">
        <v>1</v>
      </c>
      <c r="H501" s="287" t="s">
        <v>190</v>
      </c>
      <c r="I501" s="293" t="n">
        <v>5500.35</v>
      </c>
      <c r="J501" s="228" t="n">
        <v>5500.35</v>
      </c>
      <c r="K501" s="228" t="n">
        <v>5500.35</v>
      </c>
      <c r="L501" s="228" t="n">
        <v>0</v>
      </c>
      <c r="M501" s="214" t="n">
        <v>5500.35</v>
      </c>
      <c r="N501" s="294"/>
      <c r="Q501" s="212"/>
      <c r="R501" s="295"/>
      <c r="S501" s="296"/>
    </row>
    <row r="502" customFormat="false" ht="15" hidden="true" customHeight="false" outlineLevel="0" collapsed="false">
      <c r="B502" s="267" t="n">
        <v>2022</v>
      </c>
      <c r="C502" s="268" t="n">
        <v>9</v>
      </c>
      <c r="D502" s="226" t="s">
        <v>36</v>
      </c>
      <c r="E502" s="221" t="n">
        <v>14233727054</v>
      </c>
      <c r="F502" s="221" t="n">
        <v>97522331</v>
      </c>
      <c r="G502" s="221" t="n">
        <v>1</v>
      </c>
      <c r="H502" s="287" t="s">
        <v>276</v>
      </c>
      <c r="I502" s="293" t="n">
        <v>997.61</v>
      </c>
      <c r="J502" s="228" t="n">
        <v>8000</v>
      </c>
      <c r="K502" s="228" t="n">
        <v>997.61</v>
      </c>
      <c r="L502" s="228" t="n">
        <v>7002.39</v>
      </c>
      <c r="M502" s="214" t="n">
        <v>8000</v>
      </c>
      <c r="N502" s="294"/>
      <c r="Q502" s="273" t="n">
        <v>25</v>
      </c>
      <c r="R502" s="295"/>
      <c r="S502" s="296"/>
    </row>
    <row r="503" customFormat="false" ht="15" hidden="true" customHeight="false" outlineLevel="0" collapsed="false">
      <c r="B503" s="267" t="n">
        <v>2022</v>
      </c>
      <c r="C503" s="268" t="n">
        <v>9</v>
      </c>
      <c r="D503" s="226" t="s">
        <v>44</v>
      </c>
      <c r="E503" s="221" t="n">
        <v>38233125580</v>
      </c>
      <c r="F503" s="221" t="n">
        <v>95532065</v>
      </c>
      <c r="G503" s="221" t="n">
        <v>1</v>
      </c>
      <c r="H503" s="287" t="s">
        <v>289</v>
      </c>
      <c r="I503" s="293" t="n">
        <v>6117.17</v>
      </c>
      <c r="J503" s="228" t="n">
        <v>10000</v>
      </c>
      <c r="K503" s="228" t="n">
        <v>6117.17</v>
      </c>
      <c r="L503" s="228" t="n">
        <v>3882.83</v>
      </c>
      <c r="M503" s="214" t="n">
        <v>10000</v>
      </c>
      <c r="N503" s="294"/>
      <c r="O503" s="212" t="s">
        <v>280</v>
      </c>
      <c r="Q503" s="273"/>
      <c r="R503" s="216" t="n">
        <v>10</v>
      </c>
      <c r="S503" s="291" t="s">
        <v>280</v>
      </c>
    </row>
    <row r="504" customFormat="false" ht="15" hidden="true" customHeight="false" outlineLevel="0" collapsed="false">
      <c r="B504" s="267" t="n">
        <v>2022</v>
      </c>
      <c r="C504" s="268" t="n">
        <v>9</v>
      </c>
      <c r="D504" s="226" t="s">
        <v>36</v>
      </c>
      <c r="E504" s="221" t="n">
        <v>18736701092</v>
      </c>
      <c r="F504" s="221" t="n">
        <v>95547779</v>
      </c>
      <c r="G504" s="221" t="n">
        <v>1</v>
      </c>
      <c r="H504" s="287" t="s">
        <v>127</v>
      </c>
      <c r="I504" s="293" t="n">
        <v>6500.35</v>
      </c>
      <c r="J504" s="228" t="n">
        <v>6500.35</v>
      </c>
      <c r="K504" s="228" t="n">
        <v>6500.35</v>
      </c>
      <c r="L504" s="228" t="n">
        <v>0</v>
      </c>
      <c r="M504" s="214" t="n">
        <v>6500.35</v>
      </c>
      <c r="N504" s="294"/>
      <c r="Q504" s="273"/>
      <c r="S504" s="291"/>
    </row>
    <row r="505" customFormat="false" ht="15" hidden="true" customHeight="false" outlineLevel="0" collapsed="false">
      <c r="B505" s="267" t="n">
        <v>2022</v>
      </c>
      <c r="C505" s="268" t="n">
        <v>9</v>
      </c>
      <c r="D505" s="226" t="s">
        <v>44</v>
      </c>
      <c r="E505" s="221" t="n">
        <v>0</v>
      </c>
      <c r="F505" s="221" t="n">
        <v>0</v>
      </c>
      <c r="G505" s="221" t="n">
        <v>1</v>
      </c>
      <c r="H505" s="287" t="s">
        <v>74</v>
      </c>
      <c r="I505" s="293" t="n">
        <v>0</v>
      </c>
      <c r="J505" s="228" t="n">
        <v>5500</v>
      </c>
      <c r="K505" s="228" t="n">
        <v>0</v>
      </c>
      <c r="L505" s="228" t="n">
        <v>5500</v>
      </c>
      <c r="M505" s="214" t="n">
        <v>5500</v>
      </c>
      <c r="N505" s="294"/>
      <c r="Q505" s="273"/>
      <c r="S505" s="291"/>
    </row>
    <row r="506" customFormat="false" ht="15" hidden="true" customHeight="false" outlineLevel="0" collapsed="false">
      <c r="B506" s="267" t="n">
        <v>2022</v>
      </c>
      <c r="C506" s="268" t="n">
        <v>9</v>
      </c>
      <c r="D506" s="226" t="s">
        <v>36</v>
      </c>
      <c r="E506" s="221" t="n">
        <v>18274523170</v>
      </c>
      <c r="F506" s="221" t="n">
        <v>95532068</v>
      </c>
      <c r="G506" s="221" t="n">
        <v>1</v>
      </c>
      <c r="H506" s="287" t="s">
        <v>14</v>
      </c>
      <c r="I506" s="293" t="n">
        <v>6584.7</v>
      </c>
      <c r="J506" s="228" t="n">
        <v>8000</v>
      </c>
      <c r="K506" s="228" t="n">
        <v>6584.7</v>
      </c>
      <c r="L506" s="228" t="n">
        <v>1415.3</v>
      </c>
      <c r="M506" s="214" t="n">
        <v>8000</v>
      </c>
      <c r="N506" s="294"/>
      <c r="O506" s="212" t="s">
        <v>305</v>
      </c>
      <c r="Q506" s="273"/>
      <c r="S506" s="291" t="s">
        <v>305</v>
      </c>
    </row>
    <row r="507" customFormat="false" ht="15" hidden="true" customHeight="false" outlineLevel="0" collapsed="false">
      <c r="B507" s="267" t="n">
        <v>2022</v>
      </c>
      <c r="C507" s="268" t="n">
        <v>9</v>
      </c>
      <c r="D507" s="226" t="s">
        <v>36</v>
      </c>
      <c r="E507" s="221" t="n">
        <v>38614007368</v>
      </c>
      <c r="F507" s="221" t="n">
        <v>97665848</v>
      </c>
      <c r="G507" s="221" t="n">
        <v>1</v>
      </c>
      <c r="H507" s="287" t="s">
        <v>75</v>
      </c>
      <c r="I507" s="293" t="n">
        <v>6117.17</v>
      </c>
      <c r="J507" s="228" t="n">
        <v>8000</v>
      </c>
      <c r="K507" s="228" t="n">
        <v>6117.17</v>
      </c>
      <c r="L507" s="228" t="n">
        <v>1882.83</v>
      </c>
      <c r="M507" s="214" t="n">
        <v>8000</v>
      </c>
      <c r="N507" s="294"/>
      <c r="Q507" s="273"/>
      <c r="S507" s="291"/>
    </row>
    <row r="508" customFormat="false" ht="15" hidden="true" customHeight="false" outlineLevel="0" collapsed="false">
      <c r="B508" s="267" t="n">
        <v>2022</v>
      </c>
      <c r="C508" s="268" t="n">
        <v>9</v>
      </c>
      <c r="D508" s="226" t="s">
        <v>44</v>
      </c>
      <c r="E508" s="221" t="n">
        <v>0</v>
      </c>
      <c r="F508" s="221" t="n">
        <v>0</v>
      </c>
      <c r="G508" s="221" t="n">
        <v>1</v>
      </c>
      <c r="H508" s="287" t="s">
        <v>102</v>
      </c>
      <c r="I508" s="290" t="n">
        <v>0</v>
      </c>
      <c r="J508" s="228" t="n">
        <v>8000</v>
      </c>
      <c r="K508" s="228" t="n">
        <v>0</v>
      </c>
      <c r="L508" s="228" t="n">
        <v>8000</v>
      </c>
      <c r="M508" s="214" t="n">
        <v>8000</v>
      </c>
      <c r="N508" s="294"/>
      <c r="Q508" s="273"/>
      <c r="S508" s="291"/>
    </row>
    <row r="509" customFormat="false" ht="15" hidden="true" customHeight="false" outlineLevel="0" collapsed="false">
      <c r="B509" s="267" t="n">
        <v>2022</v>
      </c>
      <c r="C509" s="268" t="n">
        <v>9</v>
      </c>
      <c r="D509" s="226" t="s">
        <v>44</v>
      </c>
      <c r="E509" s="221" t="n">
        <v>0</v>
      </c>
      <c r="F509" s="221" t="n">
        <v>0</v>
      </c>
      <c r="G509" s="221" t="n">
        <v>1</v>
      </c>
      <c r="H509" s="287" t="s">
        <v>196</v>
      </c>
      <c r="I509" s="290" t="n">
        <v>0</v>
      </c>
      <c r="J509" s="228" t="n">
        <v>5500</v>
      </c>
      <c r="K509" s="228" t="n">
        <v>0</v>
      </c>
      <c r="L509" s="228" t="n">
        <v>5500</v>
      </c>
      <c r="M509" s="214" t="n">
        <v>5500</v>
      </c>
      <c r="N509" s="294"/>
      <c r="Q509" s="273"/>
      <c r="S509" s="291"/>
    </row>
    <row r="510" customFormat="false" ht="15" hidden="true" customHeight="false" outlineLevel="0" collapsed="false">
      <c r="B510" s="267" t="n">
        <v>2022</v>
      </c>
      <c r="C510" s="268" t="n">
        <v>9</v>
      </c>
      <c r="D510" s="226" t="n">
        <v>0</v>
      </c>
      <c r="E510" s="221" t="n">
        <v>0</v>
      </c>
      <c r="F510" s="221" t="n">
        <v>0</v>
      </c>
      <c r="G510" s="221" t="n">
        <v>1</v>
      </c>
      <c r="H510" s="286" t="s">
        <v>294</v>
      </c>
      <c r="I510" s="290" t="n">
        <v>0</v>
      </c>
      <c r="J510" s="228" t="n">
        <v>8000</v>
      </c>
      <c r="K510" s="228" t="n">
        <v>0</v>
      </c>
      <c r="L510" s="228" t="n">
        <v>8000</v>
      </c>
      <c r="M510" s="214" t="n">
        <v>8000</v>
      </c>
      <c r="N510" s="294"/>
      <c r="Q510" s="212"/>
      <c r="S510" s="291"/>
    </row>
    <row r="511" customFormat="false" ht="15" hidden="true" customHeight="false" outlineLevel="0" collapsed="false">
      <c r="B511" s="267" t="n">
        <v>2022</v>
      </c>
      <c r="C511" s="268" t="n">
        <v>9</v>
      </c>
      <c r="D511" s="226" t="s">
        <v>44</v>
      </c>
      <c r="E511" s="221" t="n">
        <v>74524099696</v>
      </c>
      <c r="F511" s="221" t="n">
        <v>98127163</v>
      </c>
      <c r="G511" s="221" t="n">
        <v>1</v>
      </c>
      <c r="H511" s="229" t="s">
        <v>66</v>
      </c>
      <c r="I511" s="290" t="n">
        <v>6471.5</v>
      </c>
      <c r="J511" s="228" t="n">
        <v>6471.5</v>
      </c>
      <c r="K511" s="228" t="n">
        <v>6471.5</v>
      </c>
      <c r="L511" s="228" t="n">
        <v>0</v>
      </c>
      <c r="M511" s="214" t="n">
        <v>6471.5</v>
      </c>
      <c r="N511" s="294"/>
      <c r="Q511" s="212"/>
      <c r="R511" s="212"/>
      <c r="S511" s="291"/>
    </row>
    <row r="512" customFormat="false" ht="15" hidden="true" customHeight="false" outlineLevel="0" collapsed="false">
      <c r="B512" s="267" t="n">
        <v>2022</v>
      </c>
      <c r="C512" s="268" t="n">
        <v>9</v>
      </c>
      <c r="D512" s="226" t="s">
        <v>44</v>
      </c>
      <c r="E512" s="221" t="n">
        <v>64996156028</v>
      </c>
      <c r="F512" s="221" t="n">
        <v>95539771</v>
      </c>
      <c r="G512" s="221" t="n">
        <v>1</v>
      </c>
      <c r="H512" s="229" t="s">
        <v>55</v>
      </c>
      <c r="I512" s="290" t="n">
        <v>5133.66</v>
      </c>
      <c r="J512" s="228" t="n">
        <v>8000</v>
      </c>
      <c r="K512" s="228" t="n">
        <v>5133.66</v>
      </c>
      <c r="L512" s="228" t="n">
        <v>2866.34</v>
      </c>
      <c r="M512" s="214" t="n">
        <v>8000</v>
      </c>
      <c r="N512" s="294"/>
      <c r="Q512" s="212"/>
      <c r="R512" s="212"/>
      <c r="S512" s="291"/>
    </row>
    <row r="513" customFormat="false" ht="15" hidden="true" customHeight="false" outlineLevel="0" collapsed="false">
      <c r="B513" s="208" t="n">
        <v>2022</v>
      </c>
      <c r="C513" s="209" t="n">
        <v>10</v>
      </c>
      <c r="D513" s="226" t="s">
        <v>44</v>
      </c>
      <c r="E513" s="221" t="n">
        <v>28699369338</v>
      </c>
      <c r="F513" s="221" t="n">
        <v>96358353</v>
      </c>
      <c r="G513" s="221" t="n">
        <v>1</v>
      </c>
      <c r="H513" s="229" t="s">
        <v>79</v>
      </c>
      <c r="I513" s="290" t="n">
        <v>7000</v>
      </c>
      <c r="J513" s="228" t="n">
        <v>10000</v>
      </c>
      <c r="K513" s="228" t="n">
        <v>7000</v>
      </c>
      <c r="L513" s="228" t="n">
        <v>3000</v>
      </c>
      <c r="M513" s="214" t="n">
        <v>10000</v>
      </c>
      <c r="N513" s="294"/>
      <c r="Q513" s="212"/>
      <c r="R513" s="212"/>
      <c r="S513" s="291"/>
    </row>
    <row r="514" customFormat="false" ht="15" hidden="true" customHeight="false" outlineLevel="0" collapsed="false">
      <c r="B514" s="208" t="n">
        <v>2022</v>
      </c>
      <c r="C514" s="209" t="n">
        <v>10</v>
      </c>
      <c r="D514" s="226" t="s">
        <v>44</v>
      </c>
      <c r="E514" s="221" t="n">
        <v>63097169876</v>
      </c>
      <c r="F514" s="221" t="n">
        <v>96843148</v>
      </c>
      <c r="G514" s="221" t="n">
        <v>1</v>
      </c>
      <c r="H514" s="229" t="s">
        <v>122</v>
      </c>
      <c r="I514" s="290" t="n">
        <v>6520.53</v>
      </c>
      <c r="J514" s="228" t="n">
        <v>9000</v>
      </c>
      <c r="K514" s="228" t="n">
        <v>6520.53</v>
      </c>
      <c r="L514" s="228" t="n">
        <v>2479.47</v>
      </c>
      <c r="M514" s="214" t="n">
        <v>9000</v>
      </c>
      <c r="N514" s="294"/>
      <c r="Q514" s="212"/>
      <c r="R514" s="212"/>
      <c r="S514" s="291"/>
    </row>
    <row r="515" customFormat="false" ht="15" hidden="true" customHeight="false" outlineLevel="0" collapsed="false">
      <c r="B515" s="208" t="n">
        <v>2022</v>
      </c>
      <c r="C515" s="209" t="n">
        <v>10</v>
      </c>
      <c r="D515" s="226" t="s">
        <v>44</v>
      </c>
      <c r="E515" s="221" t="n">
        <v>36826974454</v>
      </c>
      <c r="F515" s="221" t="n">
        <v>95573006</v>
      </c>
      <c r="G515" s="221" t="n">
        <v>1</v>
      </c>
      <c r="H515" s="229" t="s">
        <v>188</v>
      </c>
      <c r="I515" s="228" t="n">
        <v>3666.67</v>
      </c>
      <c r="J515" s="228" t="n">
        <v>3666.67</v>
      </c>
      <c r="K515" s="228" t="n">
        <v>3666.67</v>
      </c>
      <c r="L515" s="228" t="n">
        <v>0</v>
      </c>
      <c r="M515" s="214" t="n">
        <v>3666.67</v>
      </c>
      <c r="N515" s="294"/>
      <c r="Q515" s="212"/>
      <c r="R515" s="212"/>
      <c r="S515" s="291"/>
    </row>
    <row r="516" customFormat="false" ht="15" hidden="true" customHeight="false" outlineLevel="0" collapsed="false">
      <c r="B516" s="208" t="n">
        <v>2022</v>
      </c>
      <c r="C516" s="209" t="n">
        <v>10</v>
      </c>
      <c r="D516" s="226" t="s">
        <v>44</v>
      </c>
      <c r="E516" s="221" t="n">
        <v>17630785580</v>
      </c>
      <c r="F516" s="221" t="n">
        <v>95529415</v>
      </c>
      <c r="G516" s="221" t="n">
        <v>1</v>
      </c>
      <c r="H516" s="229" t="s">
        <v>81</v>
      </c>
      <c r="I516" s="290" t="n">
        <v>5888.61</v>
      </c>
      <c r="J516" s="228" t="n">
        <v>18888.61</v>
      </c>
      <c r="K516" s="228" t="n">
        <v>5888.61</v>
      </c>
      <c r="L516" s="228" t="n">
        <v>13000</v>
      </c>
      <c r="M516" s="214" t="n">
        <v>18888.61</v>
      </c>
      <c r="N516" s="294"/>
      <c r="Q516" s="212"/>
      <c r="R516" s="212"/>
      <c r="S516" s="291"/>
    </row>
    <row r="517" customFormat="false" ht="15" hidden="true" customHeight="false" outlineLevel="0" collapsed="false">
      <c r="B517" s="208" t="n">
        <v>2022</v>
      </c>
      <c r="C517" s="209" t="n">
        <v>10</v>
      </c>
      <c r="D517" s="226" t="s">
        <v>44</v>
      </c>
      <c r="E517" s="221" t="n">
        <v>55186680706</v>
      </c>
      <c r="F517" s="221" t="n">
        <v>95787183</v>
      </c>
      <c r="G517" s="221" t="n">
        <v>1</v>
      </c>
      <c r="H517" s="229" t="s">
        <v>73</v>
      </c>
      <c r="I517" s="290" t="n">
        <v>2750.17</v>
      </c>
      <c r="J517" s="228" t="n">
        <v>2750.17</v>
      </c>
      <c r="K517" s="228" t="n">
        <v>2750.17</v>
      </c>
      <c r="L517" s="228" t="n">
        <v>0</v>
      </c>
      <c r="M517" s="214" t="n">
        <v>2750.17</v>
      </c>
      <c r="N517" s="294"/>
      <c r="Q517" s="212"/>
      <c r="R517" s="212"/>
      <c r="S517" s="291"/>
    </row>
    <row r="518" customFormat="false" ht="15" hidden="true" customHeight="false" outlineLevel="0" collapsed="false">
      <c r="B518" s="208" t="n">
        <v>2022</v>
      </c>
      <c r="C518" s="209" t="n">
        <v>10</v>
      </c>
      <c r="D518" s="226" t="s">
        <v>44</v>
      </c>
      <c r="E518" s="221" t="n">
        <v>21242693324</v>
      </c>
      <c r="F518" s="221" t="n">
        <v>95532064</v>
      </c>
      <c r="G518" s="221" t="n">
        <v>1</v>
      </c>
      <c r="H518" s="229" t="s">
        <v>85</v>
      </c>
      <c r="I518" s="290" t="n">
        <v>6080.5</v>
      </c>
      <c r="J518" s="228" t="n">
        <v>6080.5</v>
      </c>
      <c r="K518" s="228" t="n">
        <v>6080.5</v>
      </c>
      <c r="L518" s="228" t="n">
        <v>0</v>
      </c>
      <c r="M518" s="214" t="n">
        <v>6080.5</v>
      </c>
      <c r="N518" s="294"/>
      <c r="Q518" s="212"/>
      <c r="R518" s="212"/>
      <c r="S518" s="291"/>
    </row>
    <row r="519" customFormat="false" ht="15" hidden="true" customHeight="false" outlineLevel="0" collapsed="false">
      <c r="B519" s="208" t="n">
        <v>2022</v>
      </c>
      <c r="C519" s="209" t="n">
        <v>10</v>
      </c>
      <c r="D519" s="226" t="s">
        <v>44</v>
      </c>
      <c r="E519" s="221" t="n">
        <v>17159801204</v>
      </c>
      <c r="F519" s="221" t="n">
        <v>95532066</v>
      </c>
      <c r="G519" s="221" t="n">
        <v>1</v>
      </c>
      <c r="H519" s="229" t="s">
        <v>87</v>
      </c>
      <c r="I519" s="290" t="n">
        <v>6080.5</v>
      </c>
      <c r="J519" s="228" t="n">
        <v>6080.5</v>
      </c>
      <c r="K519" s="228" t="n">
        <v>6080.5</v>
      </c>
      <c r="L519" s="228" t="n">
        <v>0</v>
      </c>
      <c r="M519" s="214" t="n">
        <v>6080.5</v>
      </c>
      <c r="N519" s="294"/>
      <c r="Q519" s="212"/>
      <c r="R519" s="212"/>
      <c r="S519" s="291"/>
    </row>
    <row r="520" customFormat="false" ht="15" hidden="true" customHeight="false" outlineLevel="0" collapsed="false">
      <c r="B520" s="208" t="n">
        <v>2022</v>
      </c>
      <c r="C520" s="209" t="n">
        <v>10</v>
      </c>
      <c r="D520" s="226" t="s">
        <v>44</v>
      </c>
      <c r="E520" s="221" t="n">
        <v>23764482950</v>
      </c>
      <c r="F520" s="221" t="n">
        <v>95532077</v>
      </c>
      <c r="G520" s="221" t="n">
        <v>1</v>
      </c>
      <c r="H520" s="229" t="s">
        <v>93</v>
      </c>
      <c r="I520" s="290" t="n">
        <v>997.61</v>
      </c>
      <c r="J520" s="228" t="n">
        <v>9000</v>
      </c>
      <c r="K520" s="228" t="n">
        <v>997.61</v>
      </c>
      <c r="L520" s="228" t="n">
        <v>8002.39</v>
      </c>
      <c r="M520" s="214" t="n">
        <v>9000</v>
      </c>
      <c r="N520" s="294"/>
      <c r="Q520" s="212"/>
      <c r="R520" s="212"/>
      <c r="S520" s="291"/>
    </row>
    <row r="521" customFormat="false" ht="15" hidden="true" customHeight="false" outlineLevel="0" collapsed="false">
      <c r="B521" s="208" t="n">
        <v>2022</v>
      </c>
      <c r="C521" s="209" t="n">
        <v>10</v>
      </c>
      <c r="D521" s="226" t="s">
        <v>36</v>
      </c>
      <c r="E521" s="221" t="n">
        <v>25672444846</v>
      </c>
      <c r="F521" s="221" t="n">
        <v>95693810</v>
      </c>
      <c r="G521" s="221" t="n">
        <v>1</v>
      </c>
      <c r="H521" s="229" t="s">
        <v>245</v>
      </c>
      <c r="I521" s="290" t="n">
        <v>6080.5</v>
      </c>
      <c r="J521" s="228" t="n">
        <v>8000</v>
      </c>
      <c r="K521" s="228" t="n">
        <v>6080.5</v>
      </c>
      <c r="L521" s="228" t="n">
        <v>1919.5</v>
      </c>
      <c r="M521" s="214" t="n">
        <v>8000</v>
      </c>
      <c r="N521" s="294"/>
      <c r="Q521" s="212"/>
      <c r="R521" s="212"/>
      <c r="S521" s="291"/>
    </row>
    <row r="522" customFormat="false" ht="15" hidden="true" customHeight="false" outlineLevel="0" collapsed="false">
      <c r="B522" s="208" t="n">
        <v>2022</v>
      </c>
      <c r="C522" s="209" t="n">
        <v>10</v>
      </c>
      <c r="D522" s="226" t="s">
        <v>44</v>
      </c>
      <c r="E522" s="221" t="n">
        <v>33853146700</v>
      </c>
      <c r="F522" s="221" t="n">
        <v>96959868</v>
      </c>
      <c r="G522" s="221" t="n">
        <v>1</v>
      </c>
      <c r="H522" s="229" t="s">
        <v>247</v>
      </c>
      <c r="I522" s="290" t="n">
        <v>6520.53</v>
      </c>
      <c r="J522" s="228" t="n">
        <v>9000</v>
      </c>
      <c r="K522" s="228" t="n">
        <v>6520.53</v>
      </c>
      <c r="L522" s="228" t="n">
        <v>1479.47</v>
      </c>
      <c r="M522" s="214" t="n">
        <v>8000</v>
      </c>
      <c r="N522" s="294" t="n">
        <v>-1000</v>
      </c>
      <c r="O522" s="212" t="s">
        <v>159</v>
      </c>
      <c r="Q522" s="212"/>
      <c r="R522" s="212"/>
      <c r="S522" s="291" t="s">
        <v>159</v>
      </c>
    </row>
    <row r="523" customFormat="false" ht="15" hidden="true" customHeight="false" outlineLevel="0" collapsed="false">
      <c r="B523" s="208" t="n">
        <v>2022</v>
      </c>
      <c r="C523" s="209" t="n">
        <v>10</v>
      </c>
      <c r="D523" s="226" t="s">
        <v>44</v>
      </c>
      <c r="E523" s="221" t="n">
        <v>51994540164</v>
      </c>
      <c r="F523" s="221" t="n">
        <v>96900867</v>
      </c>
      <c r="G523" s="221" t="n">
        <v>1</v>
      </c>
      <c r="H523" s="229" t="s">
        <v>97</v>
      </c>
      <c r="I523" s="290" t="n">
        <v>5888.61</v>
      </c>
      <c r="J523" s="228" t="n">
        <v>5770.52</v>
      </c>
      <c r="K523" s="228" t="n">
        <v>5888.61</v>
      </c>
      <c r="L523" s="228" t="n">
        <v>-118.09</v>
      </c>
      <c r="M523" s="214" t="n">
        <v>5770.52</v>
      </c>
      <c r="N523" s="294"/>
      <c r="Q523" s="212"/>
      <c r="R523" s="212"/>
      <c r="S523" s="291"/>
    </row>
    <row r="524" customFormat="false" ht="15" hidden="true" customHeight="false" outlineLevel="0" collapsed="false">
      <c r="B524" s="208" t="n">
        <v>2022</v>
      </c>
      <c r="C524" s="209" t="n">
        <v>10</v>
      </c>
      <c r="D524" s="226" t="s">
        <v>44</v>
      </c>
      <c r="E524" s="221" t="n">
        <v>52657562356</v>
      </c>
      <c r="F524" s="221" t="n">
        <v>97011710</v>
      </c>
      <c r="G524" s="221" t="n">
        <v>1</v>
      </c>
      <c r="H524" s="229" t="s">
        <v>248</v>
      </c>
      <c r="I524" s="290" t="n">
        <v>5500.35</v>
      </c>
      <c r="J524" s="228" t="n">
        <v>5500.35</v>
      </c>
      <c r="K524" s="228" t="n">
        <v>5500.35</v>
      </c>
      <c r="L524" s="228" t="n">
        <v>0</v>
      </c>
      <c r="M524" s="214" t="n">
        <v>5500.35</v>
      </c>
      <c r="N524" s="294"/>
      <c r="Q524" s="212"/>
      <c r="R524" s="212"/>
      <c r="S524" s="291"/>
    </row>
    <row r="525" customFormat="false" ht="15" hidden="true" customHeight="false" outlineLevel="0" collapsed="false">
      <c r="B525" s="208" t="n">
        <v>2022</v>
      </c>
      <c r="C525" s="209" t="n">
        <v>10</v>
      </c>
      <c r="D525" s="226" t="s">
        <v>36</v>
      </c>
      <c r="E525" s="221" t="n">
        <v>10459950610</v>
      </c>
      <c r="F525" s="221" t="n">
        <v>97226520</v>
      </c>
      <c r="G525" s="221" t="n">
        <v>1</v>
      </c>
      <c r="H525" s="229" t="s">
        <v>195</v>
      </c>
      <c r="I525" s="290" t="n">
        <v>6080.5</v>
      </c>
      <c r="J525" s="228" t="n">
        <v>8000</v>
      </c>
      <c r="K525" s="228" t="n">
        <v>6080.5</v>
      </c>
      <c r="L525" s="228" t="n">
        <v>1919.5</v>
      </c>
      <c r="M525" s="214" t="n">
        <v>8000</v>
      </c>
      <c r="N525" s="294"/>
      <c r="Q525" s="212"/>
      <c r="R525" s="212"/>
      <c r="S525" s="291"/>
    </row>
    <row r="526" customFormat="false" ht="15" hidden="true" customHeight="false" outlineLevel="0" collapsed="false">
      <c r="B526" s="208" t="n">
        <v>2022</v>
      </c>
      <c r="C526" s="209" t="n">
        <v>10</v>
      </c>
      <c r="D526" s="226" t="s">
        <v>44</v>
      </c>
      <c r="E526" s="221" t="n">
        <v>23713484608</v>
      </c>
      <c r="F526" s="221" t="n">
        <v>97189681</v>
      </c>
      <c r="G526" s="221" t="n">
        <v>1</v>
      </c>
      <c r="H526" s="229" t="s">
        <v>100</v>
      </c>
      <c r="I526" s="290" t="n">
        <v>6080.5</v>
      </c>
      <c r="J526" s="228" t="n">
        <v>7500</v>
      </c>
      <c r="K526" s="228" t="n">
        <v>6080.5</v>
      </c>
      <c r="L526" s="228" t="n">
        <v>1419.5</v>
      </c>
      <c r="M526" s="214" t="n">
        <v>7500</v>
      </c>
      <c r="N526" s="294"/>
      <c r="Q526" s="212"/>
      <c r="R526" s="212"/>
      <c r="S526" s="291"/>
    </row>
    <row r="527" customFormat="false" ht="15" hidden="true" customHeight="false" outlineLevel="0" collapsed="false">
      <c r="B527" s="208" t="n">
        <v>2022</v>
      </c>
      <c r="C527" s="209" t="n">
        <v>10</v>
      </c>
      <c r="D527" s="226" t="s">
        <v>44</v>
      </c>
      <c r="E527" s="221" t="n">
        <v>17891875174</v>
      </c>
      <c r="F527" s="221" t="n">
        <v>6214238</v>
      </c>
      <c r="G527" s="221" t="n">
        <v>1</v>
      </c>
      <c r="H527" s="229" t="s">
        <v>190</v>
      </c>
      <c r="I527" s="290" t="n">
        <v>5500.35</v>
      </c>
      <c r="J527" s="228" t="n">
        <v>5500.35</v>
      </c>
      <c r="K527" s="228" t="n">
        <v>5500.35</v>
      </c>
      <c r="L527" s="228" t="n">
        <v>0</v>
      </c>
      <c r="M527" s="214" t="n">
        <v>5500.35</v>
      </c>
      <c r="N527" s="294"/>
      <c r="Q527" s="212"/>
      <c r="R527" s="212"/>
      <c r="S527" s="291"/>
    </row>
    <row r="528" customFormat="false" ht="15" hidden="true" customHeight="false" outlineLevel="0" collapsed="false">
      <c r="B528" s="208" t="n">
        <v>2022</v>
      </c>
      <c r="C528" s="209" t="n">
        <v>10</v>
      </c>
      <c r="D528" s="226" t="s">
        <v>36</v>
      </c>
      <c r="E528" s="221" t="n">
        <v>14233727054</v>
      </c>
      <c r="F528" s="221" t="n">
        <v>97522331</v>
      </c>
      <c r="G528" s="221" t="n">
        <v>1</v>
      </c>
      <c r="H528" s="229" t="s">
        <v>276</v>
      </c>
      <c r="I528" s="290" t="n">
        <v>997.61</v>
      </c>
      <c r="J528" s="228" t="n">
        <v>8000</v>
      </c>
      <c r="K528" s="228" t="n">
        <v>997.61</v>
      </c>
      <c r="L528" s="228" t="n">
        <v>7002.39</v>
      </c>
      <c r="M528" s="214" t="n">
        <v>8000</v>
      </c>
      <c r="N528" s="294"/>
      <c r="Q528" s="212"/>
      <c r="R528" s="212"/>
      <c r="S528" s="291"/>
    </row>
    <row r="529" customFormat="false" ht="15" hidden="true" customHeight="false" outlineLevel="0" collapsed="false">
      <c r="B529" s="208" t="n">
        <v>2022</v>
      </c>
      <c r="C529" s="209" t="n">
        <v>10</v>
      </c>
      <c r="D529" s="226" t="s">
        <v>44</v>
      </c>
      <c r="E529" s="221" t="n">
        <v>38233125580</v>
      </c>
      <c r="F529" s="221" t="n">
        <v>95532065</v>
      </c>
      <c r="G529" s="221" t="n">
        <v>1</v>
      </c>
      <c r="H529" s="229" t="s">
        <v>289</v>
      </c>
      <c r="I529" s="290" t="n">
        <v>6062.65</v>
      </c>
      <c r="J529" s="228" t="n">
        <v>10000</v>
      </c>
      <c r="K529" s="228" t="n">
        <v>6062.65</v>
      </c>
      <c r="L529" s="228" t="n">
        <v>3937.35</v>
      </c>
      <c r="M529" s="214" t="n">
        <v>10000</v>
      </c>
      <c r="N529" s="294"/>
      <c r="Q529" s="212"/>
      <c r="R529" s="212"/>
      <c r="S529" s="291"/>
    </row>
    <row r="530" customFormat="false" ht="15" hidden="true" customHeight="false" outlineLevel="0" collapsed="false">
      <c r="B530" s="208" t="n">
        <v>2022</v>
      </c>
      <c r="C530" s="209" t="n">
        <v>10</v>
      </c>
      <c r="D530" s="226" t="s">
        <v>36</v>
      </c>
      <c r="E530" s="221" t="n">
        <v>18736701092</v>
      </c>
      <c r="F530" s="221" t="n">
        <v>95547779</v>
      </c>
      <c r="G530" s="221" t="n">
        <v>1</v>
      </c>
      <c r="H530" s="229" t="s">
        <v>127</v>
      </c>
      <c r="I530" s="290" t="n">
        <v>6500.35</v>
      </c>
      <c r="J530" s="228" t="n">
        <v>6500.35</v>
      </c>
      <c r="K530" s="228" t="n">
        <v>6500.35</v>
      </c>
      <c r="L530" s="228" t="n">
        <v>0</v>
      </c>
      <c r="M530" s="214" t="n">
        <v>6500.35</v>
      </c>
      <c r="N530" s="294"/>
      <c r="Q530" s="212"/>
      <c r="R530" s="212"/>
      <c r="S530" s="291"/>
    </row>
    <row r="531" customFormat="false" ht="15" hidden="true" customHeight="false" outlineLevel="0" collapsed="false">
      <c r="B531" s="208" t="n">
        <v>2022</v>
      </c>
      <c r="C531" s="209" t="n">
        <v>10</v>
      </c>
      <c r="D531" s="226" t="s">
        <v>44</v>
      </c>
      <c r="E531" s="221" t="n">
        <v>0</v>
      </c>
      <c r="F531" s="221" t="n">
        <v>0</v>
      </c>
      <c r="G531" s="221" t="n">
        <v>1</v>
      </c>
      <c r="H531" s="229" t="s">
        <v>74</v>
      </c>
      <c r="I531" s="290" t="n">
        <v>0</v>
      </c>
      <c r="J531" s="228" t="n">
        <v>5500</v>
      </c>
      <c r="K531" s="228" t="n">
        <v>0</v>
      </c>
      <c r="L531" s="228" t="n">
        <v>5500</v>
      </c>
      <c r="M531" s="214" t="n">
        <v>5500</v>
      </c>
      <c r="N531" s="294"/>
      <c r="Q531" s="212"/>
      <c r="R531" s="212"/>
      <c r="S531" s="291"/>
    </row>
    <row r="532" customFormat="false" ht="15" hidden="true" customHeight="false" outlineLevel="0" collapsed="false">
      <c r="B532" s="208" t="n">
        <v>2022</v>
      </c>
      <c r="C532" s="209" t="n">
        <v>10</v>
      </c>
      <c r="D532" s="226" t="s">
        <v>36</v>
      </c>
      <c r="E532" s="221" t="n">
        <v>18274523170</v>
      </c>
      <c r="F532" s="221" t="n">
        <v>95532068</v>
      </c>
      <c r="G532" s="221" t="n">
        <v>1</v>
      </c>
      <c r="H532" s="229" t="s">
        <v>14</v>
      </c>
      <c r="I532" s="290" t="n">
        <v>6584.7</v>
      </c>
      <c r="J532" s="228" t="n">
        <v>8000</v>
      </c>
      <c r="K532" s="228" t="n">
        <v>6584.7</v>
      </c>
      <c r="L532" s="228" t="n">
        <v>1415.3</v>
      </c>
      <c r="M532" s="214" t="n">
        <v>8000</v>
      </c>
      <c r="N532" s="294"/>
      <c r="Q532" s="212"/>
      <c r="R532" s="212"/>
      <c r="S532" s="291"/>
    </row>
    <row r="533" customFormat="false" ht="15" hidden="true" customHeight="false" outlineLevel="0" collapsed="false">
      <c r="B533" s="208" t="n">
        <v>2022</v>
      </c>
      <c r="C533" s="209" t="n">
        <v>10</v>
      </c>
      <c r="D533" s="226" t="s">
        <v>36</v>
      </c>
      <c r="E533" s="221" t="n">
        <v>38614007368</v>
      </c>
      <c r="F533" s="221" t="n">
        <v>97665848</v>
      </c>
      <c r="G533" s="221" t="n">
        <v>1</v>
      </c>
      <c r="H533" s="229" t="s">
        <v>75</v>
      </c>
      <c r="I533" s="290" t="n">
        <v>6117.17</v>
      </c>
      <c r="J533" s="228" t="n">
        <v>8000</v>
      </c>
      <c r="K533" s="228" t="n">
        <v>6117.17</v>
      </c>
      <c r="L533" s="228" t="n">
        <v>1882.83</v>
      </c>
      <c r="M533" s="214" t="n">
        <v>8000</v>
      </c>
      <c r="N533" s="294"/>
      <c r="Q533" s="212"/>
      <c r="R533" s="212"/>
      <c r="S533" s="291"/>
    </row>
    <row r="534" customFormat="false" ht="15" hidden="true" customHeight="false" outlineLevel="0" collapsed="false">
      <c r="B534" s="208" t="n">
        <v>2022</v>
      </c>
      <c r="C534" s="209" t="n">
        <v>10</v>
      </c>
      <c r="D534" s="226" t="s">
        <v>44</v>
      </c>
      <c r="E534" s="221" t="n">
        <v>0</v>
      </c>
      <c r="F534" s="221" t="n">
        <v>0</v>
      </c>
      <c r="G534" s="221" t="n">
        <v>1</v>
      </c>
      <c r="H534" s="229" t="s">
        <v>102</v>
      </c>
      <c r="I534" s="290" t="n">
        <v>0</v>
      </c>
      <c r="J534" s="228" t="n">
        <v>8000</v>
      </c>
      <c r="K534" s="228" t="n">
        <v>0</v>
      </c>
      <c r="L534" s="228" t="n">
        <v>8000</v>
      </c>
      <c r="M534" s="214" t="n">
        <v>8000</v>
      </c>
      <c r="N534" s="294"/>
      <c r="Q534" s="212"/>
      <c r="R534" s="212"/>
      <c r="S534" s="291"/>
    </row>
    <row r="535" customFormat="false" ht="15" hidden="true" customHeight="false" outlineLevel="0" collapsed="false">
      <c r="B535" s="208" t="n">
        <v>2022</v>
      </c>
      <c r="C535" s="209" t="n">
        <v>10</v>
      </c>
      <c r="D535" s="226" t="s">
        <v>44</v>
      </c>
      <c r="E535" s="221" t="n">
        <v>0</v>
      </c>
      <c r="F535" s="221" t="n">
        <v>0</v>
      </c>
      <c r="G535" s="221" t="n">
        <v>1</v>
      </c>
      <c r="H535" s="229" t="s">
        <v>196</v>
      </c>
      <c r="I535" s="290" t="n">
        <v>0</v>
      </c>
      <c r="J535" s="228" t="n">
        <v>5500</v>
      </c>
      <c r="K535" s="228" t="n">
        <v>0</v>
      </c>
      <c r="L535" s="228" t="n">
        <v>5500</v>
      </c>
      <c r="M535" s="214" t="n">
        <v>5500</v>
      </c>
      <c r="N535" s="294"/>
      <c r="Q535" s="212"/>
      <c r="R535" s="212"/>
      <c r="S535" s="291"/>
    </row>
    <row r="536" customFormat="false" ht="15" hidden="true" customHeight="false" outlineLevel="0" collapsed="false">
      <c r="B536" s="208" t="n">
        <v>2022</v>
      </c>
      <c r="C536" s="209" t="n">
        <v>10</v>
      </c>
      <c r="D536" s="226" t="n">
        <v>0</v>
      </c>
      <c r="E536" s="221" t="n">
        <v>0</v>
      </c>
      <c r="F536" s="221" t="n">
        <v>0</v>
      </c>
      <c r="G536" s="221" t="n">
        <v>1</v>
      </c>
      <c r="H536" s="229" t="s">
        <v>294</v>
      </c>
      <c r="I536" s="290" t="n">
        <v>0</v>
      </c>
      <c r="J536" s="228" t="n">
        <v>8000</v>
      </c>
      <c r="K536" s="228" t="n">
        <v>0</v>
      </c>
      <c r="L536" s="228" t="n">
        <v>8000</v>
      </c>
      <c r="M536" s="214" t="n">
        <v>8000</v>
      </c>
      <c r="N536" s="294"/>
      <c r="Q536" s="212"/>
      <c r="R536" s="212"/>
      <c r="S536" s="291"/>
    </row>
    <row r="537" customFormat="false" ht="15" hidden="true" customHeight="false" outlineLevel="0" collapsed="false">
      <c r="B537" s="208" t="n">
        <v>2022</v>
      </c>
      <c r="C537" s="209" t="n">
        <v>10</v>
      </c>
      <c r="D537" s="226" t="s">
        <v>44</v>
      </c>
      <c r="E537" s="221" t="n">
        <v>74524099696</v>
      </c>
      <c r="F537" s="221" t="n">
        <v>98127163</v>
      </c>
      <c r="G537" s="221" t="n">
        <v>1</v>
      </c>
      <c r="H537" s="229" t="s">
        <v>66</v>
      </c>
      <c r="I537" s="290" t="n">
        <v>6500.35</v>
      </c>
      <c r="J537" s="228" t="n">
        <v>6500</v>
      </c>
      <c r="K537" s="228" t="n">
        <v>6500.35</v>
      </c>
      <c r="L537" s="228" t="n">
        <v>-0.35</v>
      </c>
      <c r="M537" s="214" t="n">
        <v>6500</v>
      </c>
      <c r="N537" s="294"/>
      <c r="Q537" s="212"/>
      <c r="R537" s="212"/>
      <c r="S537" s="291"/>
    </row>
    <row r="538" customFormat="false" ht="15" hidden="true" customHeight="false" outlineLevel="0" collapsed="false">
      <c r="B538" s="208" t="n">
        <v>2022</v>
      </c>
      <c r="C538" s="209" t="n">
        <v>10</v>
      </c>
      <c r="D538" s="226" t="s">
        <v>44</v>
      </c>
      <c r="E538" s="221" t="n">
        <v>64996156028</v>
      </c>
      <c r="F538" s="221" t="n">
        <v>95539771</v>
      </c>
      <c r="G538" s="221" t="n">
        <v>1</v>
      </c>
      <c r="H538" s="229" t="s">
        <v>55</v>
      </c>
      <c r="I538" s="290" t="n">
        <v>5500.35</v>
      </c>
      <c r="J538" s="228" t="n">
        <v>8000</v>
      </c>
      <c r="K538" s="228" t="n">
        <v>5500.35</v>
      </c>
      <c r="L538" s="228" t="n">
        <v>2499.65</v>
      </c>
      <c r="M538" s="214" t="n">
        <v>8000</v>
      </c>
      <c r="N538" s="294"/>
      <c r="Q538" s="212"/>
      <c r="R538" s="212"/>
      <c r="S538" s="291"/>
    </row>
    <row r="539" customFormat="false" ht="15" hidden="true" customHeight="false" outlineLevel="0" collapsed="false">
      <c r="B539" s="208" t="n">
        <v>2022</v>
      </c>
      <c r="C539" s="209" t="n">
        <v>11</v>
      </c>
      <c r="D539" s="226" t="s">
        <v>44</v>
      </c>
      <c r="E539" s="221" t="n">
        <v>28699369338</v>
      </c>
      <c r="F539" s="221" t="n">
        <v>96358353</v>
      </c>
      <c r="G539" s="221" t="n">
        <v>1</v>
      </c>
      <c r="H539" s="229" t="s">
        <v>79</v>
      </c>
      <c r="I539" s="237" t="n">
        <v>7000</v>
      </c>
      <c r="J539" s="228" t="n">
        <v>10000</v>
      </c>
      <c r="K539" s="228" t="n">
        <v>7000</v>
      </c>
      <c r="L539" s="228" t="n">
        <v>3000</v>
      </c>
      <c r="M539" s="214" t="n">
        <v>10000</v>
      </c>
      <c r="N539" s="294"/>
      <c r="Q539" s="212"/>
      <c r="R539" s="212"/>
      <c r="S539" s="291"/>
    </row>
    <row r="540" customFormat="false" ht="15" hidden="true" customHeight="false" outlineLevel="0" collapsed="false">
      <c r="B540" s="208" t="n">
        <v>2022</v>
      </c>
      <c r="C540" s="209" t="n">
        <v>11</v>
      </c>
      <c r="D540" s="226" t="s">
        <v>44</v>
      </c>
      <c r="E540" s="221" t="n">
        <v>63097169876</v>
      </c>
      <c r="F540" s="221" t="n">
        <v>96843148</v>
      </c>
      <c r="G540" s="221" t="n">
        <v>1</v>
      </c>
      <c r="H540" s="229" t="s">
        <v>122</v>
      </c>
      <c r="I540" s="237" t="n">
        <v>6520.53</v>
      </c>
      <c r="J540" s="228" t="n">
        <v>9000</v>
      </c>
      <c r="K540" s="228" t="n">
        <v>6520.53</v>
      </c>
      <c r="L540" s="228" t="n">
        <v>2479.47</v>
      </c>
      <c r="M540" s="214" t="n">
        <v>9000</v>
      </c>
      <c r="N540" s="294"/>
      <c r="Q540" s="212"/>
      <c r="R540" s="212"/>
      <c r="S540" s="291"/>
    </row>
    <row r="541" customFormat="false" ht="15" hidden="true" customHeight="false" outlineLevel="0" collapsed="false">
      <c r="B541" s="208" t="n">
        <v>2022</v>
      </c>
      <c r="C541" s="209" t="n">
        <v>11</v>
      </c>
      <c r="D541" s="226" t="s">
        <v>44</v>
      </c>
      <c r="E541" s="221" t="n">
        <v>36826974454</v>
      </c>
      <c r="F541" s="221" t="n">
        <v>95573006</v>
      </c>
      <c r="G541" s="221" t="n">
        <v>1</v>
      </c>
      <c r="H541" s="229" t="s">
        <v>188</v>
      </c>
      <c r="I541" s="237" t="n">
        <v>3666.67</v>
      </c>
      <c r="J541" s="228" t="n">
        <v>5500</v>
      </c>
      <c r="K541" s="228" t="n">
        <v>3666.67</v>
      </c>
      <c r="L541" s="228" t="n">
        <v>1833.33</v>
      </c>
      <c r="M541" s="214" t="n">
        <v>5500</v>
      </c>
      <c r="N541" s="294"/>
      <c r="Q541" s="212"/>
      <c r="R541" s="212"/>
      <c r="S541" s="291"/>
    </row>
    <row r="542" customFormat="false" ht="15" hidden="true" customHeight="false" outlineLevel="0" collapsed="false">
      <c r="B542" s="208" t="n">
        <v>2022</v>
      </c>
      <c r="C542" s="209" t="n">
        <v>11</v>
      </c>
      <c r="D542" s="226" t="s">
        <v>44</v>
      </c>
      <c r="E542" s="221" t="n">
        <v>17630785580</v>
      </c>
      <c r="F542" s="221" t="n">
        <v>95529415</v>
      </c>
      <c r="G542" s="221" t="n">
        <v>1</v>
      </c>
      <c r="H542" s="229" t="s">
        <v>81</v>
      </c>
      <c r="I542" s="237" t="n">
        <v>5888.61</v>
      </c>
      <c r="J542" s="228" t="n">
        <v>18888.61</v>
      </c>
      <c r="K542" s="228" t="n">
        <v>5888.61</v>
      </c>
      <c r="L542" s="228" t="n">
        <v>13000</v>
      </c>
      <c r="M542" s="214" t="n">
        <v>18888.61</v>
      </c>
      <c r="N542" s="294"/>
      <c r="Q542" s="212"/>
      <c r="R542" s="212"/>
      <c r="S542" s="291"/>
    </row>
    <row r="543" customFormat="false" ht="15" hidden="true" customHeight="false" outlineLevel="0" collapsed="false">
      <c r="B543" s="208" t="n">
        <v>2022</v>
      </c>
      <c r="C543" s="209" t="n">
        <v>11</v>
      </c>
      <c r="D543" s="226" t="s">
        <v>44</v>
      </c>
      <c r="E543" s="221" t="n">
        <v>55186680706</v>
      </c>
      <c r="F543" s="221" t="n">
        <v>95787183</v>
      </c>
      <c r="G543" s="221" t="n">
        <v>1</v>
      </c>
      <c r="H543" s="229" t="s">
        <v>73</v>
      </c>
      <c r="I543" s="237" t="n">
        <v>2750.17</v>
      </c>
      <c r="J543" s="228" t="n">
        <v>2750.17</v>
      </c>
      <c r="K543" s="228" t="n">
        <v>2750.17</v>
      </c>
      <c r="L543" s="228" t="n">
        <v>0</v>
      </c>
      <c r="M543" s="214" t="n">
        <v>2750.17</v>
      </c>
      <c r="N543" s="294"/>
      <c r="Q543" s="212"/>
      <c r="R543" s="212"/>
      <c r="S543" s="291"/>
    </row>
    <row r="544" customFormat="false" ht="15" hidden="true" customHeight="false" outlineLevel="0" collapsed="false">
      <c r="B544" s="208" t="n">
        <v>2022</v>
      </c>
      <c r="C544" s="209" t="n">
        <v>11</v>
      </c>
      <c r="D544" s="226" t="s">
        <v>44</v>
      </c>
      <c r="E544" s="221" t="n">
        <v>21242693324</v>
      </c>
      <c r="F544" s="221" t="n">
        <v>95532064</v>
      </c>
      <c r="G544" s="221" t="n">
        <v>1</v>
      </c>
      <c r="H544" s="229" t="s">
        <v>85</v>
      </c>
      <c r="I544" s="237" t="n">
        <v>6080.5</v>
      </c>
      <c r="J544" s="228" t="n">
        <v>6080.5</v>
      </c>
      <c r="K544" s="228" t="n">
        <v>6080.5</v>
      </c>
      <c r="L544" s="228" t="n">
        <v>0</v>
      </c>
      <c r="M544" s="214" t="n">
        <v>6080.5</v>
      </c>
      <c r="N544" s="294"/>
      <c r="Q544" s="212"/>
      <c r="R544" s="212"/>
      <c r="S544" s="291"/>
    </row>
    <row r="545" customFormat="false" ht="15" hidden="true" customHeight="false" outlineLevel="0" collapsed="false">
      <c r="B545" s="208" t="n">
        <v>2022</v>
      </c>
      <c r="C545" s="209" t="n">
        <v>11</v>
      </c>
      <c r="D545" s="226" t="s">
        <v>44</v>
      </c>
      <c r="E545" s="221" t="n">
        <v>17159801204</v>
      </c>
      <c r="F545" s="221" t="n">
        <v>95532066</v>
      </c>
      <c r="G545" s="221" t="n">
        <v>1</v>
      </c>
      <c r="H545" s="229" t="s">
        <v>87</v>
      </c>
      <c r="I545" s="237" t="n">
        <v>6080.5</v>
      </c>
      <c r="J545" s="228" t="n">
        <v>6080.5</v>
      </c>
      <c r="K545" s="228" t="n">
        <v>6080.5</v>
      </c>
      <c r="L545" s="228" t="n">
        <v>0</v>
      </c>
      <c r="M545" s="214" t="n">
        <v>6080.5</v>
      </c>
      <c r="N545" s="294"/>
      <c r="Q545" s="212"/>
      <c r="R545" s="212"/>
      <c r="S545" s="291"/>
    </row>
    <row r="546" customFormat="false" ht="15" hidden="true" customHeight="false" outlineLevel="0" collapsed="false">
      <c r="B546" s="208" t="n">
        <v>2022</v>
      </c>
      <c r="C546" s="209" t="n">
        <v>11</v>
      </c>
      <c r="D546" s="226" t="s">
        <v>44</v>
      </c>
      <c r="E546" s="221" t="n">
        <v>23764482950</v>
      </c>
      <c r="F546" s="221" t="n">
        <v>95532077</v>
      </c>
      <c r="G546" s="221" t="n">
        <v>1</v>
      </c>
      <c r="H546" s="229" t="s">
        <v>93</v>
      </c>
      <c r="I546" s="237" t="n">
        <v>997.61</v>
      </c>
      <c r="J546" s="228" t="n">
        <v>9000</v>
      </c>
      <c r="K546" s="228" t="n">
        <v>997.61</v>
      </c>
      <c r="L546" s="228" t="n">
        <v>8002.39</v>
      </c>
      <c r="M546" s="214" t="n">
        <v>9000</v>
      </c>
      <c r="N546" s="294"/>
      <c r="Q546" s="212"/>
      <c r="R546" s="212"/>
      <c r="S546" s="291"/>
    </row>
    <row r="547" customFormat="false" ht="15" hidden="true" customHeight="false" outlineLevel="0" collapsed="false">
      <c r="B547" s="208" t="n">
        <v>2022</v>
      </c>
      <c r="C547" s="209" t="n">
        <v>11</v>
      </c>
      <c r="D547" s="226" t="s">
        <v>36</v>
      </c>
      <c r="E547" s="221" t="n">
        <v>25672444846</v>
      </c>
      <c r="F547" s="221" t="n">
        <v>95693810</v>
      </c>
      <c r="G547" s="221" t="n">
        <v>1</v>
      </c>
      <c r="H547" s="229" t="s">
        <v>245</v>
      </c>
      <c r="I547" s="237" t="n">
        <v>6080.5</v>
      </c>
      <c r="J547" s="228" t="n">
        <v>8000</v>
      </c>
      <c r="K547" s="228" t="n">
        <v>6080.5</v>
      </c>
      <c r="L547" s="228" t="n">
        <v>1919.5</v>
      </c>
      <c r="M547" s="214" t="n">
        <v>8000</v>
      </c>
      <c r="N547" s="294"/>
      <c r="Q547" s="212"/>
      <c r="R547" s="212"/>
      <c r="S547" s="291"/>
    </row>
    <row r="548" customFormat="false" ht="15" hidden="true" customHeight="false" outlineLevel="0" collapsed="false">
      <c r="B548" s="208" t="n">
        <v>2022</v>
      </c>
      <c r="C548" s="209" t="n">
        <v>11</v>
      </c>
      <c r="D548" s="226" t="s">
        <v>44</v>
      </c>
      <c r="E548" s="221" t="n">
        <v>33853146700</v>
      </c>
      <c r="F548" s="221" t="n">
        <v>96959868</v>
      </c>
      <c r="G548" s="221" t="n">
        <v>1</v>
      </c>
      <c r="H548" s="229" t="s">
        <v>247</v>
      </c>
      <c r="I548" s="237" t="n">
        <v>6520.53</v>
      </c>
      <c r="J548" s="228" t="n">
        <v>9000</v>
      </c>
      <c r="K548" s="228" t="n">
        <v>6520.53</v>
      </c>
      <c r="L548" s="228" t="n">
        <v>1479.47</v>
      </c>
      <c r="M548" s="214" t="n">
        <v>8000</v>
      </c>
      <c r="N548" s="294" t="n">
        <v>-1000</v>
      </c>
      <c r="Q548" s="212"/>
      <c r="R548" s="212"/>
      <c r="S548" s="291"/>
    </row>
    <row r="549" customFormat="false" ht="15" hidden="true" customHeight="false" outlineLevel="0" collapsed="false">
      <c r="B549" s="208" t="n">
        <v>2022</v>
      </c>
      <c r="C549" s="209" t="n">
        <v>11</v>
      </c>
      <c r="D549" s="226" t="s">
        <v>44</v>
      </c>
      <c r="E549" s="221" t="n">
        <v>51994540164</v>
      </c>
      <c r="F549" s="221" t="n">
        <v>96900867</v>
      </c>
      <c r="G549" s="221" t="n">
        <v>1</v>
      </c>
      <c r="H549" s="229" t="s">
        <v>97</v>
      </c>
      <c r="I549" s="237" t="n">
        <v>5888.61</v>
      </c>
      <c r="J549" s="228" t="n">
        <v>5888.61</v>
      </c>
      <c r="K549" s="228" t="n">
        <v>5888.61</v>
      </c>
      <c r="L549" s="228" t="n">
        <v>0</v>
      </c>
      <c r="M549" s="214" t="n">
        <v>5888.61</v>
      </c>
      <c r="N549" s="294"/>
      <c r="Q549" s="212"/>
      <c r="R549" s="212"/>
      <c r="S549" s="291"/>
    </row>
    <row r="550" customFormat="false" ht="15" hidden="true" customHeight="false" outlineLevel="0" collapsed="false">
      <c r="B550" s="208" t="n">
        <v>2022</v>
      </c>
      <c r="C550" s="209" t="n">
        <v>11</v>
      </c>
      <c r="D550" s="226" t="s">
        <v>44</v>
      </c>
      <c r="E550" s="221" t="n">
        <v>52657562356</v>
      </c>
      <c r="F550" s="221" t="n">
        <v>97011710</v>
      </c>
      <c r="G550" s="221" t="n">
        <v>1</v>
      </c>
      <c r="H550" s="229" t="s">
        <v>248</v>
      </c>
      <c r="I550" s="237" t="n">
        <v>5500.35</v>
      </c>
      <c r="J550" s="228" t="n">
        <v>5500.35</v>
      </c>
      <c r="K550" s="228" t="n">
        <v>5500.35</v>
      </c>
      <c r="L550" s="228" t="n">
        <v>0</v>
      </c>
      <c r="M550" s="214" t="n">
        <v>5500.35</v>
      </c>
      <c r="N550" s="294"/>
      <c r="Q550" s="212"/>
      <c r="R550" s="212"/>
      <c r="S550" s="291"/>
    </row>
    <row r="551" customFormat="false" ht="15" hidden="true" customHeight="false" outlineLevel="0" collapsed="false">
      <c r="B551" s="208" t="n">
        <v>2022</v>
      </c>
      <c r="C551" s="209" t="n">
        <v>11</v>
      </c>
      <c r="D551" s="226" t="s">
        <v>36</v>
      </c>
      <c r="E551" s="221" t="n">
        <v>10459950610</v>
      </c>
      <c r="F551" s="221" t="n">
        <v>97226520</v>
      </c>
      <c r="G551" s="221" t="n">
        <v>1</v>
      </c>
      <c r="H551" s="229" t="s">
        <v>195</v>
      </c>
      <c r="I551" s="237" t="n">
        <v>4560.38</v>
      </c>
      <c r="J551" s="228" t="n">
        <v>6479.88</v>
      </c>
      <c r="K551" s="228" t="n">
        <v>4560.38</v>
      </c>
      <c r="L551" s="228" t="n">
        <v>1919.5</v>
      </c>
      <c r="M551" s="214" t="n">
        <v>6479.88</v>
      </c>
      <c r="N551" s="294"/>
      <c r="O551" s="212" t="s">
        <v>306</v>
      </c>
      <c r="P551" s="212" t="n">
        <v>-1520.12</v>
      </c>
      <c r="Q551" s="212"/>
      <c r="R551" s="212"/>
      <c r="S551" s="212" t="s">
        <v>306</v>
      </c>
    </row>
    <row r="552" customFormat="false" ht="15" hidden="true" customHeight="false" outlineLevel="0" collapsed="false">
      <c r="B552" s="208" t="n">
        <v>2022</v>
      </c>
      <c r="C552" s="209" t="n">
        <v>11</v>
      </c>
      <c r="D552" s="226" t="s">
        <v>44</v>
      </c>
      <c r="E552" s="221" t="n">
        <v>23713484608</v>
      </c>
      <c r="F552" s="221" t="n">
        <v>97189681</v>
      </c>
      <c r="G552" s="221" t="n">
        <v>1</v>
      </c>
      <c r="H552" s="229" t="s">
        <v>100</v>
      </c>
      <c r="I552" s="237" t="n">
        <v>6080.5</v>
      </c>
      <c r="J552" s="228" t="n">
        <v>7500</v>
      </c>
      <c r="K552" s="228" t="n">
        <v>6080.5</v>
      </c>
      <c r="L552" s="228" t="n">
        <v>1119.5</v>
      </c>
      <c r="M552" s="214" t="n">
        <v>7200</v>
      </c>
      <c r="N552" s="294" t="n">
        <v>-300</v>
      </c>
      <c r="Q552" s="212"/>
      <c r="R552" s="212"/>
      <c r="S552" s="291"/>
    </row>
    <row r="553" customFormat="false" ht="15" hidden="true" customHeight="false" outlineLevel="0" collapsed="false">
      <c r="B553" s="208" t="n">
        <v>2022</v>
      </c>
      <c r="C553" s="209" t="n">
        <v>11</v>
      </c>
      <c r="D553" s="226" t="s">
        <v>44</v>
      </c>
      <c r="E553" s="221" t="n">
        <v>17891875174</v>
      </c>
      <c r="F553" s="221" t="n">
        <v>6214238</v>
      </c>
      <c r="G553" s="221" t="n">
        <v>1</v>
      </c>
      <c r="H553" s="229" t="s">
        <v>190</v>
      </c>
      <c r="I553" s="237" t="n">
        <v>5500.35</v>
      </c>
      <c r="J553" s="228" t="n">
        <v>5500.35</v>
      </c>
      <c r="K553" s="228" t="n">
        <v>5500.35</v>
      </c>
      <c r="L553" s="228" t="n">
        <v>0</v>
      </c>
      <c r="M553" s="214" t="n">
        <v>5500.35</v>
      </c>
      <c r="N553" s="294"/>
      <c r="Q553" s="212"/>
      <c r="R553" s="212"/>
      <c r="S553" s="291"/>
    </row>
    <row r="554" customFormat="false" ht="15" hidden="true" customHeight="false" outlineLevel="0" collapsed="false">
      <c r="B554" s="208" t="n">
        <v>2022</v>
      </c>
      <c r="C554" s="209" t="n">
        <v>11</v>
      </c>
      <c r="D554" s="226" t="s">
        <v>36</v>
      </c>
      <c r="E554" s="221" t="n">
        <v>14233727054</v>
      </c>
      <c r="F554" s="221" t="n">
        <v>97522331</v>
      </c>
      <c r="G554" s="221" t="n">
        <v>1</v>
      </c>
      <c r="H554" s="229" t="s">
        <v>276</v>
      </c>
      <c r="I554" s="237" t="n">
        <v>997.61</v>
      </c>
      <c r="J554" s="228" t="n">
        <v>8000</v>
      </c>
      <c r="K554" s="228" t="n">
        <v>997.61</v>
      </c>
      <c r="L554" s="228" t="n">
        <v>7002.39</v>
      </c>
      <c r="M554" s="214" t="n">
        <v>8000</v>
      </c>
      <c r="N554" s="294"/>
      <c r="Q554" s="212"/>
      <c r="R554" s="212"/>
      <c r="S554" s="291"/>
    </row>
    <row r="555" customFormat="false" ht="15" hidden="true" customHeight="false" outlineLevel="0" collapsed="false">
      <c r="B555" s="208" t="n">
        <v>2022</v>
      </c>
      <c r="C555" s="209" t="n">
        <v>11</v>
      </c>
      <c r="D555" s="226" t="s">
        <v>44</v>
      </c>
      <c r="E555" s="221" t="n">
        <v>38233125580</v>
      </c>
      <c r="F555" s="221" t="n">
        <v>95532065</v>
      </c>
      <c r="G555" s="221" t="n">
        <v>1</v>
      </c>
      <c r="H555" s="229" t="s">
        <v>289</v>
      </c>
      <c r="I555" s="237" t="n">
        <v>6080.5</v>
      </c>
      <c r="J555" s="228" t="n">
        <v>10000</v>
      </c>
      <c r="K555" s="228" t="n">
        <v>6080.5</v>
      </c>
      <c r="L555" s="228" t="n">
        <v>3919.5</v>
      </c>
      <c r="M555" s="214" t="n">
        <v>10000</v>
      </c>
      <c r="N555" s="294"/>
      <c r="Q555" s="212"/>
      <c r="R555" s="212"/>
      <c r="S555" s="291"/>
    </row>
    <row r="556" customFormat="false" ht="15" hidden="true" customHeight="false" outlineLevel="0" collapsed="false">
      <c r="B556" s="208" t="n">
        <v>2022</v>
      </c>
      <c r="C556" s="209" t="n">
        <v>11</v>
      </c>
      <c r="D556" s="226" t="s">
        <v>36</v>
      </c>
      <c r="E556" s="221" t="n">
        <v>18736701092</v>
      </c>
      <c r="F556" s="221" t="n">
        <v>95547779</v>
      </c>
      <c r="G556" s="221" t="n">
        <v>1</v>
      </c>
      <c r="H556" s="229" t="s">
        <v>127</v>
      </c>
      <c r="I556" s="237" t="n">
        <v>6500.35</v>
      </c>
      <c r="J556" s="228" t="n">
        <v>6500.35</v>
      </c>
      <c r="K556" s="228" t="n">
        <v>6500.35</v>
      </c>
      <c r="L556" s="228" t="n">
        <v>0</v>
      </c>
      <c r="M556" s="214" t="n">
        <v>6500.35</v>
      </c>
      <c r="N556" s="294"/>
      <c r="Q556" s="212"/>
      <c r="R556" s="212"/>
      <c r="S556" s="291"/>
    </row>
    <row r="557" customFormat="false" ht="15" hidden="true" customHeight="false" outlineLevel="0" collapsed="false">
      <c r="B557" s="208" t="n">
        <v>2022</v>
      </c>
      <c r="C557" s="209" t="n">
        <v>11</v>
      </c>
      <c r="D557" s="226" t="s">
        <v>44</v>
      </c>
      <c r="E557" s="221" t="n">
        <v>0</v>
      </c>
      <c r="F557" s="221" t="n">
        <v>0</v>
      </c>
      <c r="G557" s="221" t="n">
        <v>1</v>
      </c>
      <c r="H557" s="229" t="s">
        <v>74</v>
      </c>
      <c r="I557" s="237" t="n">
        <v>0</v>
      </c>
      <c r="J557" s="228" t="n">
        <v>5500</v>
      </c>
      <c r="K557" s="228" t="n">
        <v>0</v>
      </c>
      <c r="L557" s="228" t="n">
        <v>5500</v>
      </c>
      <c r="M557" s="214" t="n">
        <v>5500</v>
      </c>
      <c r="N557" s="294"/>
      <c r="Q557" s="212"/>
      <c r="R557" s="212"/>
      <c r="S557" s="291"/>
    </row>
    <row r="558" customFormat="false" ht="15" hidden="true" customHeight="false" outlineLevel="0" collapsed="false">
      <c r="B558" s="208" t="n">
        <v>2022</v>
      </c>
      <c r="C558" s="209" t="n">
        <v>11</v>
      </c>
      <c r="D558" s="226" t="s">
        <v>36</v>
      </c>
      <c r="E558" s="221" t="n">
        <v>18274523170</v>
      </c>
      <c r="F558" s="221" t="n">
        <v>95532068</v>
      </c>
      <c r="G558" s="221" t="n">
        <v>1</v>
      </c>
      <c r="H558" s="229" t="s">
        <v>14</v>
      </c>
      <c r="I558" s="237" t="n">
        <v>6584.7</v>
      </c>
      <c r="J558" s="228" t="n">
        <v>8000</v>
      </c>
      <c r="K558" s="228" t="n">
        <v>6584.7</v>
      </c>
      <c r="L558" s="228" t="n">
        <v>715.3</v>
      </c>
      <c r="M558" s="214" t="n">
        <v>7300</v>
      </c>
      <c r="N558" s="294" t="n">
        <v>-700</v>
      </c>
      <c r="Q558" s="212"/>
      <c r="R558" s="212"/>
      <c r="S558" s="291"/>
    </row>
    <row r="559" customFormat="false" ht="15" hidden="true" customHeight="false" outlineLevel="0" collapsed="false">
      <c r="B559" s="208" t="n">
        <v>2022</v>
      </c>
      <c r="C559" s="209" t="n">
        <v>11</v>
      </c>
      <c r="D559" s="226" t="s">
        <v>36</v>
      </c>
      <c r="E559" s="221" t="n">
        <v>38614007368</v>
      </c>
      <c r="F559" s="221" t="n">
        <v>97665848</v>
      </c>
      <c r="G559" s="221" t="n">
        <v>1</v>
      </c>
      <c r="H559" s="229" t="s">
        <v>75</v>
      </c>
      <c r="I559" s="237" t="n">
        <v>4070.25</v>
      </c>
      <c r="J559" s="228" t="n">
        <v>5953.08</v>
      </c>
      <c r="K559" s="228" t="n">
        <v>4070.25</v>
      </c>
      <c r="L559" s="228" t="n">
        <v>1882.83</v>
      </c>
      <c r="M559" s="214" t="n">
        <v>5953.08</v>
      </c>
      <c r="N559" s="294"/>
      <c r="O559" s="212" t="s">
        <v>307</v>
      </c>
      <c r="P559" s="212" t="n">
        <v>-2046.92</v>
      </c>
      <c r="Q559" s="212"/>
      <c r="R559" s="212"/>
      <c r="S559" s="212" t="s">
        <v>307</v>
      </c>
    </row>
    <row r="560" customFormat="false" ht="15" hidden="true" customHeight="false" outlineLevel="0" collapsed="false">
      <c r="B560" s="208" t="n">
        <v>2022</v>
      </c>
      <c r="C560" s="209" t="n">
        <v>11</v>
      </c>
      <c r="D560" s="226" t="s">
        <v>44</v>
      </c>
      <c r="E560" s="221" t="n">
        <v>0</v>
      </c>
      <c r="F560" s="221" t="n">
        <v>0</v>
      </c>
      <c r="G560" s="221" t="n">
        <v>1</v>
      </c>
      <c r="H560" s="229" t="s">
        <v>102</v>
      </c>
      <c r="I560" s="237" t="n">
        <v>0</v>
      </c>
      <c r="J560" s="228" t="n">
        <v>8000</v>
      </c>
      <c r="K560" s="228" t="n">
        <v>0</v>
      </c>
      <c r="L560" s="228" t="n">
        <v>8000</v>
      </c>
      <c r="M560" s="214" t="n">
        <v>8000</v>
      </c>
      <c r="N560" s="294"/>
      <c r="Q560" s="212"/>
      <c r="R560" s="212"/>
      <c r="S560" s="291"/>
    </row>
    <row r="561" customFormat="false" ht="15" hidden="true" customHeight="false" outlineLevel="0" collapsed="false">
      <c r="B561" s="208" t="n">
        <v>2022</v>
      </c>
      <c r="C561" s="209" t="n">
        <v>11</v>
      </c>
      <c r="D561" s="226" t="s">
        <v>44</v>
      </c>
      <c r="E561" s="221" t="n">
        <v>0</v>
      </c>
      <c r="F561" s="221" t="n">
        <v>0</v>
      </c>
      <c r="G561" s="221" t="n">
        <v>1</v>
      </c>
      <c r="H561" s="229" t="s">
        <v>196</v>
      </c>
      <c r="I561" s="237" t="n">
        <v>0</v>
      </c>
      <c r="J561" s="228" t="n">
        <v>5500</v>
      </c>
      <c r="K561" s="228" t="n">
        <v>0</v>
      </c>
      <c r="L561" s="228" t="n">
        <v>3500</v>
      </c>
      <c r="M561" s="214" t="n">
        <v>3500</v>
      </c>
      <c r="N561" s="294" t="n">
        <v>-2000</v>
      </c>
      <c r="Q561" s="212"/>
      <c r="R561" s="212"/>
      <c r="S561" s="291"/>
    </row>
    <row r="562" customFormat="false" ht="15" hidden="true" customHeight="false" outlineLevel="0" collapsed="false">
      <c r="B562" s="208" t="n">
        <v>2022</v>
      </c>
      <c r="C562" s="209" t="n">
        <v>11</v>
      </c>
      <c r="D562" s="226" t="s">
        <v>44</v>
      </c>
      <c r="E562" s="221" t="n">
        <v>74524099696</v>
      </c>
      <c r="F562" s="221" t="n">
        <v>98127163</v>
      </c>
      <c r="G562" s="221" t="n">
        <v>1</v>
      </c>
      <c r="H562" s="229" t="s">
        <v>66</v>
      </c>
      <c r="I562" s="237" t="n">
        <v>6500.35</v>
      </c>
      <c r="J562" s="228" t="n">
        <v>6500.35</v>
      </c>
      <c r="K562" s="228" t="n">
        <v>6500.35</v>
      </c>
      <c r="L562" s="228" t="n">
        <v>0</v>
      </c>
      <c r="M562" s="214" t="n">
        <v>6500.35</v>
      </c>
      <c r="N562" s="294"/>
      <c r="Q562" s="212"/>
      <c r="R562" s="212"/>
      <c r="S562" s="291"/>
    </row>
    <row r="563" customFormat="false" ht="16.5" hidden="true" customHeight="true" outlineLevel="0" collapsed="false">
      <c r="B563" s="208" t="n">
        <v>2022</v>
      </c>
      <c r="C563" s="209" t="n">
        <v>11</v>
      </c>
      <c r="D563" s="226" t="s">
        <v>44</v>
      </c>
      <c r="E563" s="221" t="n">
        <v>22093575890</v>
      </c>
      <c r="F563" s="221" t="n">
        <v>96260905</v>
      </c>
      <c r="G563" s="269" t="n">
        <v>1</v>
      </c>
      <c r="H563" s="229" t="s">
        <v>133</v>
      </c>
      <c r="I563" s="237" t="n">
        <v>0</v>
      </c>
      <c r="J563" s="228" t="n">
        <v>8000</v>
      </c>
      <c r="K563" s="228" t="n">
        <v>0</v>
      </c>
      <c r="L563" s="228" t="n">
        <v>8000</v>
      </c>
      <c r="M563" s="214" t="n">
        <v>8000</v>
      </c>
      <c r="N563" s="294"/>
      <c r="Q563" s="212"/>
      <c r="R563" s="212"/>
      <c r="S563" s="291"/>
    </row>
    <row r="564" customFormat="false" ht="15" hidden="true" customHeight="false" outlineLevel="0" collapsed="false">
      <c r="B564" s="208" t="n">
        <v>2022</v>
      </c>
      <c r="C564" s="209" t="n">
        <v>11</v>
      </c>
      <c r="D564" s="226" t="s">
        <v>44</v>
      </c>
      <c r="E564" s="221" t="n">
        <v>64996156028</v>
      </c>
      <c r="F564" s="221" t="n">
        <v>95539771</v>
      </c>
      <c r="G564" s="221" t="n">
        <v>1</v>
      </c>
      <c r="H564" s="229" t="s">
        <v>55</v>
      </c>
      <c r="I564" s="237" t="n">
        <v>5500.35</v>
      </c>
      <c r="J564" s="228" t="n">
        <v>8000</v>
      </c>
      <c r="K564" s="228" t="n">
        <v>5500.35</v>
      </c>
      <c r="L564" s="228" t="n">
        <v>2499.65</v>
      </c>
      <c r="M564" s="214" t="n">
        <v>8000</v>
      </c>
      <c r="N564" s="294"/>
      <c r="Q564" s="212"/>
      <c r="R564" s="212"/>
      <c r="S564" s="291"/>
    </row>
    <row r="565" customFormat="false" ht="15" hidden="true" customHeight="false" outlineLevel="0" collapsed="false">
      <c r="B565" s="208" t="n">
        <v>2022</v>
      </c>
      <c r="C565" s="209" t="n">
        <v>12</v>
      </c>
      <c r="D565" s="226" t="s">
        <v>44</v>
      </c>
      <c r="E565" s="221" t="n">
        <v>28699369338</v>
      </c>
      <c r="F565" s="221" t="n">
        <v>96358353</v>
      </c>
      <c r="G565" s="221" t="n">
        <v>1</v>
      </c>
      <c r="H565" s="229" t="s">
        <v>79</v>
      </c>
      <c r="I565" s="237" t="n">
        <v>7000</v>
      </c>
      <c r="J565" s="228" t="n">
        <v>10000</v>
      </c>
      <c r="K565" s="228" t="n">
        <v>7000</v>
      </c>
      <c r="L565" s="228" t="n">
        <v>3000</v>
      </c>
      <c r="M565" s="214" t="n">
        <v>10000</v>
      </c>
      <c r="N565" s="294"/>
      <c r="Q565" s="212"/>
      <c r="R565" s="212"/>
      <c r="S565" s="291"/>
    </row>
    <row r="566" customFormat="false" ht="15" hidden="true" customHeight="false" outlineLevel="0" collapsed="false">
      <c r="B566" s="208" t="n">
        <v>2022</v>
      </c>
      <c r="C566" s="209" t="n">
        <v>12</v>
      </c>
      <c r="D566" s="226" t="s">
        <v>44</v>
      </c>
      <c r="E566" s="221" t="n">
        <v>63097169876</v>
      </c>
      <c r="F566" s="221" t="n">
        <v>96843148</v>
      </c>
      <c r="G566" s="221" t="n">
        <v>1</v>
      </c>
      <c r="H566" s="229" t="s">
        <v>122</v>
      </c>
      <c r="I566" s="237" t="n">
        <v>6454.49</v>
      </c>
      <c r="J566" s="228" t="n">
        <v>9000</v>
      </c>
      <c r="K566" s="228" t="n">
        <v>6454.49</v>
      </c>
      <c r="L566" s="228" t="n">
        <v>2545.51</v>
      </c>
      <c r="M566" s="214" t="n">
        <v>9000</v>
      </c>
      <c r="N566" s="294"/>
      <c r="Q566" s="212"/>
      <c r="R566" s="212"/>
      <c r="S566" s="291"/>
    </row>
    <row r="567" customFormat="false" ht="15" hidden="true" customHeight="false" outlineLevel="0" collapsed="false">
      <c r="B567" s="208" t="n">
        <v>2022</v>
      </c>
      <c r="C567" s="209" t="n">
        <v>12</v>
      </c>
      <c r="D567" s="226" t="s">
        <v>44</v>
      </c>
      <c r="E567" s="221" t="n">
        <v>36826974454</v>
      </c>
      <c r="F567" s="221" t="n">
        <v>95573006</v>
      </c>
      <c r="G567" s="221" t="n">
        <v>1</v>
      </c>
      <c r="H567" s="229" t="s">
        <v>188</v>
      </c>
      <c r="I567" s="237" t="n">
        <v>5500</v>
      </c>
      <c r="J567" s="228" t="n">
        <v>5500</v>
      </c>
      <c r="K567" s="228" t="n">
        <v>5500</v>
      </c>
      <c r="L567" s="228" t="n">
        <v>0</v>
      </c>
      <c r="M567" s="214" t="n">
        <v>5500</v>
      </c>
      <c r="N567" s="294"/>
      <c r="Q567" s="212"/>
      <c r="R567" s="212"/>
      <c r="S567" s="291"/>
    </row>
    <row r="568" customFormat="false" ht="15" hidden="true" customHeight="false" outlineLevel="0" collapsed="false">
      <c r="B568" s="208" t="n">
        <v>2022</v>
      </c>
      <c r="C568" s="209" t="n">
        <v>12</v>
      </c>
      <c r="D568" s="226" t="s">
        <v>44</v>
      </c>
      <c r="E568" s="221" t="n">
        <v>17630785580</v>
      </c>
      <c r="F568" s="221" t="n">
        <v>95529415</v>
      </c>
      <c r="G568" s="221" t="n">
        <v>1</v>
      </c>
      <c r="H568" s="229" t="s">
        <v>81</v>
      </c>
      <c r="I568" s="237" t="n">
        <v>5888.61</v>
      </c>
      <c r="J568" s="228" t="n">
        <v>18888.61</v>
      </c>
      <c r="K568" s="228" t="n">
        <v>5888.61</v>
      </c>
      <c r="L568" s="228" t="n">
        <v>13000</v>
      </c>
      <c r="M568" s="214" t="n">
        <v>18888.61</v>
      </c>
      <c r="N568" s="294"/>
      <c r="Q568" s="212"/>
      <c r="R568" s="212"/>
      <c r="S568" s="291"/>
    </row>
    <row r="569" customFormat="false" ht="15" hidden="true" customHeight="false" outlineLevel="0" collapsed="false">
      <c r="B569" s="208" t="n">
        <v>2022</v>
      </c>
      <c r="C569" s="209" t="n">
        <v>12</v>
      </c>
      <c r="D569" s="226" t="s">
        <v>44</v>
      </c>
      <c r="E569" s="221" t="n">
        <v>55186680706</v>
      </c>
      <c r="F569" s="221" t="n">
        <v>95787183</v>
      </c>
      <c r="G569" s="221" t="n">
        <v>1</v>
      </c>
      <c r="H569" s="229" t="s">
        <v>73</v>
      </c>
      <c r="I569" s="237" t="n">
        <v>2750.17</v>
      </c>
      <c r="J569" s="228" t="n">
        <v>2750.17</v>
      </c>
      <c r="K569" s="228" t="n">
        <v>2750.17</v>
      </c>
      <c r="L569" s="228" t="n">
        <v>0</v>
      </c>
      <c r="M569" s="214" t="n">
        <v>2750.17</v>
      </c>
      <c r="N569" s="294"/>
      <c r="Q569" s="212"/>
      <c r="R569" s="212"/>
      <c r="S569" s="291"/>
    </row>
    <row r="570" customFormat="false" ht="15" hidden="true" customHeight="false" outlineLevel="0" collapsed="false">
      <c r="B570" s="208" t="n">
        <v>2022</v>
      </c>
      <c r="C570" s="209" t="n">
        <v>12</v>
      </c>
      <c r="D570" s="226" t="s">
        <v>44</v>
      </c>
      <c r="E570" s="221" t="n">
        <v>21242693324</v>
      </c>
      <c r="F570" s="221" t="n">
        <v>95532064</v>
      </c>
      <c r="G570" s="221" t="n">
        <v>1</v>
      </c>
      <c r="H570" s="229" t="s">
        <v>85</v>
      </c>
      <c r="I570" s="237" t="n">
        <v>6080.5</v>
      </c>
      <c r="J570" s="228" t="n">
        <v>6080.5</v>
      </c>
      <c r="K570" s="228" t="n">
        <v>6080.5</v>
      </c>
      <c r="L570" s="228" t="n">
        <v>0</v>
      </c>
      <c r="M570" s="214" t="n">
        <v>6080.5</v>
      </c>
      <c r="N570" s="294"/>
      <c r="Q570" s="212"/>
      <c r="R570" s="212"/>
      <c r="S570" s="291"/>
    </row>
    <row r="571" customFormat="false" ht="15" hidden="true" customHeight="false" outlineLevel="0" collapsed="false">
      <c r="B571" s="208" t="n">
        <v>2022</v>
      </c>
      <c r="C571" s="209" t="n">
        <v>12</v>
      </c>
      <c r="D571" s="226" t="s">
        <v>44</v>
      </c>
      <c r="E571" s="221" t="n">
        <v>17159801204</v>
      </c>
      <c r="F571" s="221" t="n">
        <v>95532066</v>
      </c>
      <c r="G571" s="221" t="n">
        <v>1</v>
      </c>
      <c r="H571" s="229" t="s">
        <v>87</v>
      </c>
      <c r="I571" s="237" t="n">
        <v>6080.5</v>
      </c>
      <c r="J571" s="228" t="n">
        <v>6080.5</v>
      </c>
      <c r="K571" s="228" t="n">
        <v>6080.5</v>
      </c>
      <c r="L571" s="228" t="n">
        <v>0</v>
      </c>
      <c r="M571" s="214" t="n">
        <v>6080.5</v>
      </c>
      <c r="N571" s="294"/>
      <c r="Q571" s="212"/>
      <c r="R571" s="212"/>
      <c r="S571" s="291"/>
    </row>
    <row r="572" customFormat="false" ht="15" hidden="true" customHeight="false" outlineLevel="0" collapsed="false">
      <c r="B572" s="208" t="n">
        <v>2022</v>
      </c>
      <c r="C572" s="209" t="n">
        <v>12</v>
      </c>
      <c r="D572" s="226" t="s">
        <v>44</v>
      </c>
      <c r="E572" s="221" t="n">
        <v>23764482950</v>
      </c>
      <c r="F572" s="221" t="n">
        <v>95532077</v>
      </c>
      <c r="G572" s="221" t="n">
        <v>1</v>
      </c>
      <c r="H572" s="229" t="s">
        <v>93</v>
      </c>
      <c r="I572" s="237" t="n">
        <v>997.61</v>
      </c>
      <c r="J572" s="228" t="n">
        <v>9000</v>
      </c>
      <c r="K572" s="228" t="n">
        <v>997.61</v>
      </c>
      <c r="L572" s="228" t="n">
        <v>8002.39</v>
      </c>
      <c r="M572" s="214" t="n">
        <v>9000</v>
      </c>
      <c r="N572" s="294"/>
      <c r="Q572" s="212"/>
      <c r="R572" s="212"/>
      <c r="S572" s="291"/>
    </row>
    <row r="573" customFormat="false" ht="15" hidden="true" customHeight="false" outlineLevel="0" collapsed="false">
      <c r="B573" s="208" t="n">
        <v>2022</v>
      </c>
      <c r="C573" s="209" t="n">
        <v>12</v>
      </c>
      <c r="D573" s="226" t="s">
        <v>44</v>
      </c>
      <c r="E573" s="221" t="n">
        <v>25672444846</v>
      </c>
      <c r="F573" s="221" t="n">
        <v>95693810</v>
      </c>
      <c r="G573" s="221" t="n">
        <v>1</v>
      </c>
      <c r="H573" s="229" t="s">
        <v>245</v>
      </c>
      <c r="I573" s="237" t="n">
        <v>6050.38</v>
      </c>
      <c r="J573" s="228" t="n">
        <v>8000</v>
      </c>
      <c r="K573" s="228" t="n">
        <v>6050.38</v>
      </c>
      <c r="L573" s="228" t="n">
        <v>1949.62</v>
      </c>
      <c r="M573" s="214" t="n">
        <v>8000</v>
      </c>
      <c r="N573" s="294"/>
      <c r="Q573" s="212"/>
      <c r="R573" s="212"/>
      <c r="S573" s="291"/>
    </row>
    <row r="574" customFormat="false" ht="15" hidden="true" customHeight="false" outlineLevel="0" collapsed="false">
      <c r="B574" s="208" t="n">
        <v>2022</v>
      </c>
      <c r="C574" s="209" t="n">
        <v>12</v>
      </c>
      <c r="D574" s="226" t="s">
        <v>44</v>
      </c>
      <c r="E574" s="221" t="n">
        <v>33853146700</v>
      </c>
      <c r="F574" s="221" t="n">
        <v>96959868</v>
      </c>
      <c r="G574" s="221" t="n">
        <v>1</v>
      </c>
      <c r="H574" s="229" t="s">
        <v>247</v>
      </c>
      <c r="I574" s="237" t="n">
        <v>6368.09</v>
      </c>
      <c r="J574" s="228" t="n">
        <v>9000</v>
      </c>
      <c r="K574" s="228" t="n">
        <v>6368.09</v>
      </c>
      <c r="L574" s="228" t="n">
        <v>2631.91</v>
      </c>
      <c r="M574" s="214" t="n">
        <v>9000</v>
      </c>
      <c r="N574" s="294"/>
      <c r="Q574" s="212"/>
      <c r="R574" s="212"/>
      <c r="S574" s="291"/>
    </row>
    <row r="575" customFormat="false" ht="15" hidden="true" customHeight="false" outlineLevel="0" collapsed="false">
      <c r="B575" s="208" t="n">
        <v>2022</v>
      </c>
      <c r="C575" s="209" t="n">
        <v>12</v>
      </c>
      <c r="D575" s="226" t="s">
        <v>44</v>
      </c>
      <c r="E575" s="221" t="n">
        <v>51994540164</v>
      </c>
      <c r="F575" s="221" t="n">
        <v>96900867</v>
      </c>
      <c r="G575" s="221" t="n">
        <v>1</v>
      </c>
      <c r="H575" s="229" t="s">
        <v>97</v>
      </c>
      <c r="I575" s="237" t="n">
        <v>5888.61</v>
      </c>
      <c r="J575" s="228" t="n">
        <v>5888.61</v>
      </c>
      <c r="K575" s="228" t="n">
        <v>5888.61</v>
      </c>
      <c r="L575" s="228" t="n">
        <v>0</v>
      </c>
      <c r="M575" s="214" t="n">
        <v>5888.61</v>
      </c>
      <c r="N575" s="294"/>
      <c r="Q575" s="212"/>
      <c r="R575" s="212"/>
      <c r="S575" s="291"/>
    </row>
    <row r="576" customFormat="false" ht="15" hidden="true" customHeight="false" outlineLevel="0" collapsed="false">
      <c r="B576" s="208" t="n">
        <v>2022</v>
      </c>
      <c r="C576" s="209" t="n">
        <v>12</v>
      </c>
      <c r="D576" s="226" t="s">
        <v>44</v>
      </c>
      <c r="E576" s="221" t="n">
        <v>52657562356</v>
      </c>
      <c r="F576" s="221" t="n">
        <v>97011710</v>
      </c>
      <c r="G576" s="221" t="n">
        <v>1</v>
      </c>
      <c r="H576" s="229" t="s">
        <v>248</v>
      </c>
      <c r="I576" s="237" t="n">
        <v>5500.35</v>
      </c>
      <c r="J576" s="228" t="n">
        <v>5500.35</v>
      </c>
      <c r="K576" s="228" t="n">
        <v>5500.35</v>
      </c>
      <c r="L576" s="228" t="n">
        <v>0</v>
      </c>
      <c r="M576" s="214" t="n">
        <v>5500.35</v>
      </c>
      <c r="N576" s="294"/>
      <c r="Q576" s="212"/>
      <c r="R576" s="212"/>
      <c r="S576" s="291"/>
    </row>
    <row r="577" customFormat="false" ht="15" hidden="true" customHeight="false" outlineLevel="0" collapsed="false">
      <c r="B577" s="208" t="n">
        <v>2022</v>
      </c>
      <c r="C577" s="209" t="n">
        <v>12</v>
      </c>
      <c r="D577" s="226" t="s">
        <v>44</v>
      </c>
      <c r="E577" s="221" t="n">
        <v>10459950610</v>
      </c>
      <c r="F577" s="221" t="n">
        <v>97226520</v>
      </c>
      <c r="G577" s="221" t="n">
        <v>1</v>
      </c>
      <c r="H577" s="229" t="s">
        <v>195</v>
      </c>
      <c r="I577" s="237" t="n">
        <v>4570.51</v>
      </c>
      <c r="J577" s="228" t="n">
        <v>6520</v>
      </c>
      <c r="K577" s="228" t="n">
        <v>4570.51</v>
      </c>
      <c r="L577" s="228" t="n">
        <v>1949.49</v>
      </c>
      <c r="M577" s="214" t="n">
        <v>6520</v>
      </c>
      <c r="N577" s="294"/>
      <c r="O577" s="212" t="s">
        <v>306</v>
      </c>
      <c r="P577" s="212" t="n">
        <v>-1480</v>
      </c>
      <c r="Q577" s="212"/>
      <c r="R577" s="212"/>
      <c r="S577" s="212" t="s">
        <v>306</v>
      </c>
    </row>
    <row r="578" customFormat="false" ht="15" hidden="true" customHeight="false" outlineLevel="0" collapsed="false">
      <c r="B578" s="208" t="n">
        <v>2022</v>
      </c>
      <c r="C578" s="209" t="n">
        <v>12</v>
      </c>
      <c r="D578" s="226" t="s">
        <v>44</v>
      </c>
      <c r="E578" s="221" t="n">
        <v>23713484608</v>
      </c>
      <c r="F578" s="221" t="n">
        <v>97189681</v>
      </c>
      <c r="G578" s="221" t="n">
        <v>1</v>
      </c>
      <c r="H578" s="229" t="s">
        <v>100</v>
      </c>
      <c r="I578" s="237" t="n">
        <v>6080.5</v>
      </c>
      <c r="J578" s="228" t="n">
        <v>7500</v>
      </c>
      <c r="K578" s="228" t="n">
        <v>6080.5</v>
      </c>
      <c r="L578" s="228" t="n">
        <v>1419.5</v>
      </c>
      <c r="M578" s="214" t="n">
        <v>7500</v>
      </c>
      <c r="N578" s="294"/>
      <c r="Q578" s="212"/>
      <c r="R578" s="212"/>
      <c r="S578" s="291"/>
    </row>
    <row r="579" customFormat="false" ht="15" hidden="true" customHeight="false" outlineLevel="0" collapsed="false">
      <c r="B579" s="208" t="n">
        <v>2022</v>
      </c>
      <c r="C579" s="209" t="n">
        <v>12</v>
      </c>
      <c r="D579" s="226" t="s">
        <v>44</v>
      </c>
      <c r="E579" s="221" t="n">
        <v>17891875174</v>
      </c>
      <c r="F579" s="221" t="n">
        <v>6214238</v>
      </c>
      <c r="G579" s="221" t="n">
        <v>1</v>
      </c>
      <c r="H579" s="229" t="s">
        <v>190</v>
      </c>
      <c r="I579" s="237" t="n">
        <v>5500.35</v>
      </c>
      <c r="J579" s="228" t="n">
        <v>5500.35</v>
      </c>
      <c r="K579" s="228" t="n">
        <v>5500.35</v>
      </c>
      <c r="L579" s="228" t="n">
        <v>0</v>
      </c>
      <c r="M579" s="214" t="n">
        <v>5500.35</v>
      </c>
      <c r="N579" s="294"/>
      <c r="Q579" s="212"/>
      <c r="R579" s="212"/>
      <c r="S579" s="291"/>
    </row>
    <row r="580" customFormat="false" ht="15" hidden="true" customHeight="false" outlineLevel="0" collapsed="false">
      <c r="B580" s="208" t="n">
        <v>2022</v>
      </c>
      <c r="C580" s="209" t="n">
        <v>12</v>
      </c>
      <c r="D580" s="226" t="s">
        <v>44</v>
      </c>
      <c r="E580" s="221" t="n">
        <v>14233727054</v>
      </c>
      <c r="F580" s="221" t="n">
        <v>97522331</v>
      </c>
      <c r="G580" s="221" t="n">
        <v>1</v>
      </c>
      <c r="H580" s="229" t="s">
        <v>276</v>
      </c>
      <c r="I580" s="237" t="n">
        <v>997.61</v>
      </c>
      <c r="J580" s="228" t="n">
        <v>8000</v>
      </c>
      <c r="K580" s="228" t="n">
        <v>997.61</v>
      </c>
      <c r="L580" s="228" t="n">
        <v>7002.39</v>
      </c>
      <c r="M580" s="214" t="n">
        <v>8000</v>
      </c>
      <c r="N580" s="294"/>
      <c r="Q580" s="212"/>
      <c r="R580" s="212"/>
      <c r="S580" s="291"/>
    </row>
    <row r="581" customFormat="false" ht="15" hidden="true" customHeight="false" outlineLevel="0" collapsed="false">
      <c r="B581" s="208" t="n">
        <v>2022</v>
      </c>
      <c r="C581" s="209" t="n">
        <v>12</v>
      </c>
      <c r="D581" s="226" t="s">
        <v>44</v>
      </c>
      <c r="E581" s="221" t="n">
        <v>38233125580</v>
      </c>
      <c r="F581" s="221" t="n">
        <v>95532065</v>
      </c>
      <c r="G581" s="221" t="n">
        <v>1</v>
      </c>
      <c r="H581" s="229" t="s">
        <v>289</v>
      </c>
      <c r="I581" s="237" t="n">
        <v>6080.5</v>
      </c>
      <c r="J581" s="228" t="n">
        <v>10000</v>
      </c>
      <c r="K581" s="228" t="n">
        <v>6080.5</v>
      </c>
      <c r="L581" s="228" t="n">
        <v>3919.5</v>
      </c>
      <c r="M581" s="214" t="n">
        <v>10000</v>
      </c>
      <c r="N581" s="294"/>
      <c r="Q581" s="212"/>
      <c r="R581" s="212"/>
      <c r="S581" s="291"/>
    </row>
    <row r="582" customFormat="false" ht="15" hidden="true" customHeight="false" outlineLevel="0" collapsed="false">
      <c r="B582" s="208" t="n">
        <v>2022</v>
      </c>
      <c r="C582" s="209" t="n">
        <v>12</v>
      </c>
      <c r="D582" s="226" t="s">
        <v>44</v>
      </c>
      <c r="E582" s="221" t="n">
        <v>18736701092</v>
      </c>
      <c r="F582" s="221" t="n">
        <v>95547779</v>
      </c>
      <c r="G582" s="221" t="n">
        <v>1</v>
      </c>
      <c r="H582" s="229" t="s">
        <v>127</v>
      </c>
      <c r="I582" s="237" t="n">
        <v>6500</v>
      </c>
      <c r="J582" s="228" t="n">
        <v>8000</v>
      </c>
      <c r="K582" s="228" t="n">
        <v>6500</v>
      </c>
      <c r="L582" s="228" t="n">
        <v>1500</v>
      </c>
      <c r="M582" s="214" t="n">
        <v>8000</v>
      </c>
      <c r="N582" s="294"/>
      <c r="Q582" s="212"/>
      <c r="R582" s="212"/>
      <c r="S582" s="291"/>
    </row>
    <row r="583" customFormat="false" ht="15" hidden="true" customHeight="false" outlineLevel="0" collapsed="false">
      <c r="B583" s="208" t="n">
        <v>2022</v>
      </c>
      <c r="C583" s="209" t="n">
        <v>12</v>
      </c>
      <c r="D583" s="226" t="s">
        <v>44</v>
      </c>
      <c r="E583" s="221" t="n">
        <v>0</v>
      </c>
      <c r="F583" s="221" t="n">
        <v>0</v>
      </c>
      <c r="G583" s="221" t="n">
        <v>1</v>
      </c>
      <c r="H583" s="229" t="s">
        <v>74</v>
      </c>
      <c r="I583" s="237" t="n">
        <v>0</v>
      </c>
      <c r="J583" s="228" t="n">
        <v>5500</v>
      </c>
      <c r="K583" s="228" t="n">
        <v>0</v>
      </c>
      <c r="L583" s="228" t="n">
        <v>5500</v>
      </c>
      <c r="M583" s="214" t="n">
        <v>5500</v>
      </c>
      <c r="N583" s="294"/>
      <c r="Q583" s="212"/>
      <c r="R583" s="212"/>
      <c r="S583" s="291"/>
    </row>
    <row r="584" customFormat="false" ht="15" hidden="true" customHeight="false" outlineLevel="0" collapsed="false">
      <c r="B584" s="208" t="n">
        <v>2022</v>
      </c>
      <c r="C584" s="209" t="n">
        <v>12</v>
      </c>
      <c r="D584" s="226" t="s">
        <v>44</v>
      </c>
      <c r="E584" s="221" t="n">
        <v>18274523170</v>
      </c>
      <c r="F584" s="221" t="n">
        <v>95532068</v>
      </c>
      <c r="G584" s="221" t="n">
        <v>1</v>
      </c>
      <c r="H584" s="229" t="s">
        <v>14</v>
      </c>
      <c r="I584" s="237" t="n">
        <v>6584.24</v>
      </c>
      <c r="J584" s="228" t="n">
        <v>8000</v>
      </c>
      <c r="K584" s="228" t="n">
        <v>6584.24</v>
      </c>
      <c r="L584" s="228" t="n">
        <v>1415.76</v>
      </c>
      <c r="M584" s="214" t="n">
        <v>8000</v>
      </c>
      <c r="N584" s="294"/>
      <c r="Q584" s="212"/>
      <c r="R584" s="212"/>
      <c r="S584" s="291"/>
    </row>
    <row r="585" customFormat="false" ht="15" hidden="true" customHeight="false" outlineLevel="0" collapsed="false">
      <c r="B585" s="208" t="n">
        <v>2022</v>
      </c>
      <c r="C585" s="209" t="n">
        <v>12</v>
      </c>
      <c r="D585" s="226" t="s">
        <v>44</v>
      </c>
      <c r="E585" s="221" t="n">
        <v>38614007368</v>
      </c>
      <c r="F585" s="221" t="n">
        <v>97665848</v>
      </c>
      <c r="G585" s="221" t="n">
        <v>1</v>
      </c>
      <c r="H585" s="229" t="s">
        <v>75</v>
      </c>
      <c r="I585" s="237" t="n">
        <v>5867.03</v>
      </c>
      <c r="J585" s="228" t="n">
        <v>8000</v>
      </c>
      <c r="K585" s="228" t="n">
        <v>5867.03</v>
      </c>
      <c r="L585" s="228" t="n">
        <v>1919.97</v>
      </c>
      <c r="M585" s="214" t="n">
        <v>7787</v>
      </c>
      <c r="N585" s="294" t="n">
        <v>-213</v>
      </c>
      <c r="O585" s="212" t="s">
        <v>308</v>
      </c>
      <c r="Q585" s="212" t="n">
        <v>2</v>
      </c>
      <c r="R585" s="212"/>
      <c r="S585" s="291" t="s">
        <v>308</v>
      </c>
    </row>
    <row r="586" customFormat="false" ht="15" hidden="true" customHeight="false" outlineLevel="0" collapsed="false">
      <c r="B586" s="208" t="n">
        <v>2022</v>
      </c>
      <c r="C586" s="209" t="n">
        <v>12</v>
      </c>
      <c r="D586" s="226" t="s">
        <v>44</v>
      </c>
      <c r="E586" s="221" t="n">
        <v>0</v>
      </c>
      <c r="F586" s="221" t="n">
        <v>0</v>
      </c>
      <c r="G586" s="221" t="n">
        <v>1</v>
      </c>
      <c r="H586" s="229" t="s">
        <v>102</v>
      </c>
      <c r="I586" s="237" t="n">
        <v>0</v>
      </c>
      <c r="J586" s="228" t="n">
        <v>8000</v>
      </c>
      <c r="K586" s="228" t="n">
        <v>0</v>
      </c>
      <c r="L586" s="228" t="n">
        <v>8000</v>
      </c>
      <c r="M586" s="214" t="n">
        <v>8000</v>
      </c>
      <c r="N586" s="294"/>
      <c r="Q586" s="212"/>
      <c r="R586" s="212"/>
      <c r="S586" s="291"/>
    </row>
    <row r="587" customFormat="false" ht="15" hidden="true" customHeight="false" outlineLevel="0" collapsed="false">
      <c r="B587" s="208" t="n">
        <v>2022</v>
      </c>
      <c r="C587" s="209" t="n">
        <v>12</v>
      </c>
      <c r="D587" s="226" t="s">
        <v>44</v>
      </c>
      <c r="E587" s="221" t="n">
        <v>0</v>
      </c>
      <c r="F587" s="221" t="n">
        <v>0</v>
      </c>
      <c r="G587" s="221" t="n">
        <v>1</v>
      </c>
      <c r="H587" s="229" t="s">
        <v>196</v>
      </c>
      <c r="I587" s="237" t="n">
        <v>0</v>
      </c>
      <c r="J587" s="228" t="n">
        <v>5500</v>
      </c>
      <c r="K587" s="228" t="n">
        <v>0</v>
      </c>
      <c r="L587" s="228" t="n">
        <v>15500</v>
      </c>
      <c r="M587" s="214" t="n">
        <v>15500</v>
      </c>
      <c r="N587" s="294" t="n">
        <v>10000</v>
      </c>
      <c r="O587" s="212" t="s">
        <v>309</v>
      </c>
      <c r="Q587" s="212"/>
      <c r="R587" s="212"/>
      <c r="S587" s="212" t="s">
        <v>309</v>
      </c>
    </row>
    <row r="588" customFormat="false" ht="15" hidden="true" customHeight="false" outlineLevel="0" collapsed="false">
      <c r="B588" s="208" t="n">
        <v>2022</v>
      </c>
      <c r="C588" s="209" t="n">
        <v>12</v>
      </c>
      <c r="D588" s="226" t="s">
        <v>44</v>
      </c>
      <c r="E588" s="221" t="n">
        <v>74524099696</v>
      </c>
      <c r="F588" s="221" t="n">
        <v>98127163</v>
      </c>
      <c r="G588" s="221" t="n">
        <v>1</v>
      </c>
      <c r="H588" s="229" t="s">
        <v>66</v>
      </c>
      <c r="I588" s="237" t="n">
        <v>5200</v>
      </c>
      <c r="J588" s="228" t="n">
        <v>8000</v>
      </c>
      <c r="K588" s="228" t="n">
        <v>5200</v>
      </c>
      <c r="L588" s="228" t="n">
        <v>2800</v>
      </c>
      <c r="M588" s="214" t="n">
        <v>8000</v>
      </c>
      <c r="N588" s="294"/>
      <c r="O588" s="212" t="s">
        <v>310</v>
      </c>
      <c r="Q588" s="212" t="n">
        <v>6</v>
      </c>
      <c r="R588" s="212"/>
      <c r="S588" s="291" t="s">
        <v>310</v>
      </c>
    </row>
    <row r="589" customFormat="false" ht="16.5" hidden="true" customHeight="true" outlineLevel="0" collapsed="false">
      <c r="B589" s="208" t="n">
        <v>2022</v>
      </c>
      <c r="C589" s="209" t="n">
        <v>12</v>
      </c>
      <c r="D589" s="226" t="s">
        <v>44</v>
      </c>
      <c r="E589" s="221" t="n">
        <v>22093575890</v>
      </c>
      <c r="F589" s="221" t="n">
        <v>96260905</v>
      </c>
      <c r="G589" s="269" t="n">
        <v>1</v>
      </c>
      <c r="H589" s="229" t="s">
        <v>133</v>
      </c>
      <c r="I589" s="237" t="n">
        <v>5500.35</v>
      </c>
      <c r="J589" s="228" t="n">
        <v>8000</v>
      </c>
      <c r="K589" s="228" t="n">
        <v>5500.35</v>
      </c>
      <c r="L589" s="228" t="n">
        <v>2499.65</v>
      </c>
      <c r="M589" s="214" t="n">
        <v>8000</v>
      </c>
      <c r="N589" s="294"/>
      <c r="Q589" s="212"/>
      <c r="R589" s="212"/>
      <c r="S589" s="291"/>
    </row>
    <row r="590" customFormat="false" ht="15" hidden="true" customHeight="false" outlineLevel="0" collapsed="false">
      <c r="B590" s="208" t="n">
        <v>2022</v>
      </c>
      <c r="C590" s="209" t="n">
        <v>12</v>
      </c>
      <c r="D590" s="226" t="s">
        <v>44</v>
      </c>
      <c r="E590" s="221" t="n">
        <v>64996156028</v>
      </c>
      <c r="F590" s="221" t="n">
        <v>95539771</v>
      </c>
      <c r="G590" s="221" t="n">
        <v>1</v>
      </c>
      <c r="H590" s="229" t="s">
        <v>55</v>
      </c>
      <c r="I590" s="237" t="n">
        <v>5500.35</v>
      </c>
      <c r="J590" s="228" t="n">
        <v>8000</v>
      </c>
      <c r="K590" s="228" t="n">
        <v>5500.35</v>
      </c>
      <c r="L590" s="228" t="n">
        <v>2499.65</v>
      </c>
      <c r="M590" s="214" t="n">
        <v>8000</v>
      </c>
      <c r="N590" s="294"/>
      <c r="Q590" s="212"/>
      <c r="R590" s="212"/>
      <c r="S590" s="291"/>
    </row>
    <row r="591" customFormat="false" ht="15" hidden="false" customHeight="false" outlineLevel="0" collapsed="false">
      <c r="B591" s="208" t="n">
        <v>2023</v>
      </c>
      <c r="C591" s="209" t="n">
        <v>1</v>
      </c>
      <c r="D591" s="226" t="s">
        <v>56</v>
      </c>
      <c r="E591" s="221" t="n">
        <v>28699369338</v>
      </c>
      <c r="F591" s="221" t="n">
        <v>96358353</v>
      </c>
      <c r="G591" s="221" t="n">
        <v>1</v>
      </c>
      <c r="H591" s="229" t="s">
        <v>79</v>
      </c>
      <c r="I591" s="237" t="n">
        <v>11000</v>
      </c>
      <c r="J591" s="228" t="n">
        <v>17000</v>
      </c>
      <c r="K591" s="228" t="n">
        <v>11000</v>
      </c>
      <c r="L591" s="228" t="n">
        <v>6000</v>
      </c>
      <c r="M591" s="214" t="n">
        <v>17000</v>
      </c>
      <c r="N591" s="294"/>
      <c r="Q591" s="212"/>
      <c r="R591" s="212"/>
      <c r="S591" s="291"/>
    </row>
    <row r="592" customFormat="false" ht="15" hidden="false" customHeight="false" outlineLevel="0" collapsed="false">
      <c r="B592" s="208" t="n">
        <v>2023</v>
      </c>
      <c r="C592" s="209" t="n">
        <v>1</v>
      </c>
      <c r="D592" s="226" t="s">
        <v>69</v>
      </c>
      <c r="E592" s="221" t="n">
        <v>63097169876</v>
      </c>
      <c r="F592" s="221" t="n">
        <v>96843148</v>
      </c>
      <c r="G592" s="221" t="n">
        <v>1</v>
      </c>
      <c r="H592" s="229" t="s">
        <v>122</v>
      </c>
      <c r="I592" s="237" t="n">
        <v>9144.81</v>
      </c>
      <c r="J592" s="228" t="n">
        <v>16000</v>
      </c>
      <c r="K592" s="228" t="n">
        <v>9144.81</v>
      </c>
      <c r="L592" s="228" t="n">
        <v>6855.19</v>
      </c>
      <c r="M592" s="214" t="n">
        <v>16000</v>
      </c>
      <c r="N592" s="294"/>
      <c r="Q592" s="212"/>
      <c r="R592" s="212"/>
      <c r="S592" s="291"/>
    </row>
    <row r="593" customFormat="false" ht="15" hidden="false" customHeight="false" outlineLevel="0" collapsed="false">
      <c r="B593" s="208" t="n">
        <v>2023</v>
      </c>
      <c r="C593" s="209" t="n">
        <v>1</v>
      </c>
      <c r="D593" s="226" t="s">
        <v>82</v>
      </c>
      <c r="E593" s="221" t="n">
        <v>36826974454</v>
      </c>
      <c r="F593" s="221" t="n">
        <v>95573006</v>
      </c>
      <c r="G593" s="221" t="n">
        <v>1</v>
      </c>
      <c r="H593" s="229" t="s">
        <v>188</v>
      </c>
      <c r="I593" s="237" t="n">
        <v>8506.8</v>
      </c>
      <c r="J593" s="228" t="n">
        <v>8506.8</v>
      </c>
      <c r="K593" s="228" t="n">
        <v>8506.8</v>
      </c>
      <c r="L593" s="228" t="n">
        <v>0</v>
      </c>
      <c r="M593" s="214" t="n">
        <v>8506.8</v>
      </c>
      <c r="N593" s="294"/>
      <c r="Q593" s="212"/>
      <c r="R593" s="212"/>
      <c r="S593" s="291"/>
    </row>
    <row r="594" customFormat="false" ht="15" hidden="false" customHeight="false" outlineLevel="0" collapsed="false">
      <c r="B594" s="208" t="n">
        <v>2023</v>
      </c>
      <c r="C594" s="209" t="n">
        <v>1</v>
      </c>
      <c r="D594" s="226" t="s">
        <v>82</v>
      </c>
      <c r="E594" s="221" t="n">
        <v>17630785580</v>
      </c>
      <c r="F594" s="221" t="n">
        <v>95529415</v>
      </c>
      <c r="G594" s="221" t="n">
        <v>1</v>
      </c>
      <c r="H594" s="229" t="s">
        <v>81</v>
      </c>
      <c r="I594" s="237" t="n">
        <v>9144.81</v>
      </c>
      <c r="J594" s="228" t="n">
        <v>34144.81</v>
      </c>
      <c r="K594" s="228" t="n">
        <v>9144.81</v>
      </c>
      <c r="L594" s="228" t="n">
        <v>25000</v>
      </c>
      <c r="M594" s="214" t="n">
        <v>34144.81</v>
      </c>
      <c r="N594" s="294"/>
      <c r="Q594" s="212"/>
      <c r="R594" s="212"/>
      <c r="S594" s="291"/>
    </row>
    <row r="595" customFormat="false" ht="15" hidden="false" customHeight="false" outlineLevel="0" collapsed="false">
      <c r="B595" s="208" t="n">
        <v>2023</v>
      </c>
      <c r="C595" s="209" t="n">
        <v>1</v>
      </c>
      <c r="D595" s="226" t="s">
        <v>56</v>
      </c>
      <c r="E595" s="221" t="n">
        <v>55186680706</v>
      </c>
      <c r="F595" s="221" t="n">
        <v>95787183</v>
      </c>
      <c r="G595" s="221" t="n">
        <v>1</v>
      </c>
      <c r="H595" s="229" t="s">
        <v>73</v>
      </c>
      <c r="I595" s="237" t="n">
        <v>4253.4</v>
      </c>
      <c r="J595" s="228" t="n">
        <v>4253.4</v>
      </c>
      <c r="K595" s="228" t="n">
        <v>4253.4</v>
      </c>
      <c r="L595" s="228" t="n">
        <v>0</v>
      </c>
      <c r="M595" s="214" t="n">
        <v>4253.4</v>
      </c>
      <c r="N595" s="294"/>
      <c r="Q595" s="212"/>
      <c r="R595" s="212"/>
      <c r="S595" s="291"/>
    </row>
    <row r="596" customFormat="false" ht="15" hidden="false" customHeight="false" outlineLevel="0" collapsed="false">
      <c r="B596" s="208" t="n">
        <v>2023</v>
      </c>
      <c r="C596" s="209" t="n">
        <v>1</v>
      </c>
      <c r="D596" s="226" t="s">
        <v>82</v>
      </c>
      <c r="E596" s="221" t="n">
        <v>21242693324</v>
      </c>
      <c r="F596" s="221" t="n">
        <v>95532064</v>
      </c>
      <c r="G596" s="221" t="n">
        <v>1</v>
      </c>
      <c r="H596" s="229" t="s">
        <v>85</v>
      </c>
      <c r="I596" s="237" t="n">
        <v>9674.4</v>
      </c>
      <c r="J596" s="228" t="n">
        <v>9460.77</v>
      </c>
      <c r="K596" s="228" t="n">
        <v>9674.4</v>
      </c>
      <c r="L596" s="228" t="n">
        <v>-213.63</v>
      </c>
      <c r="M596" s="214" t="n">
        <v>9460.77</v>
      </c>
      <c r="N596" s="294"/>
      <c r="Q596" s="212"/>
      <c r="R596" s="212"/>
      <c r="S596" s="291"/>
    </row>
    <row r="597" customFormat="false" ht="15" hidden="false" customHeight="false" outlineLevel="0" collapsed="false">
      <c r="B597" s="208" t="n">
        <v>2023</v>
      </c>
      <c r="C597" s="209" t="n">
        <v>1</v>
      </c>
      <c r="D597" s="226" t="s">
        <v>82</v>
      </c>
      <c r="E597" s="221" t="n">
        <v>17159801204</v>
      </c>
      <c r="F597" s="221" t="n">
        <v>95532066</v>
      </c>
      <c r="G597" s="221" t="n">
        <v>1</v>
      </c>
      <c r="H597" s="229" t="s">
        <v>87</v>
      </c>
      <c r="I597" s="237" t="n">
        <v>9460.77</v>
      </c>
      <c r="J597" s="228" t="n">
        <v>9460.77</v>
      </c>
      <c r="K597" s="228" t="n">
        <v>9460.77</v>
      </c>
      <c r="L597" s="228" t="n">
        <v>0</v>
      </c>
      <c r="M597" s="214" t="n">
        <v>9460.77</v>
      </c>
      <c r="N597" s="294"/>
      <c r="Q597" s="212"/>
      <c r="R597" s="212"/>
      <c r="S597" s="291"/>
    </row>
    <row r="598" customFormat="false" ht="15" hidden="false" customHeight="false" outlineLevel="0" collapsed="false">
      <c r="B598" s="208" t="n">
        <v>2023</v>
      </c>
      <c r="C598" s="209" t="n">
        <v>1</v>
      </c>
      <c r="D598" s="226" t="s">
        <v>69</v>
      </c>
      <c r="E598" s="221" t="n">
        <v>23764482950</v>
      </c>
      <c r="F598" s="221" t="n">
        <v>95532077</v>
      </c>
      <c r="G598" s="221" t="n">
        <v>1</v>
      </c>
      <c r="H598" s="229" t="s">
        <v>93</v>
      </c>
      <c r="I598" s="237" t="n">
        <v>1542.9</v>
      </c>
      <c r="J598" s="228" t="n">
        <v>14000</v>
      </c>
      <c r="K598" s="228" t="n">
        <v>1542.9</v>
      </c>
      <c r="L598" s="228" t="n">
        <v>11957.1</v>
      </c>
      <c r="M598" s="214" t="n">
        <v>13500</v>
      </c>
      <c r="N598" s="294" t="n">
        <v>-500</v>
      </c>
      <c r="O598" s="212" t="s">
        <v>197</v>
      </c>
      <c r="Q598" s="212"/>
      <c r="R598" s="212"/>
      <c r="S598" s="291" t="s">
        <v>197</v>
      </c>
    </row>
    <row r="599" customFormat="false" ht="15" hidden="false" customHeight="false" outlineLevel="0" collapsed="false">
      <c r="B599" s="208" t="n">
        <v>2023</v>
      </c>
      <c r="C599" s="209" t="n">
        <v>1</v>
      </c>
      <c r="D599" s="226" t="e">
        <f aca="false">#N/A</f>
        <v>#N/A</v>
      </c>
      <c r="E599" s="221" t="n">
        <v>25672444846</v>
      </c>
      <c r="F599" s="221" t="n">
        <v>95693810</v>
      </c>
      <c r="G599" s="221" t="n">
        <v>1</v>
      </c>
      <c r="H599" s="229" t="s">
        <v>245</v>
      </c>
      <c r="I599" s="237" t="n">
        <v>9489.25</v>
      </c>
      <c r="J599" s="228" t="n">
        <v>12500</v>
      </c>
      <c r="K599" s="228" t="n">
        <v>9489.25</v>
      </c>
      <c r="L599" s="228" t="n">
        <v>3010.75</v>
      </c>
      <c r="M599" s="214" t="n">
        <v>12500</v>
      </c>
      <c r="N599" s="294"/>
      <c r="Q599" s="212"/>
      <c r="R599" s="212"/>
      <c r="S599" s="291"/>
    </row>
    <row r="600" customFormat="false" ht="15" hidden="false" customHeight="false" outlineLevel="0" collapsed="false">
      <c r="B600" s="208" t="n">
        <v>2023</v>
      </c>
      <c r="C600" s="209" t="n">
        <v>1</v>
      </c>
      <c r="D600" s="226" t="e">
        <f aca="false">#N/A</f>
        <v>#N/A</v>
      </c>
      <c r="E600" s="221" t="n">
        <v>33853146700</v>
      </c>
      <c r="F600" s="221" t="n">
        <v>96959868</v>
      </c>
      <c r="G600" s="221" t="n">
        <v>1</v>
      </c>
      <c r="H600" s="229" t="s">
        <v>247</v>
      </c>
      <c r="I600" s="237" t="n">
        <v>9144.81</v>
      </c>
      <c r="J600" s="228" t="n">
        <v>15000</v>
      </c>
      <c r="K600" s="228" t="n">
        <v>9144.81</v>
      </c>
      <c r="L600" s="228" t="n">
        <v>5855.19</v>
      </c>
      <c r="M600" s="214" t="n">
        <v>15000</v>
      </c>
      <c r="N600" s="294"/>
      <c r="Q600" s="212"/>
      <c r="R600" s="212"/>
      <c r="S600" s="291"/>
    </row>
    <row r="601" customFormat="false" ht="15" hidden="false" customHeight="false" outlineLevel="0" collapsed="false">
      <c r="B601" s="208" t="n">
        <v>2023</v>
      </c>
      <c r="C601" s="209" t="n">
        <v>1</v>
      </c>
      <c r="D601" s="226" t="s">
        <v>98</v>
      </c>
      <c r="E601" s="221" t="n">
        <v>51994540164</v>
      </c>
      <c r="F601" s="221" t="n">
        <v>96900867</v>
      </c>
      <c r="G601" s="221" t="n">
        <v>1</v>
      </c>
      <c r="H601" s="229" t="s">
        <v>97</v>
      </c>
      <c r="I601" s="237" t="n">
        <v>9144.81</v>
      </c>
      <c r="J601" s="228" t="n">
        <v>9144.81</v>
      </c>
      <c r="K601" s="228" t="n">
        <v>9144.81</v>
      </c>
      <c r="L601" s="228" t="n">
        <v>0</v>
      </c>
      <c r="M601" s="214" t="n">
        <v>9144.81</v>
      </c>
      <c r="N601" s="294"/>
      <c r="Q601" s="212"/>
      <c r="R601" s="212"/>
      <c r="S601" s="291"/>
    </row>
    <row r="602" customFormat="false" ht="15" hidden="false" customHeight="false" outlineLevel="0" collapsed="false">
      <c r="B602" s="208" t="n">
        <v>2023</v>
      </c>
      <c r="C602" s="209" t="n">
        <v>1</v>
      </c>
      <c r="D602" s="226" t="e">
        <f aca="false">#N/A</f>
        <v>#N/A</v>
      </c>
      <c r="E602" s="221" t="e">
        <f aca="false">#N/A</f>
        <v>#N/A</v>
      </c>
      <c r="F602" s="221" t="e">
        <f aca="false">#N/A</f>
        <v>#N/A</v>
      </c>
      <c r="G602" s="221" t="n">
        <v>1</v>
      </c>
      <c r="H602" s="229" t="s">
        <v>248</v>
      </c>
      <c r="I602" s="237" t="e">
        <f aca="false">#N/A</f>
        <v>#N/A</v>
      </c>
      <c r="J602" s="228" t="e">
        <f aca="false">#N/A</f>
        <v>#N/A</v>
      </c>
      <c r="K602" s="228" t="e">
        <f aca="false">#N/A</f>
        <v>#N/A</v>
      </c>
      <c r="L602" s="228" t="e">
        <f aca="false">#N/A</f>
        <v>#N/A</v>
      </c>
      <c r="M602" s="214" t="e">
        <f aca="false">#N/A</f>
        <v>#N/A</v>
      </c>
      <c r="N602" s="294"/>
      <c r="Q602" s="212"/>
      <c r="R602" s="212"/>
      <c r="S602" s="291"/>
    </row>
    <row r="603" customFormat="false" ht="15" hidden="false" customHeight="false" outlineLevel="0" collapsed="false">
      <c r="B603" s="208" t="n">
        <v>2023</v>
      </c>
      <c r="C603" s="209" t="n">
        <v>1</v>
      </c>
      <c r="D603" s="226" t="s">
        <v>34</v>
      </c>
      <c r="E603" s="221" t="n">
        <v>10459950610</v>
      </c>
      <c r="F603" s="221" t="n">
        <v>97226520</v>
      </c>
      <c r="G603" s="221" t="n">
        <v>1</v>
      </c>
      <c r="H603" s="229" t="s">
        <v>195</v>
      </c>
      <c r="I603" s="237" t="n">
        <v>9460.77</v>
      </c>
      <c r="J603" s="228" t="n">
        <v>12500</v>
      </c>
      <c r="K603" s="228" t="n">
        <v>9460.77</v>
      </c>
      <c r="L603" s="228" t="n">
        <v>3039.23</v>
      </c>
      <c r="M603" s="214" t="n">
        <v>12500</v>
      </c>
      <c r="N603" s="294"/>
      <c r="Q603" s="212"/>
      <c r="R603" s="212"/>
      <c r="S603" s="291"/>
    </row>
    <row r="604" customFormat="false" ht="15" hidden="false" customHeight="false" outlineLevel="0" collapsed="false">
      <c r="B604" s="208" t="n">
        <v>2023</v>
      </c>
      <c r="C604" s="209" t="n">
        <v>1</v>
      </c>
      <c r="D604" s="226" t="s">
        <v>51</v>
      </c>
      <c r="E604" s="221" t="n">
        <v>23713484608</v>
      </c>
      <c r="F604" s="221" t="n">
        <v>97189681</v>
      </c>
      <c r="G604" s="221" t="n">
        <v>1</v>
      </c>
      <c r="H604" s="229" t="s">
        <v>100</v>
      </c>
      <c r="I604" s="237" t="n">
        <v>9460.77</v>
      </c>
      <c r="J604" s="228" t="n">
        <v>12500</v>
      </c>
      <c r="K604" s="228" t="n">
        <v>9460.77</v>
      </c>
      <c r="L604" s="228" t="n">
        <v>3039.23</v>
      </c>
      <c r="M604" s="214" t="n">
        <v>12500</v>
      </c>
      <c r="N604" s="294"/>
      <c r="Q604" s="212"/>
      <c r="R604" s="212"/>
      <c r="S604" s="291"/>
    </row>
    <row r="605" customFormat="false" ht="15" hidden="false" customHeight="false" outlineLevel="0" collapsed="false">
      <c r="B605" s="208" t="n">
        <v>2023</v>
      </c>
      <c r="C605" s="209" t="n">
        <v>1</v>
      </c>
      <c r="D605" s="226" t="s">
        <v>82</v>
      </c>
      <c r="E605" s="221" t="n">
        <v>17891875174</v>
      </c>
      <c r="F605" s="221" t="n">
        <v>6214238</v>
      </c>
      <c r="G605" s="221" t="n">
        <v>1</v>
      </c>
      <c r="H605" s="229" t="s">
        <v>190</v>
      </c>
      <c r="I605" s="237" t="n">
        <v>8506.8</v>
      </c>
      <c r="J605" s="228" t="n">
        <v>8506.8</v>
      </c>
      <c r="K605" s="228" t="n">
        <v>8506.8</v>
      </c>
      <c r="L605" s="228" t="n">
        <v>0</v>
      </c>
      <c r="M605" s="214" t="n">
        <v>8506.8</v>
      </c>
      <c r="N605" s="294"/>
      <c r="Q605" s="212"/>
      <c r="R605" s="212"/>
      <c r="S605" s="291"/>
    </row>
    <row r="606" customFormat="false" ht="15" hidden="false" customHeight="false" outlineLevel="0" collapsed="false">
      <c r="B606" s="208" t="n">
        <v>2023</v>
      </c>
      <c r="C606" s="209" t="n">
        <v>1</v>
      </c>
      <c r="D606" s="226" t="e">
        <f aca="false">#N/A</f>
        <v>#N/A</v>
      </c>
      <c r="E606" s="221" t="n">
        <v>14233727054</v>
      </c>
      <c r="F606" s="221" t="n">
        <v>97522331</v>
      </c>
      <c r="G606" s="221" t="n">
        <v>1</v>
      </c>
      <c r="H606" s="229" t="s">
        <v>276</v>
      </c>
      <c r="I606" s="237" t="n">
        <v>1542.9</v>
      </c>
      <c r="J606" s="228" t="n">
        <v>12500</v>
      </c>
      <c r="K606" s="228" t="n">
        <v>1542.9</v>
      </c>
      <c r="L606" s="228" t="n">
        <v>10957.1</v>
      </c>
      <c r="M606" s="214" t="n">
        <v>12500</v>
      </c>
      <c r="N606" s="294"/>
      <c r="Q606" s="212"/>
      <c r="R606" s="212"/>
      <c r="S606" s="291"/>
    </row>
    <row r="607" customFormat="false" ht="15" hidden="false" customHeight="false" outlineLevel="0" collapsed="false">
      <c r="B607" s="208" t="n">
        <v>2023</v>
      </c>
      <c r="C607" s="209" t="n">
        <v>1</v>
      </c>
      <c r="D607" s="226" t="e">
        <f aca="false">#N/A</f>
        <v>#N/A</v>
      </c>
      <c r="E607" s="221" t="n">
        <v>38233125580</v>
      </c>
      <c r="F607" s="221" t="n">
        <v>95532065</v>
      </c>
      <c r="G607" s="221" t="n">
        <v>1</v>
      </c>
      <c r="H607" s="229" t="s">
        <v>289</v>
      </c>
      <c r="I607" s="237" t="n">
        <v>9460.77</v>
      </c>
      <c r="J607" s="228" t="n">
        <v>15000</v>
      </c>
      <c r="K607" s="228" t="n">
        <v>9460.77</v>
      </c>
      <c r="L607" s="228" t="n">
        <v>5539.23</v>
      </c>
      <c r="M607" s="214" t="n">
        <v>15000</v>
      </c>
      <c r="N607" s="294"/>
      <c r="Q607" s="212"/>
      <c r="R607" s="212"/>
      <c r="S607" s="291"/>
    </row>
    <row r="608" customFormat="false" ht="15" hidden="false" customHeight="false" outlineLevel="0" collapsed="false">
      <c r="B608" s="208" t="n">
        <v>2023</v>
      </c>
      <c r="C608" s="209" t="n">
        <v>1</v>
      </c>
      <c r="D608" s="226" t="s">
        <v>59</v>
      </c>
      <c r="E608" s="221" t="n">
        <v>18736701092</v>
      </c>
      <c r="F608" s="221" t="n">
        <v>95547779</v>
      </c>
      <c r="G608" s="221" t="n">
        <v>1</v>
      </c>
      <c r="H608" s="229" t="s">
        <v>127</v>
      </c>
      <c r="I608" s="237" t="n">
        <v>9460</v>
      </c>
      <c r="J608" s="228" t="n">
        <v>12000</v>
      </c>
      <c r="K608" s="228" t="n">
        <v>9460</v>
      </c>
      <c r="L608" s="228" t="n">
        <v>2540</v>
      </c>
      <c r="M608" s="214" t="n">
        <v>12000</v>
      </c>
      <c r="N608" s="294"/>
      <c r="Q608" s="212"/>
      <c r="R608" s="212"/>
      <c r="S608" s="291"/>
    </row>
    <row r="609" customFormat="false" ht="15" hidden="false" customHeight="false" outlineLevel="0" collapsed="false">
      <c r="B609" s="208" t="n">
        <v>2023</v>
      </c>
      <c r="C609" s="209" t="n">
        <v>1</v>
      </c>
      <c r="D609" s="226" t="s">
        <v>192</v>
      </c>
      <c r="E609" s="221" t="n">
        <v>0</v>
      </c>
      <c r="F609" s="221" t="n">
        <v>0</v>
      </c>
      <c r="G609" s="221" t="n">
        <v>1</v>
      </c>
      <c r="H609" s="229" t="s">
        <v>74</v>
      </c>
      <c r="I609" s="237" t="n">
        <v>0</v>
      </c>
      <c r="J609" s="228" t="n">
        <v>8500</v>
      </c>
      <c r="K609" s="228" t="n">
        <v>0</v>
      </c>
      <c r="L609" s="228" t="n">
        <v>8500</v>
      </c>
      <c r="M609" s="214" t="n">
        <v>8500</v>
      </c>
      <c r="N609" s="294"/>
      <c r="Q609" s="212"/>
      <c r="R609" s="212"/>
      <c r="S609" s="291"/>
    </row>
    <row r="610" customFormat="false" ht="15" hidden="false" customHeight="false" outlineLevel="0" collapsed="false">
      <c r="B610" s="208" t="n">
        <v>2023</v>
      </c>
      <c r="C610" s="209" t="n">
        <v>1</v>
      </c>
      <c r="D610" s="226" t="e">
        <f aca="false">#N/A</f>
        <v>#N/A</v>
      </c>
      <c r="E610" s="221" t="n">
        <v>18274523170</v>
      </c>
      <c r="F610" s="221" t="n">
        <v>95532068</v>
      </c>
      <c r="G610" s="221" t="n">
        <v>1</v>
      </c>
      <c r="H610" s="229" t="s">
        <v>14</v>
      </c>
      <c r="I610" s="237" t="n">
        <v>9144.81</v>
      </c>
      <c r="J610" s="228" t="n">
        <v>12500</v>
      </c>
      <c r="K610" s="228" t="n">
        <v>9144.81</v>
      </c>
      <c r="L610" s="228" t="n">
        <v>3355.19</v>
      </c>
      <c r="M610" s="214" t="n">
        <v>12500</v>
      </c>
      <c r="N610" s="294"/>
      <c r="Q610" s="212"/>
      <c r="R610" s="212"/>
      <c r="S610" s="291"/>
    </row>
    <row r="611" customFormat="false" ht="15" hidden="false" customHeight="false" outlineLevel="0" collapsed="false">
      <c r="B611" s="208" t="n">
        <v>2023</v>
      </c>
      <c r="C611" s="209" t="n">
        <v>1</v>
      </c>
      <c r="D611" s="226" t="e">
        <f aca="false">#N/A</f>
        <v>#N/A</v>
      </c>
      <c r="E611" s="221" t="n">
        <v>38614007368</v>
      </c>
      <c r="F611" s="221" t="n">
        <v>97665848</v>
      </c>
      <c r="G611" s="221" t="n">
        <v>1</v>
      </c>
      <c r="H611" s="229" t="s">
        <v>75</v>
      </c>
      <c r="I611" s="237" t="n">
        <v>9460.77</v>
      </c>
      <c r="J611" s="228" t="n">
        <v>12500</v>
      </c>
      <c r="K611" s="228" t="n">
        <v>9460.77</v>
      </c>
      <c r="L611" s="228" t="n">
        <v>3039.23</v>
      </c>
      <c r="M611" s="214" t="n">
        <v>12500</v>
      </c>
      <c r="N611" s="294"/>
      <c r="Q611" s="212"/>
      <c r="R611" s="212"/>
      <c r="S611" s="291"/>
    </row>
    <row r="612" customFormat="false" ht="15" hidden="false" customHeight="false" outlineLevel="0" collapsed="false">
      <c r="B612" s="208" t="n">
        <v>2023</v>
      </c>
      <c r="C612" s="209" t="n">
        <v>1</v>
      </c>
      <c r="D612" s="226" t="e">
        <f aca="false">#N/A</f>
        <v>#N/A</v>
      </c>
      <c r="E612" s="221" t="n">
        <v>13991912016</v>
      </c>
      <c r="F612" s="221" t="n">
        <v>98372520</v>
      </c>
      <c r="G612" s="221" t="n">
        <v>1</v>
      </c>
      <c r="H612" s="229" t="s">
        <v>311</v>
      </c>
      <c r="I612" s="237" t="n">
        <v>10500</v>
      </c>
      <c r="J612" s="228" t="n">
        <v>10500</v>
      </c>
      <c r="K612" s="228" t="n">
        <v>10500</v>
      </c>
      <c r="L612" s="228" t="n">
        <v>0</v>
      </c>
      <c r="M612" s="214" t="n">
        <v>10500</v>
      </c>
      <c r="N612" s="294"/>
      <c r="Q612" s="212"/>
      <c r="R612" s="212"/>
      <c r="S612" s="291"/>
    </row>
    <row r="613" customFormat="false" ht="15" hidden="false" customHeight="false" outlineLevel="0" collapsed="false">
      <c r="B613" s="208" t="n">
        <v>2023</v>
      </c>
      <c r="C613" s="209" t="n">
        <v>1</v>
      </c>
      <c r="D613" s="226" t="e">
        <f aca="false">#N/A</f>
        <v>#N/A</v>
      </c>
      <c r="E613" s="221" t="n">
        <v>0</v>
      </c>
      <c r="F613" s="221" t="n">
        <v>0</v>
      </c>
      <c r="G613" s="221" t="n">
        <v>1</v>
      </c>
      <c r="H613" s="229" t="s">
        <v>102</v>
      </c>
      <c r="I613" s="237" t="n">
        <v>0</v>
      </c>
      <c r="J613" s="228" t="n">
        <v>12500</v>
      </c>
      <c r="K613" s="228" t="n">
        <v>0</v>
      </c>
      <c r="L613" s="228" t="n">
        <v>12500</v>
      </c>
      <c r="M613" s="214" t="n">
        <v>12500</v>
      </c>
      <c r="N613" s="294"/>
      <c r="Q613" s="212"/>
      <c r="R613" s="212"/>
      <c r="S613" s="291"/>
    </row>
    <row r="614" customFormat="false" ht="15" hidden="false" customHeight="false" outlineLevel="0" collapsed="false">
      <c r="B614" s="208" t="n">
        <v>2023</v>
      </c>
      <c r="C614" s="209" t="n">
        <v>1</v>
      </c>
      <c r="D614" s="226" t="s">
        <v>43</v>
      </c>
      <c r="E614" s="221" t="n">
        <v>0</v>
      </c>
      <c r="F614" s="221" t="n">
        <v>0</v>
      </c>
      <c r="G614" s="221" t="n">
        <v>1</v>
      </c>
      <c r="H614" s="229" t="s">
        <v>196</v>
      </c>
      <c r="I614" s="237" t="n">
        <v>0</v>
      </c>
      <c r="J614" s="228" t="n">
        <v>8500</v>
      </c>
      <c r="K614" s="228" t="n">
        <v>0</v>
      </c>
      <c r="L614" s="228" t="n">
        <v>6500</v>
      </c>
      <c r="M614" s="214" t="n">
        <v>6500</v>
      </c>
      <c r="N614" s="294" t="n">
        <v>-2000</v>
      </c>
      <c r="O614" s="212" t="s">
        <v>197</v>
      </c>
      <c r="Q614" s="212"/>
      <c r="R614" s="212"/>
      <c r="S614" s="291" t="s">
        <v>197</v>
      </c>
    </row>
    <row r="615" customFormat="false" ht="15" hidden="false" customHeight="false" outlineLevel="0" collapsed="false">
      <c r="B615" s="208" t="n">
        <v>2023</v>
      </c>
      <c r="C615" s="209" t="n">
        <v>1</v>
      </c>
      <c r="D615" s="226" t="e">
        <f aca="false">#N/A</f>
        <v>#N/A</v>
      </c>
      <c r="E615" s="221" t="n">
        <v>74524099696</v>
      </c>
      <c r="F615" s="221" t="n">
        <v>98127163</v>
      </c>
      <c r="G615" s="221" t="n">
        <v>1</v>
      </c>
      <c r="H615" s="229" t="s">
        <v>66</v>
      </c>
      <c r="I615" s="237" t="n">
        <v>8506.8</v>
      </c>
      <c r="J615" s="228" t="n">
        <v>12000</v>
      </c>
      <c r="K615" s="228" t="n">
        <v>8506.8</v>
      </c>
      <c r="L615" s="228" t="n">
        <v>3493.2</v>
      </c>
      <c r="M615" s="214" t="n">
        <v>12000</v>
      </c>
      <c r="N615" s="294"/>
      <c r="Q615" s="212"/>
      <c r="R615" s="212"/>
      <c r="S615" s="291"/>
    </row>
    <row r="616" customFormat="false" ht="16.5" hidden="false" customHeight="true" outlineLevel="0" collapsed="false">
      <c r="B616" s="208" t="n">
        <v>2023</v>
      </c>
      <c r="C616" s="209" t="n">
        <v>1</v>
      </c>
      <c r="D616" s="226" t="s">
        <v>59</v>
      </c>
      <c r="E616" s="221" t="n">
        <v>22093575890</v>
      </c>
      <c r="F616" s="221" t="n">
        <v>96260905</v>
      </c>
      <c r="G616" s="269" t="n">
        <v>1</v>
      </c>
      <c r="H616" s="229" t="s">
        <v>133</v>
      </c>
      <c r="I616" s="237" t="n">
        <v>8506.8</v>
      </c>
      <c r="J616" s="228" t="n">
        <v>11000</v>
      </c>
      <c r="K616" s="228" t="n">
        <v>8506.8</v>
      </c>
      <c r="L616" s="228" t="n">
        <v>2493.2</v>
      </c>
      <c r="M616" s="214" t="n">
        <v>11000</v>
      </c>
      <c r="N616" s="294"/>
      <c r="Q616" s="212"/>
      <c r="R616" s="212"/>
      <c r="S616" s="291"/>
    </row>
    <row r="617" customFormat="false" ht="15" hidden="false" customHeight="false" outlineLevel="0" collapsed="false">
      <c r="B617" s="208" t="n">
        <v>2023</v>
      </c>
      <c r="C617" s="209" t="n">
        <v>1</v>
      </c>
      <c r="D617" s="226" t="s">
        <v>59</v>
      </c>
      <c r="E617" s="221" t="n">
        <v>64996156028</v>
      </c>
      <c r="F617" s="221" t="n">
        <v>95539771</v>
      </c>
      <c r="G617" s="221" t="n">
        <v>1</v>
      </c>
      <c r="H617" s="229" t="s">
        <v>55</v>
      </c>
      <c r="I617" s="237" t="n">
        <v>8506.8</v>
      </c>
      <c r="J617" s="228" t="n">
        <v>11000</v>
      </c>
      <c r="K617" s="228" t="n">
        <v>8506.8</v>
      </c>
      <c r="L617" s="228" t="n">
        <v>2493.2</v>
      </c>
      <c r="M617" s="214" t="n">
        <v>11000</v>
      </c>
      <c r="N617" s="294"/>
      <c r="Q617" s="212"/>
      <c r="R617" s="212"/>
      <c r="S617" s="291"/>
    </row>
    <row r="618" customFormat="false" ht="15" hidden="false" customHeight="false" outlineLevel="0" collapsed="false">
      <c r="B618" s="208" t="n">
        <v>2023</v>
      </c>
      <c r="C618" s="209" t="n">
        <v>1</v>
      </c>
      <c r="D618" s="226" t="s">
        <v>59</v>
      </c>
      <c r="E618" s="221" t="n">
        <v>0</v>
      </c>
      <c r="F618" s="221" t="n">
        <v>0</v>
      </c>
      <c r="G618" s="221"/>
      <c r="H618" s="229" t="s">
        <v>134</v>
      </c>
      <c r="I618" s="237" t="n">
        <v>0</v>
      </c>
      <c r="J618" s="228" t="n">
        <v>8500</v>
      </c>
      <c r="K618" s="228" t="n">
        <v>0</v>
      </c>
      <c r="L618" s="228" t="n">
        <v>8500</v>
      </c>
      <c r="M618" s="214" t="n">
        <v>8500</v>
      </c>
      <c r="N618" s="294"/>
      <c r="Q618" s="212"/>
      <c r="R618" s="212"/>
      <c r="S618" s="291"/>
    </row>
    <row r="619" customFormat="false" ht="15" hidden="false" customHeight="false" outlineLevel="0" collapsed="false">
      <c r="B619" s="208" t="n">
        <v>2023</v>
      </c>
      <c r="C619" s="209" t="n">
        <v>1</v>
      </c>
      <c r="D619" s="226" t="s">
        <v>59</v>
      </c>
      <c r="E619" s="221" t="n">
        <v>0</v>
      </c>
      <c r="F619" s="221" t="n">
        <v>0</v>
      </c>
      <c r="G619" s="221"/>
      <c r="H619" s="229" t="s">
        <v>312</v>
      </c>
      <c r="I619" s="237" t="n">
        <v>0</v>
      </c>
      <c r="J619" s="228" t="n">
        <v>4000</v>
      </c>
      <c r="K619" s="228" t="n">
        <v>0</v>
      </c>
      <c r="L619" s="228" t="n">
        <v>4000</v>
      </c>
      <c r="M619" s="214" t="n">
        <v>4000</v>
      </c>
      <c r="N619" s="294"/>
      <c r="Q619" s="212"/>
      <c r="R619" s="212"/>
      <c r="S619" s="291"/>
    </row>
    <row r="620" customFormat="false" ht="15" hidden="false" customHeight="false" outlineLevel="0" collapsed="false">
      <c r="B620" s="208" t="n">
        <v>2023</v>
      </c>
      <c r="C620" s="209" t="n">
        <v>1</v>
      </c>
      <c r="D620" s="226" t="s">
        <v>59</v>
      </c>
      <c r="E620" s="221" t="n">
        <v>0</v>
      </c>
      <c r="F620" s="221" t="n">
        <v>0</v>
      </c>
      <c r="G620" s="221"/>
      <c r="H620" s="229" t="s">
        <v>135</v>
      </c>
      <c r="I620" s="237" t="n">
        <v>0</v>
      </c>
      <c r="J620" s="228" t="n">
        <v>11000</v>
      </c>
      <c r="K620" s="228" t="n">
        <v>0</v>
      </c>
      <c r="L620" s="228" t="n">
        <v>11000</v>
      </c>
      <c r="M620" s="214" t="n">
        <v>11000</v>
      </c>
      <c r="N620" s="228"/>
      <c r="Q620" s="212"/>
      <c r="R620" s="212"/>
      <c r="S620" s="291"/>
    </row>
    <row r="621" customFormat="false" ht="15" hidden="true" customHeight="false" outlineLevel="0" collapsed="false">
      <c r="B621" s="208" t="n">
        <v>2023</v>
      </c>
      <c r="C621" s="209" t="n">
        <v>2</v>
      </c>
      <c r="D621" s="226" t="s">
        <v>56</v>
      </c>
      <c r="E621" s="221" t="n">
        <v>28699369338</v>
      </c>
      <c r="F621" s="221" t="n">
        <v>96358353</v>
      </c>
      <c r="G621" s="221" t="n">
        <v>1</v>
      </c>
      <c r="H621" s="229" t="s">
        <v>79</v>
      </c>
      <c r="I621" s="273" t="n">
        <v>11000</v>
      </c>
      <c r="J621" s="228" t="n">
        <v>17000</v>
      </c>
      <c r="K621" s="228" t="n">
        <v>11000</v>
      </c>
      <c r="L621" s="228" t="n">
        <v>6000</v>
      </c>
      <c r="M621" s="214" t="n">
        <v>17000</v>
      </c>
      <c r="N621" s="228"/>
      <c r="Q621" s="212"/>
      <c r="R621" s="212"/>
      <c r="S621" s="291"/>
    </row>
    <row r="622" customFormat="false" ht="15" hidden="true" customHeight="false" outlineLevel="0" collapsed="false">
      <c r="B622" s="208" t="n">
        <v>2023</v>
      </c>
      <c r="C622" s="209" t="n">
        <v>2</v>
      </c>
      <c r="D622" s="226" t="s">
        <v>69</v>
      </c>
      <c r="E622" s="221" t="n">
        <v>63097169876</v>
      </c>
      <c r="F622" s="221" t="n">
        <v>96843148</v>
      </c>
      <c r="G622" s="221" t="n">
        <v>1</v>
      </c>
      <c r="H622" s="227" t="s">
        <v>122</v>
      </c>
      <c r="I622" s="273" t="n">
        <v>9144.81</v>
      </c>
      <c r="J622" s="228" t="n">
        <v>16000</v>
      </c>
      <c r="K622" s="228" t="n">
        <v>9144.81</v>
      </c>
      <c r="L622" s="228" t="n">
        <v>6855.19</v>
      </c>
      <c r="M622" s="214" t="n">
        <v>16000</v>
      </c>
      <c r="N622" s="228"/>
      <c r="Q622" s="212"/>
      <c r="R622" s="212"/>
      <c r="S622" s="291"/>
    </row>
    <row r="623" customFormat="false" ht="15" hidden="true" customHeight="false" outlineLevel="0" collapsed="false">
      <c r="B623" s="208" t="n">
        <v>2023</v>
      </c>
      <c r="C623" s="209" t="n">
        <v>2</v>
      </c>
      <c r="D623" s="226" t="s">
        <v>82</v>
      </c>
      <c r="E623" s="221" t="n">
        <v>36826974454</v>
      </c>
      <c r="F623" s="221" t="n">
        <v>95573006</v>
      </c>
      <c r="G623" s="221" t="n">
        <v>1</v>
      </c>
      <c r="H623" s="229" t="s">
        <v>188</v>
      </c>
      <c r="I623" s="273" t="n">
        <v>8506.8</v>
      </c>
      <c r="J623" s="228" t="n">
        <v>8506.8</v>
      </c>
      <c r="K623" s="228" t="n">
        <v>8506.8</v>
      </c>
      <c r="L623" s="228" t="n">
        <v>0</v>
      </c>
      <c r="M623" s="214" t="n">
        <v>8506.8</v>
      </c>
      <c r="N623" s="228"/>
      <c r="Q623" s="212"/>
      <c r="R623" s="212"/>
      <c r="S623" s="291"/>
    </row>
    <row r="624" customFormat="false" ht="15" hidden="true" customHeight="false" outlineLevel="0" collapsed="false">
      <c r="B624" s="208" t="n">
        <v>2023</v>
      </c>
      <c r="C624" s="209" t="n">
        <v>2</v>
      </c>
      <c r="D624" s="226" t="s">
        <v>82</v>
      </c>
      <c r="E624" s="221" t="n">
        <v>17630785580</v>
      </c>
      <c r="F624" s="221" t="n">
        <v>95529415</v>
      </c>
      <c r="G624" s="221" t="n">
        <v>1</v>
      </c>
      <c r="H624" s="229" t="s">
        <v>81</v>
      </c>
      <c r="I624" s="273" t="n">
        <v>9144.81</v>
      </c>
      <c r="J624" s="228" t="n">
        <v>34144.81</v>
      </c>
      <c r="K624" s="228" t="n">
        <v>9144.81</v>
      </c>
      <c r="L624" s="228" t="n">
        <v>25000</v>
      </c>
      <c r="M624" s="214" t="n">
        <v>34144.81</v>
      </c>
      <c r="N624" s="228"/>
      <c r="Q624" s="212"/>
      <c r="R624" s="212"/>
      <c r="S624" s="291"/>
    </row>
    <row r="625" customFormat="false" ht="15" hidden="true" customHeight="false" outlineLevel="0" collapsed="false">
      <c r="B625" s="208" t="n">
        <v>2023</v>
      </c>
      <c r="C625" s="209" t="n">
        <v>2</v>
      </c>
      <c r="D625" s="226" t="s">
        <v>56</v>
      </c>
      <c r="E625" s="221" t="n">
        <v>55186680706</v>
      </c>
      <c r="F625" s="221" t="n">
        <v>95787183</v>
      </c>
      <c r="G625" s="221" t="n">
        <v>1</v>
      </c>
      <c r="H625" s="229" t="s">
        <v>73</v>
      </c>
      <c r="I625" s="273" t="n">
        <v>4253.4</v>
      </c>
      <c r="J625" s="228" t="n">
        <v>4253.4</v>
      </c>
      <c r="K625" s="228" t="n">
        <v>4253.4</v>
      </c>
      <c r="L625" s="228" t="n">
        <v>0</v>
      </c>
      <c r="M625" s="214" t="n">
        <v>4253.4</v>
      </c>
      <c r="N625" s="228"/>
      <c r="Q625" s="212"/>
      <c r="R625" s="212"/>
      <c r="S625" s="291"/>
    </row>
    <row r="626" customFormat="false" ht="15" hidden="true" customHeight="false" outlineLevel="0" collapsed="false">
      <c r="B626" s="208" t="n">
        <v>2023</v>
      </c>
      <c r="C626" s="209" t="n">
        <v>2</v>
      </c>
      <c r="D626" s="226" t="s">
        <v>82</v>
      </c>
      <c r="E626" s="221" t="n">
        <v>21242693324</v>
      </c>
      <c r="F626" s="221" t="n">
        <v>95532064</v>
      </c>
      <c r="G626" s="221" t="n">
        <v>1</v>
      </c>
      <c r="H626" s="229" t="s">
        <v>85</v>
      </c>
      <c r="I626" s="273" t="n">
        <v>9674.4</v>
      </c>
      <c r="J626" s="228" t="n">
        <v>9460.77</v>
      </c>
      <c r="K626" s="228" t="n">
        <v>9674.4</v>
      </c>
      <c r="L626" s="228" t="n">
        <v>-213.63</v>
      </c>
      <c r="M626" s="214" t="n">
        <v>9460.77</v>
      </c>
      <c r="N626" s="228"/>
      <c r="Q626" s="212"/>
      <c r="R626" s="212"/>
      <c r="S626" s="291"/>
    </row>
    <row r="627" customFormat="false" ht="15" hidden="true" customHeight="false" outlineLevel="0" collapsed="false">
      <c r="B627" s="208" t="n">
        <v>2023</v>
      </c>
      <c r="C627" s="209" t="n">
        <v>2</v>
      </c>
      <c r="D627" s="226" t="s">
        <v>82</v>
      </c>
      <c r="E627" s="221" t="n">
        <v>17159801204</v>
      </c>
      <c r="F627" s="221" t="n">
        <v>95532066</v>
      </c>
      <c r="G627" s="221" t="n">
        <v>1</v>
      </c>
      <c r="H627" s="229" t="s">
        <v>87</v>
      </c>
      <c r="I627" s="273" t="n">
        <v>9460.77</v>
      </c>
      <c r="J627" s="228" t="n">
        <v>9460.77</v>
      </c>
      <c r="K627" s="228" t="n">
        <v>9460.77</v>
      </c>
      <c r="L627" s="228" t="n">
        <v>0</v>
      </c>
      <c r="M627" s="214" t="n">
        <v>9460.77</v>
      </c>
      <c r="N627" s="228"/>
      <c r="Q627" s="212"/>
      <c r="R627" s="212"/>
      <c r="S627" s="291"/>
    </row>
    <row r="628" customFormat="false" ht="15" hidden="true" customHeight="false" outlineLevel="0" collapsed="false">
      <c r="B628" s="208" t="n">
        <v>2023</v>
      </c>
      <c r="C628" s="209" t="n">
        <v>2</v>
      </c>
      <c r="D628" s="226" t="s">
        <v>69</v>
      </c>
      <c r="E628" s="221" t="n">
        <v>23764482950</v>
      </c>
      <c r="F628" s="221" t="n">
        <v>95532077</v>
      </c>
      <c r="G628" s="221" t="n">
        <v>1</v>
      </c>
      <c r="H628" s="229" t="s">
        <v>93</v>
      </c>
      <c r="I628" s="273" t="n">
        <v>1542.9</v>
      </c>
      <c r="J628" s="228" t="n">
        <v>14000</v>
      </c>
      <c r="K628" s="228" t="n">
        <v>1542.9</v>
      </c>
      <c r="L628" s="228" t="n">
        <v>12457.1</v>
      </c>
      <c r="M628" s="214" t="n">
        <v>14000</v>
      </c>
      <c r="N628" s="228"/>
      <c r="Q628" s="212"/>
      <c r="R628" s="212"/>
      <c r="S628" s="297"/>
    </row>
    <row r="629" customFormat="false" ht="15" hidden="true" customHeight="false" outlineLevel="0" collapsed="false">
      <c r="B629" s="208" t="n">
        <v>2023</v>
      </c>
      <c r="C629" s="209" t="n">
        <v>2</v>
      </c>
      <c r="D629" s="226" t="e">
        <f aca="false">#N/A</f>
        <v>#N/A</v>
      </c>
      <c r="E629" s="221" t="n">
        <v>25672444846</v>
      </c>
      <c r="F629" s="221" t="n">
        <v>95693810</v>
      </c>
      <c r="G629" s="221" t="n">
        <v>1</v>
      </c>
      <c r="H629" s="229" t="s">
        <v>245</v>
      </c>
      <c r="I629" s="273" t="n">
        <v>9489.25</v>
      </c>
      <c r="J629" s="228" t="n">
        <v>12500</v>
      </c>
      <c r="K629" s="228" t="n">
        <v>9489.25</v>
      </c>
      <c r="L629" s="228" t="n">
        <v>3010.75</v>
      </c>
      <c r="M629" s="214" t="n">
        <v>12500</v>
      </c>
      <c r="N629" s="228"/>
      <c r="Q629" s="212"/>
      <c r="R629" s="212"/>
      <c r="S629" s="291"/>
    </row>
    <row r="630" customFormat="false" ht="15" hidden="true" customHeight="false" outlineLevel="0" collapsed="false">
      <c r="B630" s="208" t="n">
        <v>2023</v>
      </c>
      <c r="C630" s="209" t="n">
        <v>2</v>
      </c>
      <c r="D630" s="226" t="e">
        <f aca="false">#N/A</f>
        <v>#N/A</v>
      </c>
      <c r="E630" s="221" t="n">
        <v>33853146700</v>
      </c>
      <c r="F630" s="221" t="n">
        <v>96959868</v>
      </c>
      <c r="G630" s="221" t="n">
        <v>1</v>
      </c>
      <c r="H630" s="229" t="s">
        <v>247</v>
      </c>
      <c r="I630" s="273" t="n">
        <v>9144.81</v>
      </c>
      <c r="J630" s="228" t="n">
        <v>15000</v>
      </c>
      <c r="K630" s="228" t="n">
        <v>9144.81</v>
      </c>
      <c r="L630" s="228" t="n">
        <v>3855.19</v>
      </c>
      <c r="M630" s="214" t="n">
        <v>13000</v>
      </c>
      <c r="N630" s="228" t="n">
        <v>-2000</v>
      </c>
      <c r="O630" s="212" t="s">
        <v>313</v>
      </c>
      <c r="Q630" s="212"/>
      <c r="R630" s="212"/>
      <c r="S630" s="298" t="s">
        <v>313</v>
      </c>
    </row>
    <row r="631" customFormat="false" ht="15" hidden="true" customHeight="false" outlineLevel="0" collapsed="false">
      <c r="B631" s="208" t="n">
        <v>2023</v>
      </c>
      <c r="C631" s="209" t="n">
        <v>2</v>
      </c>
      <c r="D631" s="226" t="s">
        <v>98</v>
      </c>
      <c r="E631" s="221" t="n">
        <v>51994540164</v>
      </c>
      <c r="F631" s="221" t="n">
        <v>96900867</v>
      </c>
      <c r="G631" s="221" t="n">
        <v>1</v>
      </c>
      <c r="H631" s="229" t="s">
        <v>97</v>
      </c>
      <c r="I631" s="273" t="n">
        <v>9144.81</v>
      </c>
      <c r="J631" s="228" t="n">
        <v>9144.81</v>
      </c>
      <c r="K631" s="228" t="n">
        <v>9144.81</v>
      </c>
      <c r="L631" s="228" t="n">
        <v>0</v>
      </c>
      <c r="M631" s="214" t="n">
        <v>9144.81</v>
      </c>
      <c r="N631" s="228"/>
      <c r="Q631" s="212"/>
      <c r="R631" s="212"/>
      <c r="S631" s="291"/>
    </row>
    <row r="632" customFormat="false" ht="15" hidden="true" customHeight="false" outlineLevel="0" collapsed="false">
      <c r="B632" s="208" t="n">
        <v>2023</v>
      </c>
      <c r="C632" s="209" t="n">
        <v>2</v>
      </c>
      <c r="D632" s="226" t="s">
        <v>34</v>
      </c>
      <c r="E632" s="221" t="n">
        <v>10459950610</v>
      </c>
      <c r="F632" s="221" t="n">
        <v>97226520</v>
      </c>
      <c r="G632" s="221" t="n">
        <v>1</v>
      </c>
      <c r="H632" s="229" t="s">
        <v>195</v>
      </c>
      <c r="I632" s="273" t="n">
        <v>9460.77</v>
      </c>
      <c r="J632" s="228" t="n">
        <v>12500</v>
      </c>
      <c r="K632" s="228" t="n">
        <v>9460.77</v>
      </c>
      <c r="L632" s="228" t="n">
        <v>3039.23</v>
      </c>
      <c r="M632" s="214" t="n">
        <v>12500</v>
      </c>
      <c r="N632" s="228"/>
      <c r="Q632" s="212"/>
      <c r="R632" s="212"/>
      <c r="S632" s="291"/>
    </row>
    <row r="633" customFormat="false" ht="15" hidden="true" customHeight="false" outlineLevel="0" collapsed="false">
      <c r="B633" s="208" t="n">
        <v>2023</v>
      </c>
      <c r="C633" s="209" t="n">
        <v>2</v>
      </c>
      <c r="D633" s="226" t="s">
        <v>51</v>
      </c>
      <c r="E633" s="221" t="n">
        <v>23713484608</v>
      </c>
      <c r="F633" s="221" t="n">
        <v>97189681</v>
      </c>
      <c r="G633" s="221" t="n">
        <v>1</v>
      </c>
      <c r="H633" s="229" t="s">
        <v>100</v>
      </c>
      <c r="I633" s="273" t="n">
        <v>9460.77</v>
      </c>
      <c r="J633" s="228" t="n">
        <v>12500</v>
      </c>
      <c r="K633" s="228" t="n">
        <v>9460.77</v>
      </c>
      <c r="L633" s="228" t="n">
        <v>3039.23</v>
      </c>
      <c r="M633" s="214" t="n">
        <v>12500</v>
      </c>
      <c r="N633" s="228"/>
      <c r="Q633" s="212"/>
      <c r="R633" s="212"/>
      <c r="S633" s="291"/>
    </row>
    <row r="634" customFormat="false" ht="15" hidden="true" customHeight="false" outlineLevel="0" collapsed="false">
      <c r="B634" s="208" t="n">
        <v>2023</v>
      </c>
      <c r="C634" s="209" t="n">
        <v>2</v>
      </c>
      <c r="D634" s="226" t="s">
        <v>82</v>
      </c>
      <c r="E634" s="221" t="n">
        <v>17891875174</v>
      </c>
      <c r="F634" s="221" t="n">
        <v>6214238</v>
      </c>
      <c r="G634" s="221" t="n">
        <v>1</v>
      </c>
      <c r="H634" s="229" t="s">
        <v>190</v>
      </c>
      <c r="I634" s="273" t="n">
        <v>8506.8</v>
      </c>
      <c r="J634" s="228" t="n">
        <v>8506.8</v>
      </c>
      <c r="K634" s="228" t="n">
        <v>8506.8</v>
      </c>
      <c r="L634" s="228" t="n">
        <v>0</v>
      </c>
      <c r="M634" s="214" t="n">
        <v>8506.8</v>
      </c>
      <c r="N634" s="228"/>
      <c r="Q634" s="212"/>
      <c r="R634" s="212"/>
      <c r="S634" s="291"/>
    </row>
    <row r="635" customFormat="false" ht="15" hidden="true" customHeight="false" outlineLevel="0" collapsed="false">
      <c r="B635" s="208" t="n">
        <v>2023</v>
      </c>
      <c r="C635" s="209" t="n">
        <v>2</v>
      </c>
      <c r="D635" s="226" t="e">
        <f aca="false">#N/A</f>
        <v>#N/A</v>
      </c>
      <c r="E635" s="221" t="n">
        <v>14233727054</v>
      </c>
      <c r="F635" s="221" t="n">
        <v>97522331</v>
      </c>
      <c r="G635" s="221" t="n">
        <v>1</v>
      </c>
      <c r="H635" s="229" t="s">
        <v>276</v>
      </c>
      <c r="I635" s="273" t="n">
        <v>1542.9</v>
      </c>
      <c r="J635" s="228" t="n">
        <v>12500</v>
      </c>
      <c r="K635" s="228" t="n">
        <v>1542.9</v>
      </c>
      <c r="L635" s="228" t="n">
        <v>10957.1</v>
      </c>
      <c r="M635" s="214" t="n">
        <v>12500</v>
      </c>
      <c r="N635" s="228"/>
      <c r="Q635" s="212"/>
      <c r="R635" s="212"/>
      <c r="S635" s="291"/>
    </row>
    <row r="636" customFormat="false" ht="15" hidden="true" customHeight="false" outlineLevel="0" collapsed="false">
      <c r="B636" s="208" t="n">
        <v>2023</v>
      </c>
      <c r="C636" s="209" t="n">
        <v>2</v>
      </c>
      <c r="D636" s="226" t="e">
        <f aca="false">#N/A</f>
        <v>#N/A</v>
      </c>
      <c r="E636" s="221" t="n">
        <v>38233125580</v>
      </c>
      <c r="F636" s="221" t="n">
        <v>95532065</v>
      </c>
      <c r="G636" s="221" t="n">
        <v>1</v>
      </c>
      <c r="H636" s="229" t="s">
        <v>289</v>
      </c>
      <c r="I636" s="273" t="n">
        <v>9460.77</v>
      </c>
      <c r="J636" s="228" t="n">
        <v>15000</v>
      </c>
      <c r="K636" s="228" t="n">
        <v>9460.77</v>
      </c>
      <c r="L636" s="228" t="n">
        <v>5539.23</v>
      </c>
      <c r="M636" s="214" t="n">
        <v>15000</v>
      </c>
      <c r="N636" s="228"/>
      <c r="Q636" s="212"/>
      <c r="R636" s="212"/>
      <c r="S636" s="291"/>
    </row>
    <row r="637" customFormat="false" ht="15" hidden="true" customHeight="false" outlineLevel="0" collapsed="false">
      <c r="B637" s="208" t="n">
        <v>2023</v>
      </c>
      <c r="C637" s="209" t="n">
        <v>2</v>
      </c>
      <c r="D637" s="226" t="s">
        <v>59</v>
      </c>
      <c r="E637" s="221" t="n">
        <v>18736701092</v>
      </c>
      <c r="F637" s="221" t="n">
        <v>95547779</v>
      </c>
      <c r="G637" s="221" t="n">
        <v>1</v>
      </c>
      <c r="H637" s="229" t="s">
        <v>127</v>
      </c>
      <c r="I637" s="273" t="n">
        <v>9460</v>
      </c>
      <c r="J637" s="228" t="n">
        <v>12000</v>
      </c>
      <c r="K637" s="228" t="n">
        <v>9460</v>
      </c>
      <c r="L637" s="228" t="n">
        <v>2540</v>
      </c>
      <c r="M637" s="214" t="n">
        <v>12000</v>
      </c>
      <c r="N637" s="228"/>
      <c r="Q637" s="212"/>
      <c r="R637" s="212"/>
      <c r="S637" s="291"/>
    </row>
    <row r="638" customFormat="false" ht="15" hidden="true" customHeight="false" outlineLevel="0" collapsed="false">
      <c r="B638" s="208" t="n">
        <v>2023</v>
      </c>
      <c r="C638" s="209" t="n">
        <v>2</v>
      </c>
      <c r="D638" s="226" t="s">
        <v>192</v>
      </c>
      <c r="E638" s="221" t="n">
        <v>0</v>
      </c>
      <c r="F638" s="221" t="n">
        <v>0</v>
      </c>
      <c r="G638" s="221" t="n">
        <v>0</v>
      </c>
      <c r="H638" s="229" t="s">
        <v>74</v>
      </c>
      <c r="I638" s="273"/>
      <c r="J638" s="228" t="n">
        <v>8500</v>
      </c>
      <c r="K638" s="228" t="n">
        <v>0</v>
      </c>
      <c r="L638" s="228" t="n">
        <v>8500</v>
      </c>
      <c r="M638" s="214" t="n">
        <v>8500</v>
      </c>
      <c r="N638" s="228"/>
      <c r="Q638" s="212"/>
      <c r="R638" s="212"/>
      <c r="S638" s="297"/>
    </row>
    <row r="639" customFormat="false" ht="15" hidden="true" customHeight="false" outlineLevel="0" collapsed="false">
      <c r="B639" s="208" t="n">
        <v>2023</v>
      </c>
      <c r="C639" s="209" t="n">
        <v>2</v>
      </c>
      <c r="D639" s="226" t="e">
        <f aca="false">#N/A</f>
        <v>#N/A</v>
      </c>
      <c r="E639" s="221" t="n">
        <v>18274523170</v>
      </c>
      <c r="F639" s="221" t="n">
        <v>95532068</v>
      </c>
      <c r="G639" s="221" t="n">
        <v>1</v>
      </c>
      <c r="H639" s="229" t="s">
        <v>14</v>
      </c>
      <c r="I639" s="273" t="n">
        <v>9144.81</v>
      </c>
      <c r="J639" s="228" t="n">
        <v>12500</v>
      </c>
      <c r="K639" s="228" t="n">
        <v>9144.81</v>
      </c>
      <c r="L639" s="228" t="n">
        <v>3355.19</v>
      </c>
      <c r="M639" s="214" t="n">
        <v>12500</v>
      </c>
      <c r="N639" s="228"/>
      <c r="Q639" s="212"/>
      <c r="R639" s="212"/>
      <c r="S639" s="291"/>
    </row>
    <row r="640" customFormat="false" ht="15" hidden="true" customHeight="false" outlineLevel="0" collapsed="false">
      <c r="B640" s="208" t="n">
        <v>2023</v>
      </c>
      <c r="C640" s="209" t="n">
        <v>2</v>
      </c>
      <c r="D640" s="226" t="e">
        <f aca="false">#N/A</f>
        <v>#N/A</v>
      </c>
      <c r="E640" s="221" t="n">
        <v>13991912016</v>
      </c>
      <c r="F640" s="221" t="n">
        <v>98372520</v>
      </c>
      <c r="G640" s="221" t="n">
        <v>1</v>
      </c>
      <c r="H640" s="229" t="s">
        <v>311</v>
      </c>
      <c r="I640" s="273" t="n">
        <v>10500</v>
      </c>
      <c r="J640" s="228" t="n">
        <v>10500</v>
      </c>
      <c r="K640" s="228" t="n">
        <v>10500</v>
      </c>
      <c r="L640" s="228" t="n">
        <v>0</v>
      </c>
      <c r="M640" s="214" t="n">
        <v>10500</v>
      </c>
      <c r="N640" s="228"/>
      <c r="Q640" s="212"/>
      <c r="R640" s="212"/>
      <c r="S640" s="297"/>
    </row>
    <row r="641" customFormat="false" ht="15" hidden="true" customHeight="false" outlineLevel="0" collapsed="false">
      <c r="B641" s="208" t="n">
        <v>2023</v>
      </c>
      <c r="C641" s="209" t="n">
        <v>2</v>
      </c>
      <c r="D641" s="226" t="e">
        <f aca="false">#N/A</f>
        <v>#N/A</v>
      </c>
      <c r="E641" s="221" t="n">
        <v>0</v>
      </c>
      <c r="F641" s="221" t="n">
        <v>0</v>
      </c>
      <c r="G641" s="221" t="n">
        <v>0</v>
      </c>
      <c r="H641" s="229" t="s">
        <v>102</v>
      </c>
      <c r="I641" s="237" t="n">
        <v>0</v>
      </c>
      <c r="J641" s="228" t="n">
        <v>12500</v>
      </c>
      <c r="K641" s="228" t="n">
        <v>0</v>
      </c>
      <c r="L641" s="228" t="n">
        <v>12500</v>
      </c>
      <c r="M641" s="214" t="n">
        <v>12500</v>
      </c>
      <c r="N641" s="228"/>
      <c r="Q641" s="212"/>
      <c r="R641" s="212"/>
      <c r="S641" s="291"/>
    </row>
    <row r="642" customFormat="false" ht="15" hidden="true" customHeight="false" outlineLevel="0" collapsed="false">
      <c r="B642" s="208" t="n">
        <v>2023</v>
      </c>
      <c r="C642" s="209" t="n">
        <v>2</v>
      </c>
      <c r="D642" s="226" t="s">
        <v>43</v>
      </c>
      <c r="E642" s="221" t="n">
        <v>0</v>
      </c>
      <c r="F642" s="221" t="n">
        <v>0</v>
      </c>
      <c r="G642" s="221" t="n">
        <v>0</v>
      </c>
      <c r="H642" s="229" t="s">
        <v>196</v>
      </c>
      <c r="I642" s="237" t="n">
        <v>0</v>
      </c>
      <c r="J642" s="228" t="n">
        <v>8500</v>
      </c>
      <c r="K642" s="228" t="n">
        <v>0</v>
      </c>
      <c r="L642" s="228" t="n">
        <v>6500</v>
      </c>
      <c r="M642" s="214" t="n">
        <v>6500</v>
      </c>
      <c r="N642" s="228" t="n">
        <v>-2000</v>
      </c>
      <c r="O642" s="212" t="s">
        <v>314</v>
      </c>
      <c r="Q642" s="212"/>
      <c r="R642" s="212"/>
      <c r="S642" s="298" t="s">
        <v>314</v>
      </c>
    </row>
    <row r="643" customFormat="false" ht="15" hidden="true" customHeight="false" outlineLevel="0" collapsed="false">
      <c r="B643" s="208" t="n">
        <v>2023</v>
      </c>
      <c r="C643" s="209" t="n">
        <v>2</v>
      </c>
      <c r="D643" s="226" t="e">
        <f aca="false">#N/A</f>
        <v>#N/A</v>
      </c>
      <c r="E643" s="221" t="n">
        <v>74524099696</v>
      </c>
      <c r="F643" s="221" t="n">
        <v>98127163</v>
      </c>
      <c r="G643" s="221" t="n">
        <v>1</v>
      </c>
      <c r="H643" s="229" t="s">
        <v>66</v>
      </c>
      <c r="I643" s="273" t="n">
        <v>8506.8</v>
      </c>
      <c r="J643" s="228" t="n">
        <v>12000</v>
      </c>
      <c r="K643" s="228" t="n">
        <v>8506.8</v>
      </c>
      <c r="L643" s="228" t="n">
        <v>3493.2</v>
      </c>
      <c r="M643" s="214" t="n">
        <v>12000</v>
      </c>
      <c r="N643" s="228"/>
      <c r="Q643" s="212"/>
      <c r="R643" s="212"/>
      <c r="S643" s="291"/>
    </row>
    <row r="644" customFormat="false" ht="15" hidden="true" customHeight="false" outlineLevel="0" collapsed="false">
      <c r="B644" s="208" t="n">
        <v>2023</v>
      </c>
      <c r="C644" s="209" t="n">
        <v>2</v>
      </c>
      <c r="D644" s="226" t="s">
        <v>59</v>
      </c>
      <c r="E644" s="221" t="n">
        <v>22093575890</v>
      </c>
      <c r="F644" s="221" t="n">
        <v>96260905</v>
      </c>
      <c r="G644" s="221" t="n">
        <v>1</v>
      </c>
      <c r="H644" s="229" t="s">
        <v>133</v>
      </c>
      <c r="I644" s="273" t="n">
        <v>8506.8</v>
      </c>
      <c r="J644" s="228" t="n">
        <v>11000</v>
      </c>
      <c r="K644" s="228" t="n">
        <v>8506.8</v>
      </c>
      <c r="L644" s="228" t="n">
        <v>2493.2</v>
      </c>
      <c r="M644" s="214" t="n">
        <v>11000</v>
      </c>
      <c r="N644" s="228"/>
      <c r="Q644" s="212"/>
      <c r="R644" s="212"/>
      <c r="S644" s="291"/>
    </row>
    <row r="645" customFormat="false" ht="15" hidden="true" customHeight="false" outlineLevel="0" collapsed="false">
      <c r="B645" s="208" t="n">
        <v>2023</v>
      </c>
      <c r="C645" s="209" t="n">
        <v>2</v>
      </c>
      <c r="D645" s="226" t="s">
        <v>59</v>
      </c>
      <c r="E645" s="221" t="n">
        <v>64996156028</v>
      </c>
      <c r="F645" s="221" t="n">
        <v>95539771</v>
      </c>
      <c r="G645" s="221" t="n">
        <v>1</v>
      </c>
      <c r="H645" s="229" t="s">
        <v>55</v>
      </c>
      <c r="I645" s="273" t="n">
        <v>8506.8</v>
      </c>
      <c r="J645" s="228" t="n">
        <v>11000</v>
      </c>
      <c r="K645" s="228" t="n">
        <v>8506.8</v>
      </c>
      <c r="L645" s="228" t="n">
        <v>2493.2</v>
      </c>
      <c r="M645" s="214" t="n">
        <v>11000</v>
      </c>
      <c r="N645" s="228"/>
      <c r="Q645" s="212"/>
      <c r="R645" s="212"/>
      <c r="S645" s="291"/>
    </row>
    <row r="646" customFormat="false" ht="15" hidden="true" customHeight="false" outlineLevel="0" collapsed="false">
      <c r="B646" s="208" t="n">
        <v>2023</v>
      </c>
      <c r="C646" s="209" t="n">
        <v>2</v>
      </c>
      <c r="D646" s="226" t="s">
        <v>59</v>
      </c>
      <c r="E646" s="221" t="n">
        <v>0</v>
      </c>
      <c r="F646" s="221" t="n">
        <v>0</v>
      </c>
      <c r="G646" s="221" t="n">
        <v>0</v>
      </c>
      <c r="H646" s="229" t="s">
        <v>134</v>
      </c>
      <c r="I646" s="237" t="n">
        <v>0</v>
      </c>
      <c r="J646" s="228" t="n">
        <v>8500</v>
      </c>
      <c r="K646" s="228" t="n">
        <v>0</v>
      </c>
      <c r="L646" s="228" t="n">
        <v>8500</v>
      </c>
      <c r="M646" s="214" t="n">
        <v>8500</v>
      </c>
      <c r="N646" s="228"/>
      <c r="Q646" s="212"/>
      <c r="R646" s="212"/>
      <c r="S646" s="291"/>
    </row>
    <row r="647" customFormat="false" ht="15" hidden="true" customHeight="false" outlineLevel="0" collapsed="false">
      <c r="B647" s="208" t="n">
        <v>2023</v>
      </c>
      <c r="C647" s="209" t="n">
        <v>2</v>
      </c>
      <c r="D647" s="226" t="s">
        <v>59</v>
      </c>
      <c r="E647" s="221" t="n">
        <v>0</v>
      </c>
      <c r="F647" s="221" t="n">
        <v>0</v>
      </c>
      <c r="G647" s="221" t="n">
        <v>0</v>
      </c>
      <c r="H647" s="229" t="s">
        <v>312</v>
      </c>
      <c r="I647" s="237" t="n">
        <v>0</v>
      </c>
      <c r="J647" s="228" t="n">
        <v>4000</v>
      </c>
      <c r="K647" s="228" t="n">
        <v>0</v>
      </c>
      <c r="L647" s="228" t="n">
        <v>4000</v>
      </c>
      <c r="M647" s="214" t="n">
        <v>4000</v>
      </c>
      <c r="N647" s="228"/>
      <c r="Q647" s="212"/>
      <c r="R647" s="212"/>
      <c r="S647" s="291"/>
    </row>
    <row r="648" customFormat="false" ht="15" hidden="true" customHeight="false" outlineLevel="0" collapsed="false">
      <c r="B648" s="208" t="n">
        <v>2023</v>
      </c>
      <c r="C648" s="209" t="n">
        <v>2</v>
      </c>
      <c r="D648" s="226" t="s">
        <v>59</v>
      </c>
      <c r="E648" s="221" t="n">
        <v>0</v>
      </c>
      <c r="F648" s="221" t="n">
        <v>0</v>
      </c>
      <c r="G648" s="221" t="n">
        <v>0</v>
      </c>
      <c r="H648" s="229" t="s">
        <v>135</v>
      </c>
      <c r="I648" s="237" t="n">
        <v>0</v>
      </c>
      <c r="J648" s="228" t="n">
        <v>11000</v>
      </c>
      <c r="K648" s="228" t="n">
        <v>0</v>
      </c>
      <c r="L648" s="228" t="n">
        <v>11000</v>
      </c>
      <c r="M648" s="214" t="n">
        <v>11000</v>
      </c>
      <c r="N648" s="228"/>
      <c r="Q648" s="212"/>
      <c r="R648" s="212"/>
      <c r="S648" s="291"/>
    </row>
    <row r="649" customFormat="false" ht="15" hidden="true" customHeight="false" outlineLevel="0" collapsed="false">
      <c r="B649" s="208" t="n">
        <v>2023</v>
      </c>
      <c r="C649" s="209" t="n">
        <v>3</v>
      </c>
      <c r="D649" s="226" t="s">
        <v>56</v>
      </c>
      <c r="E649" s="221" t="n">
        <v>28699369338</v>
      </c>
      <c r="F649" s="221" t="n">
        <v>96358353</v>
      </c>
      <c r="G649" s="221" t="n">
        <v>1</v>
      </c>
      <c r="H649" s="229" t="s">
        <v>79</v>
      </c>
      <c r="I649" s="237" t="n">
        <v>11000</v>
      </c>
      <c r="J649" s="228" t="n">
        <v>17000</v>
      </c>
      <c r="K649" s="228" t="n">
        <v>11000</v>
      </c>
      <c r="L649" s="228" t="n">
        <v>6000</v>
      </c>
      <c r="M649" s="214" t="n">
        <v>17000</v>
      </c>
      <c r="N649" s="228"/>
      <c r="Q649" s="212"/>
      <c r="R649" s="212"/>
      <c r="S649" s="291"/>
    </row>
    <row r="650" customFormat="false" ht="15" hidden="true" customHeight="false" outlineLevel="0" collapsed="false">
      <c r="B650" s="208" t="n">
        <v>2023</v>
      </c>
      <c r="C650" s="209" t="n">
        <v>3</v>
      </c>
      <c r="D650" s="226" t="s">
        <v>69</v>
      </c>
      <c r="E650" s="221" t="n">
        <v>63097169876</v>
      </c>
      <c r="F650" s="221" t="n">
        <v>96843148</v>
      </c>
      <c r="G650" s="221" t="n">
        <v>1</v>
      </c>
      <c r="H650" s="229" t="s">
        <v>122</v>
      </c>
      <c r="I650" s="237" t="n">
        <v>9144.81</v>
      </c>
      <c r="J650" s="228" t="n">
        <v>16000</v>
      </c>
      <c r="K650" s="228" t="n">
        <v>9144.81</v>
      </c>
      <c r="L650" s="228" t="n">
        <v>6855.19</v>
      </c>
      <c r="M650" s="214" t="n">
        <v>16000</v>
      </c>
      <c r="N650" s="228"/>
      <c r="Q650" s="212"/>
      <c r="R650" s="212"/>
      <c r="S650" s="291"/>
    </row>
    <row r="651" customFormat="false" ht="15" hidden="true" customHeight="false" outlineLevel="0" collapsed="false">
      <c r="B651" s="208" t="n">
        <v>2023</v>
      </c>
      <c r="C651" s="209" t="n">
        <v>3</v>
      </c>
      <c r="D651" s="226" t="s">
        <v>82</v>
      </c>
      <c r="E651" s="221" t="n">
        <v>36826974454</v>
      </c>
      <c r="F651" s="221" t="n">
        <v>95573006</v>
      </c>
      <c r="G651" s="221" t="n">
        <v>1</v>
      </c>
      <c r="H651" s="229" t="s">
        <v>188</v>
      </c>
      <c r="I651" s="237" t="n">
        <v>8506.8</v>
      </c>
      <c r="J651" s="228" t="n">
        <v>8506.8</v>
      </c>
      <c r="K651" s="228" t="n">
        <v>8506.8</v>
      </c>
      <c r="L651" s="228" t="n">
        <v>0</v>
      </c>
      <c r="M651" s="214" t="n">
        <v>8506.8</v>
      </c>
      <c r="N651" s="228"/>
      <c r="Q651" s="212"/>
      <c r="R651" s="212"/>
      <c r="S651" s="291"/>
    </row>
    <row r="652" customFormat="false" ht="15" hidden="true" customHeight="false" outlineLevel="0" collapsed="false">
      <c r="B652" s="208" t="n">
        <v>2023</v>
      </c>
      <c r="C652" s="209" t="n">
        <v>3</v>
      </c>
      <c r="D652" s="226" t="s">
        <v>82</v>
      </c>
      <c r="E652" s="221" t="n">
        <v>17630785580</v>
      </c>
      <c r="F652" s="221" t="n">
        <v>95529415</v>
      </c>
      <c r="G652" s="221" t="n">
        <v>1</v>
      </c>
      <c r="H652" s="229" t="s">
        <v>81</v>
      </c>
      <c r="I652" s="237" t="n">
        <v>9144.81</v>
      </c>
      <c r="J652" s="228" t="n">
        <v>34144.81</v>
      </c>
      <c r="K652" s="228" t="n">
        <v>9144.81</v>
      </c>
      <c r="L652" s="228" t="n">
        <v>25000</v>
      </c>
      <c r="M652" s="214" t="n">
        <v>34144.81</v>
      </c>
      <c r="N652" s="228"/>
      <c r="Q652" s="212"/>
      <c r="R652" s="212"/>
      <c r="S652" s="291"/>
    </row>
    <row r="653" customFormat="false" ht="15" hidden="true" customHeight="false" outlineLevel="0" collapsed="false">
      <c r="B653" s="208" t="n">
        <v>2023</v>
      </c>
      <c r="C653" s="209" t="n">
        <v>3</v>
      </c>
      <c r="D653" s="226" t="s">
        <v>56</v>
      </c>
      <c r="E653" s="221" t="n">
        <v>55186680706</v>
      </c>
      <c r="F653" s="221" t="n">
        <v>95787183</v>
      </c>
      <c r="G653" s="221" t="n">
        <v>1</v>
      </c>
      <c r="H653" s="229" t="s">
        <v>73</v>
      </c>
      <c r="I653" s="237" t="n">
        <v>4253.4</v>
      </c>
      <c r="J653" s="228" t="n">
        <v>4253.4</v>
      </c>
      <c r="K653" s="228" t="n">
        <v>4253.4</v>
      </c>
      <c r="L653" s="228" t="n">
        <v>0</v>
      </c>
      <c r="M653" s="214" t="n">
        <v>4253.4</v>
      </c>
      <c r="N653" s="228"/>
      <c r="Q653" s="212"/>
      <c r="R653" s="212"/>
      <c r="S653" s="291"/>
    </row>
    <row r="654" customFormat="false" ht="15" hidden="true" customHeight="false" outlineLevel="0" collapsed="false">
      <c r="B654" s="208" t="n">
        <v>2023</v>
      </c>
      <c r="C654" s="209" t="n">
        <v>3</v>
      </c>
      <c r="D654" s="226" t="s">
        <v>82</v>
      </c>
      <c r="E654" s="221" t="n">
        <v>21242693324</v>
      </c>
      <c r="F654" s="221" t="n">
        <v>95532064</v>
      </c>
      <c r="G654" s="221" t="n">
        <v>1</v>
      </c>
      <c r="H654" s="229" t="s">
        <v>85</v>
      </c>
      <c r="I654" s="237" t="n">
        <v>9674.4</v>
      </c>
      <c r="J654" s="228" t="n">
        <v>9460.77</v>
      </c>
      <c r="K654" s="228" t="n">
        <v>9674.4</v>
      </c>
      <c r="L654" s="228" t="n">
        <v>-213.63</v>
      </c>
      <c r="M654" s="214" t="n">
        <v>9460.77</v>
      </c>
      <c r="N654" s="228"/>
      <c r="Q654" s="212"/>
      <c r="R654" s="212"/>
      <c r="S654" s="291"/>
    </row>
    <row r="655" customFormat="false" ht="15" hidden="true" customHeight="false" outlineLevel="0" collapsed="false">
      <c r="B655" s="208" t="n">
        <v>2023</v>
      </c>
      <c r="C655" s="209" t="n">
        <v>3</v>
      </c>
      <c r="D655" s="226" t="s">
        <v>82</v>
      </c>
      <c r="E655" s="221" t="n">
        <v>17159801204</v>
      </c>
      <c r="F655" s="221" t="n">
        <v>95532066</v>
      </c>
      <c r="G655" s="221" t="n">
        <v>1</v>
      </c>
      <c r="H655" s="229" t="s">
        <v>87</v>
      </c>
      <c r="I655" s="237" t="n">
        <v>9460.77</v>
      </c>
      <c r="J655" s="228" t="n">
        <v>9460.77</v>
      </c>
      <c r="K655" s="228" t="n">
        <v>9460.77</v>
      </c>
      <c r="L655" s="228" t="n">
        <v>0</v>
      </c>
      <c r="M655" s="214" t="n">
        <v>9460.77</v>
      </c>
      <c r="N655" s="228"/>
      <c r="Q655" s="212"/>
      <c r="R655" s="212"/>
      <c r="S655" s="291"/>
    </row>
    <row r="656" customFormat="false" ht="15" hidden="true" customHeight="false" outlineLevel="0" collapsed="false">
      <c r="B656" s="208" t="n">
        <v>2023</v>
      </c>
      <c r="C656" s="209" t="n">
        <v>3</v>
      </c>
      <c r="D656" s="226" t="s">
        <v>69</v>
      </c>
      <c r="E656" s="221" t="n">
        <v>23764482950</v>
      </c>
      <c r="F656" s="221" t="n">
        <v>95532077</v>
      </c>
      <c r="G656" s="221" t="n">
        <v>1</v>
      </c>
      <c r="H656" s="229" t="s">
        <v>93</v>
      </c>
      <c r="I656" s="237" t="n">
        <v>1542.9</v>
      </c>
      <c r="J656" s="228" t="n">
        <v>14000</v>
      </c>
      <c r="K656" s="228" t="n">
        <v>1542.9</v>
      </c>
      <c r="L656" s="228" t="n">
        <v>12457.1</v>
      </c>
      <c r="M656" s="214" t="n">
        <v>14000</v>
      </c>
      <c r="N656" s="228"/>
      <c r="Q656" s="212"/>
      <c r="R656" s="212"/>
      <c r="S656" s="291"/>
    </row>
    <row r="657" customFormat="false" ht="15" hidden="true" customHeight="false" outlineLevel="0" collapsed="false">
      <c r="B657" s="208" t="n">
        <v>2023</v>
      </c>
      <c r="C657" s="209" t="n">
        <v>3</v>
      </c>
      <c r="D657" s="226" t="e">
        <f aca="false">#N/A</f>
        <v>#N/A</v>
      </c>
      <c r="E657" s="221" t="n">
        <v>25672444846</v>
      </c>
      <c r="F657" s="221" t="n">
        <v>95693810</v>
      </c>
      <c r="G657" s="221" t="n">
        <v>1</v>
      </c>
      <c r="H657" s="229" t="s">
        <v>245</v>
      </c>
      <c r="I657" s="237" t="n">
        <v>9489.25</v>
      </c>
      <c r="J657" s="228" t="n">
        <v>12500</v>
      </c>
      <c r="K657" s="228" t="n">
        <v>9489.25</v>
      </c>
      <c r="L657" s="228" t="n">
        <v>3010.75</v>
      </c>
      <c r="M657" s="214" t="n">
        <v>12500</v>
      </c>
      <c r="N657" s="228"/>
      <c r="Q657" s="212"/>
      <c r="R657" s="212"/>
      <c r="S657" s="291"/>
    </row>
    <row r="658" customFormat="false" ht="15" hidden="true" customHeight="false" outlineLevel="0" collapsed="false">
      <c r="B658" s="208" t="n">
        <v>2023</v>
      </c>
      <c r="C658" s="209" t="n">
        <v>3</v>
      </c>
      <c r="D658" s="226" t="e">
        <f aca="false">#N/A</f>
        <v>#N/A</v>
      </c>
      <c r="E658" s="221" t="n">
        <v>33853146700</v>
      </c>
      <c r="F658" s="221" t="n">
        <v>96959868</v>
      </c>
      <c r="G658" s="221" t="n">
        <v>1</v>
      </c>
      <c r="H658" s="229" t="s">
        <v>247</v>
      </c>
      <c r="I658" s="237" t="n">
        <v>9144.81</v>
      </c>
      <c r="J658" s="228" t="n">
        <v>15000</v>
      </c>
      <c r="K658" s="228" t="n">
        <v>9144.81</v>
      </c>
      <c r="L658" s="228" t="n">
        <v>5855.19</v>
      </c>
      <c r="M658" s="214" t="n">
        <v>15000</v>
      </c>
      <c r="N658" s="228"/>
      <c r="Q658" s="212"/>
      <c r="R658" s="212"/>
      <c r="S658" s="291"/>
    </row>
    <row r="659" customFormat="false" ht="15" hidden="true" customHeight="false" outlineLevel="0" collapsed="false">
      <c r="B659" s="208" t="n">
        <v>2023</v>
      </c>
      <c r="C659" s="209" t="n">
        <v>3</v>
      </c>
      <c r="D659" s="226" t="s">
        <v>98</v>
      </c>
      <c r="E659" s="221" t="n">
        <v>51994540164</v>
      </c>
      <c r="F659" s="221" t="n">
        <v>96900867</v>
      </c>
      <c r="G659" s="221" t="n">
        <v>1</v>
      </c>
      <c r="H659" s="229" t="s">
        <v>97</v>
      </c>
      <c r="I659" s="237" t="n">
        <v>9144.81</v>
      </c>
      <c r="J659" s="228" t="n">
        <v>9144.81</v>
      </c>
      <c r="K659" s="228" t="n">
        <v>9144.81</v>
      </c>
      <c r="L659" s="228" t="n">
        <v>0</v>
      </c>
      <c r="M659" s="214" t="n">
        <v>9144.81</v>
      </c>
      <c r="N659" s="228"/>
      <c r="Q659" s="212"/>
      <c r="R659" s="212"/>
      <c r="S659" s="291"/>
    </row>
    <row r="660" customFormat="false" ht="15" hidden="true" customHeight="false" outlineLevel="0" collapsed="false">
      <c r="B660" s="208" t="n">
        <v>2023</v>
      </c>
      <c r="C660" s="209" t="n">
        <v>3</v>
      </c>
      <c r="D660" s="226" t="e">
        <f aca="false">#N/A</f>
        <v>#N/A</v>
      </c>
      <c r="E660" s="221" t="e">
        <f aca="false">#N/A</f>
        <v>#N/A</v>
      </c>
      <c r="F660" s="221" t="e">
        <f aca="false">#N/A</f>
        <v>#N/A</v>
      </c>
      <c r="G660" s="221" t="e">
        <f aca="false">#N/A</f>
        <v>#N/A</v>
      </c>
      <c r="H660" s="229" t="s">
        <v>248</v>
      </c>
      <c r="I660" s="237" t="e">
        <f aca="false">#N/A</f>
        <v>#N/A</v>
      </c>
      <c r="J660" s="228" t="e">
        <f aca="false">#N/A</f>
        <v>#N/A</v>
      </c>
      <c r="K660" s="228" t="e">
        <f aca="false">#N/A</f>
        <v>#N/A</v>
      </c>
      <c r="L660" s="228" t="e">
        <f aca="false">#N/A</f>
        <v>#N/A</v>
      </c>
      <c r="M660" s="214" t="e">
        <f aca="false">#N/A</f>
        <v>#N/A</v>
      </c>
      <c r="N660" s="228"/>
      <c r="Q660" s="212"/>
      <c r="R660" s="212"/>
      <c r="S660" s="291"/>
    </row>
    <row r="661" customFormat="false" ht="15" hidden="true" customHeight="false" outlineLevel="0" collapsed="false">
      <c r="B661" s="208" t="n">
        <v>2023</v>
      </c>
      <c r="C661" s="209" t="n">
        <v>3</v>
      </c>
      <c r="D661" s="226" t="s">
        <v>34</v>
      </c>
      <c r="E661" s="221" t="n">
        <v>10459950610</v>
      </c>
      <c r="F661" s="221" t="n">
        <v>97226520</v>
      </c>
      <c r="G661" s="221" t="n">
        <v>1</v>
      </c>
      <c r="H661" s="229" t="s">
        <v>195</v>
      </c>
      <c r="I661" s="237" t="n">
        <v>9460.77</v>
      </c>
      <c r="J661" s="228" t="n">
        <v>12500</v>
      </c>
      <c r="K661" s="228" t="n">
        <v>9460.77</v>
      </c>
      <c r="L661" s="228" t="n">
        <v>3039.23</v>
      </c>
      <c r="M661" s="214" t="n">
        <v>12500</v>
      </c>
      <c r="N661" s="228"/>
      <c r="Q661" s="212"/>
      <c r="R661" s="212"/>
      <c r="S661" s="291"/>
    </row>
    <row r="662" customFormat="false" ht="15" hidden="true" customHeight="false" outlineLevel="0" collapsed="false">
      <c r="B662" s="208" t="n">
        <v>2023</v>
      </c>
      <c r="C662" s="209" t="n">
        <v>3</v>
      </c>
      <c r="D662" s="226" t="s">
        <v>51</v>
      </c>
      <c r="E662" s="221" t="n">
        <v>23713484608</v>
      </c>
      <c r="F662" s="221" t="n">
        <v>97189681</v>
      </c>
      <c r="G662" s="221" t="n">
        <v>1</v>
      </c>
      <c r="H662" s="229" t="s">
        <v>100</v>
      </c>
      <c r="I662" s="237" t="n">
        <v>9460.77</v>
      </c>
      <c r="J662" s="228" t="n">
        <v>12500</v>
      </c>
      <c r="K662" s="228" t="n">
        <v>9460.77</v>
      </c>
      <c r="L662" s="228" t="n">
        <v>3039.23</v>
      </c>
      <c r="M662" s="214" t="n">
        <v>12500</v>
      </c>
      <c r="N662" s="228"/>
      <c r="Q662" s="212"/>
      <c r="R662" s="212"/>
      <c r="S662" s="291"/>
    </row>
    <row r="663" customFormat="false" ht="15" hidden="true" customHeight="false" outlineLevel="0" collapsed="false">
      <c r="B663" s="208" t="n">
        <v>2023</v>
      </c>
      <c r="C663" s="209" t="n">
        <v>3</v>
      </c>
      <c r="D663" s="226" t="s">
        <v>82</v>
      </c>
      <c r="E663" s="221" t="n">
        <v>17891875174</v>
      </c>
      <c r="F663" s="221" t="n">
        <v>6214238</v>
      </c>
      <c r="G663" s="221" t="n">
        <v>1</v>
      </c>
      <c r="H663" s="229" t="s">
        <v>190</v>
      </c>
      <c r="I663" s="237" t="n">
        <v>8506.8</v>
      </c>
      <c r="J663" s="228" t="n">
        <v>8506.8</v>
      </c>
      <c r="K663" s="228" t="n">
        <v>8506.8</v>
      </c>
      <c r="L663" s="228" t="n">
        <v>0</v>
      </c>
      <c r="M663" s="214" t="n">
        <v>8506.8</v>
      </c>
      <c r="N663" s="228"/>
      <c r="Q663" s="212"/>
      <c r="R663" s="212"/>
      <c r="S663" s="291"/>
    </row>
    <row r="664" customFormat="false" ht="15" hidden="true" customHeight="false" outlineLevel="0" collapsed="false">
      <c r="B664" s="208" t="n">
        <v>2023</v>
      </c>
      <c r="C664" s="209" t="n">
        <v>3</v>
      </c>
      <c r="D664" s="226" t="e">
        <f aca="false">#N/A</f>
        <v>#N/A</v>
      </c>
      <c r="E664" s="221" t="n">
        <v>14233727054</v>
      </c>
      <c r="F664" s="221" t="n">
        <v>97522331</v>
      </c>
      <c r="G664" s="221" t="n">
        <v>1</v>
      </c>
      <c r="H664" s="229" t="s">
        <v>276</v>
      </c>
      <c r="I664" s="237" t="n">
        <v>1542.9</v>
      </c>
      <c r="J664" s="228" t="n">
        <v>12500</v>
      </c>
      <c r="K664" s="228" t="n">
        <v>1542.9</v>
      </c>
      <c r="L664" s="228" t="n">
        <v>10957.1</v>
      </c>
      <c r="M664" s="214" t="n">
        <v>12500</v>
      </c>
      <c r="N664" s="228"/>
      <c r="Q664" s="212"/>
      <c r="R664" s="212"/>
      <c r="S664" s="291"/>
    </row>
    <row r="665" customFormat="false" ht="15" hidden="true" customHeight="false" outlineLevel="0" collapsed="false">
      <c r="B665" s="208" t="n">
        <v>2023</v>
      </c>
      <c r="C665" s="209" t="n">
        <v>3</v>
      </c>
      <c r="D665" s="226" t="e">
        <f aca="false">#N/A</f>
        <v>#N/A</v>
      </c>
      <c r="E665" s="221" t="n">
        <v>38233125580</v>
      </c>
      <c r="F665" s="221" t="n">
        <v>95532065</v>
      </c>
      <c r="G665" s="221" t="n">
        <v>1</v>
      </c>
      <c r="H665" s="229" t="s">
        <v>289</v>
      </c>
      <c r="I665" s="237" t="n">
        <v>9460.77</v>
      </c>
      <c r="J665" s="228" t="n">
        <v>15000</v>
      </c>
      <c r="K665" s="228" t="n">
        <v>9460.77</v>
      </c>
      <c r="L665" s="228" t="n">
        <v>5539.23</v>
      </c>
      <c r="M665" s="214" t="n">
        <v>15000</v>
      </c>
      <c r="N665" s="228"/>
      <c r="Q665" s="212"/>
      <c r="R665" s="212"/>
      <c r="S665" s="291"/>
    </row>
    <row r="666" customFormat="false" ht="15" hidden="true" customHeight="false" outlineLevel="0" collapsed="false">
      <c r="B666" s="208" t="n">
        <v>2023</v>
      </c>
      <c r="C666" s="209" t="n">
        <v>3</v>
      </c>
      <c r="D666" s="226" t="s">
        <v>59</v>
      </c>
      <c r="E666" s="221" t="n">
        <v>18736701092</v>
      </c>
      <c r="F666" s="221" t="n">
        <v>95547779</v>
      </c>
      <c r="G666" s="221" t="n">
        <v>1</v>
      </c>
      <c r="H666" s="229" t="s">
        <v>127</v>
      </c>
      <c r="I666" s="237" t="n">
        <v>9460</v>
      </c>
      <c r="J666" s="228" t="n">
        <v>12000</v>
      </c>
      <c r="K666" s="228" t="n">
        <v>9460</v>
      </c>
      <c r="L666" s="228" t="n">
        <v>2540</v>
      </c>
      <c r="M666" s="214" t="n">
        <v>12000</v>
      </c>
      <c r="N666" s="228"/>
      <c r="Q666" s="212"/>
      <c r="R666" s="212"/>
      <c r="S666" s="291"/>
    </row>
    <row r="667" customFormat="false" ht="15" hidden="true" customHeight="false" outlineLevel="0" collapsed="false">
      <c r="B667" s="208" t="n">
        <v>2023</v>
      </c>
      <c r="C667" s="209" t="n">
        <v>3</v>
      </c>
      <c r="D667" s="226" t="s">
        <v>192</v>
      </c>
      <c r="E667" s="221" t="n">
        <v>0</v>
      </c>
      <c r="F667" s="221" t="n">
        <v>0</v>
      </c>
      <c r="G667" s="221" t="n">
        <v>0</v>
      </c>
      <c r="H667" s="229" t="s">
        <v>74</v>
      </c>
      <c r="I667" s="237" t="n">
        <v>0</v>
      </c>
      <c r="J667" s="228" t="n">
        <v>8500</v>
      </c>
      <c r="K667" s="228" t="n">
        <v>0</v>
      </c>
      <c r="L667" s="228" t="n">
        <v>8500</v>
      </c>
      <c r="M667" s="214" t="n">
        <v>8500</v>
      </c>
      <c r="N667" s="228"/>
      <c r="Q667" s="212"/>
      <c r="R667" s="212"/>
      <c r="S667" s="291"/>
    </row>
    <row r="668" customFormat="false" ht="15" hidden="true" customHeight="false" outlineLevel="0" collapsed="false">
      <c r="B668" s="208" t="n">
        <v>2023</v>
      </c>
      <c r="C668" s="209" t="n">
        <v>3</v>
      </c>
      <c r="D668" s="226" t="e">
        <f aca="false">#N/A</f>
        <v>#N/A</v>
      </c>
      <c r="E668" s="221" t="n">
        <v>18274523170</v>
      </c>
      <c r="F668" s="221" t="n">
        <v>95532068</v>
      </c>
      <c r="G668" s="221" t="n">
        <v>1</v>
      </c>
      <c r="H668" s="229" t="s">
        <v>14</v>
      </c>
      <c r="I668" s="237" t="n">
        <v>9144.81</v>
      </c>
      <c r="J668" s="228" t="n">
        <v>12500</v>
      </c>
      <c r="K668" s="228" t="n">
        <v>9144.81</v>
      </c>
      <c r="L668" s="228" t="n">
        <v>3355.19</v>
      </c>
      <c r="M668" s="214" t="n">
        <v>12500</v>
      </c>
      <c r="N668" s="228"/>
      <c r="Q668" s="212"/>
      <c r="R668" s="212"/>
      <c r="S668" s="291"/>
    </row>
    <row r="669" customFormat="false" ht="15" hidden="true" customHeight="false" outlineLevel="0" collapsed="false">
      <c r="B669" s="208" t="n">
        <v>2023</v>
      </c>
      <c r="C669" s="209" t="n">
        <v>3</v>
      </c>
      <c r="D669" s="226" t="e">
        <f aca="false">#N/A</f>
        <v>#N/A</v>
      </c>
      <c r="E669" s="221" t="n">
        <v>38614007368</v>
      </c>
      <c r="F669" s="221" t="n">
        <v>97665848</v>
      </c>
      <c r="G669" s="221" t="n">
        <v>1</v>
      </c>
      <c r="H669" s="229" t="s">
        <v>75</v>
      </c>
      <c r="I669" s="237" t="n">
        <v>9460.77</v>
      </c>
      <c r="J669" s="228" t="n">
        <v>12500</v>
      </c>
      <c r="K669" s="228" t="n">
        <v>9460.77</v>
      </c>
      <c r="L669" s="228" t="n">
        <v>3039.23</v>
      </c>
      <c r="M669" s="214" t="n">
        <v>12500</v>
      </c>
      <c r="N669" s="228"/>
      <c r="Q669" s="212"/>
      <c r="R669" s="212"/>
      <c r="S669" s="291"/>
    </row>
    <row r="670" customFormat="false" ht="15" hidden="true" customHeight="false" outlineLevel="0" collapsed="false">
      <c r="B670" s="208" t="n">
        <v>2023</v>
      </c>
      <c r="C670" s="209" t="n">
        <v>3</v>
      </c>
      <c r="D670" s="226" t="e">
        <f aca="false">#N/A</f>
        <v>#N/A</v>
      </c>
      <c r="E670" s="221" t="n">
        <v>13991912016</v>
      </c>
      <c r="F670" s="221" t="n">
        <v>98372520</v>
      </c>
      <c r="G670" s="221" t="n">
        <v>1</v>
      </c>
      <c r="H670" s="229" t="s">
        <v>311</v>
      </c>
      <c r="I670" s="237" t="n">
        <v>10500</v>
      </c>
      <c r="J670" s="228" t="n">
        <v>10500</v>
      </c>
      <c r="K670" s="228" t="n">
        <v>10500</v>
      </c>
      <c r="L670" s="228" t="n">
        <v>0</v>
      </c>
      <c r="M670" s="214" t="n">
        <v>10500</v>
      </c>
      <c r="N670" s="228"/>
      <c r="Q670" s="212"/>
      <c r="R670" s="212"/>
      <c r="S670" s="291"/>
    </row>
    <row r="671" customFormat="false" ht="15" hidden="true" customHeight="false" outlineLevel="0" collapsed="false">
      <c r="B671" s="208" t="n">
        <v>2023</v>
      </c>
      <c r="C671" s="209" t="n">
        <v>3</v>
      </c>
      <c r="D671" s="226" t="e">
        <f aca="false">#N/A</f>
        <v>#N/A</v>
      </c>
      <c r="E671" s="221" t="n">
        <v>0</v>
      </c>
      <c r="F671" s="221" t="n">
        <v>0</v>
      </c>
      <c r="G671" s="221" t="n">
        <v>0</v>
      </c>
      <c r="H671" s="229" t="s">
        <v>102</v>
      </c>
      <c r="I671" s="237" t="n">
        <v>0</v>
      </c>
      <c r="J671" s="228" t="n">
        <v>12500</v>
      </c>
      <c r="K671" s="228" t="n">
        <v>0</v>
      </c>
      <c r="L671" s="228" t="n">
        <v>12500</v>
      </c>
      <c r="M671" s="214" t="n">
        <v>12500</v>
      </c>
      <c r="N671" s="228"/>
      <c r="Q671" s="212"/>
      <c r="R671" s="212"/>
      <c r="S671" s="291"/>
    </row>
    <row r="672" customFormat="false" ht="15" hidden="true" customHeight="false" outlineLevel="0" collapsed="false">
      <c r="B672" s="208" t="n">
        <v>2023</v>
      </c>
      <c r="C672" s="209" t="n">
        <v>3</v>
      </c>
      <c r="D672" s="226" t="s">
        <v>43</v>
      </c>
      <c r="E672" s="221" t="n">
        <v>0</v>
      </c>
      <c r="F672" s="221" t="n">
        <v>0</v>
      </c>
      <c r="G672" s="221" t="n">
        <v>0</v>
      </c>
      <c r="H672" s="229" t="s">
        <v>196</v>
      </c>
      <c r="I672" s="237" t="n">
        <v>0</v>
      </c>
      <c r="J672" s="228" t="n">
        <v>8500</v>
      </c>
      <c r="K672" s="228" t="n">
        <v>0</v>
      </c>
      <c r="L672" s="228" t="n">
        <v>8500</v>
      </c>
      <c r="M672" s="214" t="n">
        <v>8500</v>
      </c>
      <c r="N672" s="228"/>
      <c r="Q672" s="212"/>
      <c r="R672" s="212"/>
      <c r="S672" s="291"/>
    </row>
    <row r="673" customFormat="false" ht="15" hidden="true" customHeight="false" outlineLevel="0" collapsed="false">
      <c r="B673" s="208" t="n">
        <v>2023</v>
      </c>
      <c r="C673" s="209" t="n">
        <v>3</v>
      </c>
      <c r="D673" s="226" t="e">
        <f aca="false">#N/A</f>
        <v>#N/A</v>
      </c>
      <c r="E673" s="221" t="n">
        <v>74524099696</v>
      </c>
      <c r="F673" s="221" t="n">
        <v>98127163</v>
      </c>
      <c r="G673" s="221" t="n">
        <v>1</v>
      </c>
      <c r="H673" s="229" t="s">
        <v>66</v>
      </c>
      <c r="I673" s="237" t="n">
        <v>8506.8</v>
      </c>
      <c r="J673" s="228" t="n">
        <v>12000</v>
      </c>
      <c r="K673" s="228" t="n">
        <v>8506.8</v>
      </c>
      <c r="L673" s="228" t="n">
        <v>3493.2</v>
      </c>
      <c r="M673" s="214" t="n">
        <v>12000</v>
      </c>
      <c r="N673" s="228"/>
      <c r="Q673" s="212"/>
      <c r="R673" s="212"/>
      <c r="S673" s="291"/>
    </row>
    <row r="674" customFormat="false" ht="15" hidden="true" customHeight="false" outlineLevel="0" collapsed="false">
      <c r="B674" s="208" t="n">
        <v>2023</v>
      </c>
      <c r="C674" s="209" t="n">
        <v>3</v>
      </c>
      <c r="D674" s="226" t="s">
        <v>59</v>
      </c>
      <c r="E674" s="221" t="n">
        <v>22093575890</v>
      </c>
      <c r="F674" s="221" t="n">
        <v>96260905</v>
      </c>
      <c r="G674" s="221" t="n">
        <v>1</v>
      </c>
      <c r="H674" s="229" t="s">
        <v>133</v>
      </c>
      <c r="I674" s="237" t="n">
        <v>8506.8</v>
      </c>
      <c r="J674" s="228" t="n">
        <v>11000</v>
      </c>
      <c r="K674" s="228" t="n">
        <v>8506.8</v>
      </c>
      <c r="L674" s="228" t="n">
        <v>2493.2</v>
      </c>
      <c r="M674" s="214" t="n">
        <v>11000</v>
      </c>
      <c r="N674" s="228"/>
      <c r="Q674" s="212"/>
      <c r="R674" s="212"/>
      <c r="S674" s="291"/>
    </row>
    <row r="675" customFormat="false" ht="15" hidden="true" customHeight="false" outlineLevel="0" collapsed="false">
      <c r="B675" s="208" t="n">
        <v>2023</v>
      </c>
      <c r="C675" s="209" t="n">
        <v>3</v>
      </c>
      <c r="D675" s="226" t="s">
        <v>59</v>
      </c>
      <c r="E675" s="221" t="n">
        <v>64996156028</v>
      </c>
      <c r="F675" s="221" t="n">
        <v>95539771</v>
      </c>
      <c r="G675" s="221" t="n">
        <v>1</v>
      </c>
      <c r="H675" s="227" t="s">
        <v>55</v>
      </c>
      <c r="I675" s="237" t="n">
        <v>8506.8</v>
      </c>
      <c r="J675" s="228" t="n">
        <v>11000</v>
      </c>
      <c r="K675" s="228" t="n">
        <v>8506.8</v>
      </c>
      <c r="L675" s="228" t="n">
        <v>2493.2</v>
      </c>
      <c r="M675" s="214" t="n">
        <v>11000</v>
      </c>
      <c r="N675" s="228"/>
      <c r="Q675" s="212"/>
      <c r="R675" s="212"/>
      <c r="S675" s="291"/>
    </row>
    <row r="676" customFormat="false" ht="15" hidden="true" customHeight="false" outlineLevel="0" collapsed="false">
      <c r="B676" s="208" t="n">
        <v>2023</v>
      </c>
      <c r="C676" s="209" t="n">
        <v>3</v>
      </c>
      <c r="D676" s="226" t="s">
        <v>59</v>
      </c>
      <c r="E676" s="221" t="n">
        <v>0</v>
      </c>
      <c r="F676" s="221" t="n">
        <v>0</v>
      </c>
      <c r="G676" s="221" t="n">
        <v>0</v>
      </c>
      <c r="H676" s="229" t="s">
        <v>134</v>
      </c>
      <c r="I676" s="237" t="n">
        <v>0</v>
      </c>
      <c r="J676" s="228" t="n">
        <v>8500</v>
      </c>
      <c r="K676" s="228" t="n">
        <v>0</v>
      </c>
      <c r="L676" s="228" t="n">
        <v>8500</v>
      </c>
      <c r="M676" s="214" t="n">
        <v>8500</v>
      </c>
      <c r="N676" s="228"/>
      <c r="Q676" s="212"/>
      <c r="R676" s="212"/>
      <c r="S676" s="291"/>
    </row>
    <row r="677" customFormat="false" ht="15" hidden="true" customHeight="false" outlineLevel="0" collapsed="false">
      <c r="B677" s="208" t="n">
        <v>2023</v>
      </c>
      <c r="C677" s="209" t="n">
        <v>3</v>
      </c>
      <c r="D677" s="226" t="s">
        <v>59</v>
      </c>
      <c r="E677" s="221" t="n">
        <v>0</v>
      </c>
      <c r="F677" s="221" t="n">
        <v>0</v>
      </c>
      <c r="G677" s="221" t="n">
        <v>0</v>
      </c>
      <c r="H677" s="229" t="s">
        <v>312</v>
      </c>
      <c r="I677" s="237" t="n">
        <v>0</v>
      </c>
      <c r="J677" s="228" t="n">
        <v>4000</v>
      </c>
      <c r="K677" s="228" t="n">
        <v>0</v>
      </c>
      <c r="L677" s="228" t="n">
        <v>4000</v>
      </c>
      <c r="M677" s="214" t="n">
        <v>4000</v>
      </c>
      <c r="N677" s="228"/>
      <c r="Q677" s="212"/>
      <c r="R677" s="212"/>
      <c r="S677" s="291"/>
    </row>
    <row r="678" customFormat="false" ht="15" hidden="true" customHeight="false" outlineLevel="0" collapsed="false">
      <c r="B678" s="208" t="n">
        <v>2023</v>
      </c>
      <c r="C678" s="209" t="n">
        <v>3</v>
      </c>
      <c r="D678" s="226" t="s">
        <v>59</v>
      </c>
      <c r="E678" s="221" t="n">
        <v>0</v>
      </c>
      <c r="F678" s="221" t="n">
        <v>0</v>
      </c>
      <c r="G678" s="221" t="n">
        <v>0</v>
      </c>
      <c r="H678" s="229" t="s">
        <v>135</v>
      </c>
      <c r="I678" s="237" t="n">
        <v>0</v>
      </c>
      <c r="J678" s="228" t="n">
        <v>11000</v>
      </c>
      <c r="K678" s="228" t="n">
        <v>0</v>
      </c>
      <c r="L678" s="228" t="n">
        <v>11000</v>
      </c>
      <c r="M678" s="214" t="n">
        <v>11000</v>
      </c>
      <c r="N678" s="228"/>
      <c r="Q678" s="212"/>
      <c r="R678" s="212"/>
      <c r="S678" s="291"/>
    </row>
    <row r="679" customFormat="false" ht="15" hidden="true" customHeight="false" outlineLevel="0" collapsed="false">
      <c r="B679" s="208" t="n">
        <v>2023</v>
      </c>
      <c r="C679" s="209" t="n">
        <v>4</v>
      </c>
      <c r="D679" s="226" t="s">
        <v>56</v>
      </c>
      <c r="E679" s="221" t="n">
        <v>28699369338</v>
      </c>
      <c r="F679" s="221" t="n">
        <v>96358353</v>
      </c>
      <c r="G679" s="221" t="n">
        <v>1</v>
      </c>
      <c r="H679" s="229" t="s">
        <v>79</v>
      </c>
      <c r="I679" s="237" t="n">
        <v>11000</v>
      </c>
      <c r="J679" s="228" t="n">
        <v>17000</v>
      </c>
      <c r="K679" s="228" t="n">
        <v>11000</v>
      </c>
      <c r="L679" s="228" t="n">
        <v>6000</v>
      </c>
      <c r="M679" s="214" t="n">
        <v>17000</v>
      </c>
      <c r="N679" s="228"/>
      <c r="Q679" s="212"/>
      <c r="R679" s="212"/>
      <c r="S679" s="291"/>
    </row>
    <row r="680" customFormat="false" ht="15" hidden="true" customHeight="false" outlineLevel="0" collapsed="false">
      <c r="B680" s="208" t="n">
        <v>2023</v>
      </c>
      <c r="C680" s="209" t="n">
        <v>4</v>
      </c>
      <c r="D680" s="226" t="s">
        <v>69</v>
      </c>
      <c r="E680" s="221" t="n">
        <v>63097169876</v>
      </c>
      <c r="F680" s="221" t="n">
        <v>96843148</v>
      </c>
      <c r="G680" s="221" t="n">
        <v>1</v>
      </c>
      <c r="H680" s="229" t="s">
        <v>122</v>
      </c>
      <c r="I680" s="237" t="n">
        <v>9144.81</v>
      </c>
      <c r="J680" s="228" t="n">
        <v>16000</v>
      </c>
      <c r="K680" s="228" t="n">
        <v>9144.81</v>
      </c>
      <c r="L680" s="228" t="n">
        <v>6855.19</v>
      </c>
      <c r="M680" s="214" t="n">
        <v>16000</v>
      </c>
      <c r="N680" s="228"/>
      <c r="Q680" s="212"/>
      <c r="R680" s="212"/>
      <c r="S680" s="291"/>
    </row>
    <row r="681" customFormat="false" ht="15" hidden="true" customHeight="false" outlineLevel="0" collapsed="false">
      <c r="B681" s="208" t="n">
        <v>2023</v>
      </c>
      <c r="C681" s="209" t="n">
        <v>4</v>
      </c>
      <c r="D681" s="226" t="s">
        <v>82</v>
      </c>
      <c r="E681" s="221" t="n">
        <v>36826974454</v>
      </c>
      <c r="F681" s="221" t="n">
        <v>95573006</v>
      </c>
      <c r="G681" s="221" t="n">
        <v>1</v>
      </c>
      <c r="H681" s="229" t="s">
        <v>188</v>
      </c>
      <c r="I681" s="237" t="n">
        <v>8506.8</v>
      </c>
      <c r="J681" s="228" t="n">
        <v>8506.8</v>
      </c>
      <c r="K681" s="228" t="n">
        <v>8506.8</v>
      </c>
      <c r="L681" s="228" t="n">
        <v>0</v>
      </c>
      <c r="M681" s="214" t="n">
        <v>8506.8</v>
      </c>
      <c r="N681" s="228"/>
      <c r="Q681" s="212"/>
      <c r="R681" s="212"/>
      <c r="S681" s="291"/>
    </row>
    <row r="682" customFormat="false" ht="15" hidden="true" customHeight="false" outlineLevel="0" collapsed="false">
      <c r="B682" s="208" t="n">
        <v>2023</v>
      </c>
      <c r="C682" s="209" t="n">
        <v>4</v>
      </c>
      <c r="D682" s="226" t="s">
        <v>82</v>
      </c>
      <c r="E682" s="221" t="n">
        <v>17630785580</v>
      </c>
      <c r="F682" s="221" t="n">
        <v>95529415</v>
      </c>
      <c r="G682" s="221" t="n">
        <v>1</v>
      </c>
      <c r="H682" s="229" t="s">
        <v>81</v>
      </c>
      <c r="I682" s="237" t="n">
        <v>9144.81</v>
      </c>
      <c r="J682" s="228" t="n">
        <v>34144.81</v>
      </c>
      <c r="K682" s="228" t="n">
        <v>9144.81</v>
      </c>
      <c r="L682" s="228" t="n">
        <v>25000</v>
      </c>
      <c r="M682" s="214" t="n">
        <v>34144.81</v>
      </c>
      <c r="N682" s="228"/>
      <c r="Q682" s="212"/>
      <c r="R682" s="212"/>
      <c r="S682" s="291"/>
    </row>
    <row r="683" customFormat="false" ht="15" hidden="true" customHeight="false" outlineLevel="0" collapsed="false">
      <c r="B683" s="208" t="n">
        <v>2023</v>
      </c>
      <c r="C683" s="209" t="n">
        <v>4</v>
      </c>
      <c r="D683" s="226" t="s">
        <v>56</v>
      </c>
      <c r="E683" s="221" t="n">
        <v>55186680706</v>
      </c>
      <c r="F683" s="221" t="n">
        <v>95787183</v>
      </c>
      <c r="G683" s="221" t="n">
        <v>1</v>
      </c>
      <c r="H683" s="229" t="s">
        <v>73</v>
      </c>
      <c r="I683" s="237" t="n">
        <v>4253.4</v>
      </c>
      <c r="J683" s="228" t="n">
        <v>4253.4</v>
      </c>
      <c r="K683" s="228" t="n">
        <v>4253.4</v>
      </c>
      <c r="L683" s="228" t="n">
        <v>0</v>
      </c>
      <c r="M683" s="214" t="n">
        <v>4253.4</v>
      </c>
      <c r="N683" s="228"/>
      <c r="Q683" s="212"/>
      <c r="R683" s="212"/>
      <c r="S683" s="291"/>
    </row>
    <row r="684" customFormat="false" ht="15" hidden="true" customHeight="false" outlineLevel="0" collapsed="false">
      <c r="B684" s="208" t="n">
        <v>2023</v>
      </c>
      <c r="C684" s="209" t="n">
        <v>4</v>
      </c>
      <c r="D684" s="226" t="s">
        <v>82</v>
      </c>
      <c r="E684" s="221" t="n">
        <v>21242693324</v>
      </c>
      <c r="F684" s="221" t="n">
        <v>95532064</v>
      </c>
      <c r="G684" s="221" t="n">
        <v>1</v>
      </c>
      <c r="H684" s="229" t="s">
        <v>85</v>
      </c>
      <c r="I684" s="237" t="n">
        <v>9674.4</v>
      </c>
      <c r="J684" s="228" t="n">
        <v>9460.77</v>
      </c>
      <c r="K684" s="228" t="n">
        <v>9674.4</v>
      </c>
      <c r="L684" s="228" t="n">
        <v>-213.63</v>
      </c>
      <c r="M684" s="214" t="n">
        <v>9460.77</v>
      </c>
      <c r="N684" s="228"/>
      <c r="Q684" s="212"/>
      <c r="R684" s="212"/>
      <c r="S684" s="291"/>
    </row>
    <row r="685" customFormat="false" ht="15" hidden="true" customHeight="false" outlineLevel="0" collapsed="false">
      <c r="B685" s="208" t="n">
        <v>2023</v>
      </c>
      <c r="C685" s="209" t="n">
        <v>4</v>
      </c>
      <c r="D685" s="226" t="s">
        <v>82</v>
      </c>
      <c r="E685" s="221" t="n">
        <v>17159801204</v>
      </c>
      <c r="F685" s="221" t="n">
        <v>95532066</v>
      </c>
      <c r="G685" s="221" t="n">
        <v>1</v>
      </c>
      <c r="H685" s="229" t="s">
        <v>87</v>
      </c>
      <c r="I685" s="237" t="n">
        <v>9460.77</v>
      </c>
      <c r="J685" s="228" t="n">
        <v>9460.77</v>
      </c>
      <c r="K685" s="228" t="n">
        <v>9460.77</v>
      </c>
      <c r="L685" s="228" t="n">
        <v>0</v>
      </c>
      <c r="M685" s="214" t="n">
        <v>9460.77</v>
      </c>
      <c r="N685" s="228"/>
      <c r="Q685" s="212"/>
      <c r="R685" s="212"/>
      <c r="S685" s="291"/>
    </row>
    <row r="686" customFormat="false" ht="15" hidden="true" customHeight="false" outlineLevel="0" collapsed="false">
      <c r="B686" s="208" t="n">
        <v>2023</v>
      </c>
      <c r="C686" s="209" t="n">
        <v>4</v>
      </c>
      <c r="D686" s="226" t="s">
        <v>69</v>
      </c>
      <c r="E686" s="221" t="n">
        <v>23764482950</v>
      </c>
      <c r="F686" s="221" t="n">
        <v>95532077</v>
      </c>
      <c r="G686" s="221" t="n">
        <v>1</v>
      </c>
      <c r="H686" s="229" t="s">
        <v>93</v>
      </c>
      <c r="I686" s="237" t="n">
        <v>1542.9</v>
      </c>
      <c r="J686" s="228" t="n">
        <v>14000</v>
      </c>
      <c r="K686" s="228" t="n">
        <v>1542.9</v>
      </c>
      <c r="L686" s="228" t="n">
        <v>12457.1</v>
      </c>
      <c r="M686" s="214" t="n">
        <v>14000</v>
      </c>
      <c r="N686" s="228"/>
      <c r="Q686" s="212"/>
      <c r="R686" s="212"/>
      <c r="S686" s="291"/>
    </row>
    <row r="687" customFormat="false" ht="15" hidden="true" customHeight="false" outlineLevel="0" collapsed="false">
      <c r="B687" s="208" t="n">
        <v>2023</v>
      </c>
      <c r="C687" s="209" t="n">
        <v>4</v>
      </c>
      <c r="D687" s="226" t="e">
        <f aca="false">#N/A</f>
        <v>#N/A</v>
      </c>
      <c r="E687" s="221" t="n">
        <v>25672444846</v>
      </c>
      <c r="F687" s="221" t="n">
        <v>95693810</v>
      </c>
      <c r="G687" s="221" t="n">
        <v>1</v>
      </c>
      <c r="H687" s="229" t="s">
        <v>245</v>
      </c>
      <c r="I687" s="237" t="n">
        <v>9489.25</v>
      </c>
      <c r="J687" s="228" t="n">
        <v>12500</v>
      </c>
      <c r="K687" s="228" t="n">
        <v>9489.25</v>
      </c>
      <c r="L687" s="228" t="n">
        <v>3010.75</v>
      </c>
      <c r="M687" s="214" t="n">
        <v>12500</v>
      </c>
      <c r="N687" s="228"/>
      <c r="Q687" s="212"/>
      <c r="R687" s="212"/>
      <c r="S687" s="291"/>
    </row>
    <row r="688" customFormat="false" ht="15" hidden="true" customHeight="false" outlineLevel="0" collapsed="false">
      <c r="B688" s="208" t="n">
        <v>2023</v>
      </c>
      <c r="C688" s="209" t="n">
        <v>4</v>
      </c>
      <c r="D688" s="226" t="e">
        <f aca="false">#N/A</f>
        <v>#N/A</v>
      </c>
      <c r="E688" s="221" t="n">
        <v>33853146700</v>
      </c>
      <c r="F688" s="221" t="n">
        <v>96959868</v>
      </c>
      <c r="G688" s="221" t="n">
        <v>1</v>
      </c>
      <c r="H688" s="229" t="s">
        <v>247</v>
      </c>
      <c r="I688" s="237" t="n">
        <v>9144.81</v>
      </c>
      <c r="J688" s="228" t="n">
        <v>15000</v>
      </c>
      <c r="K688" s="228" t="n">
        <v>9144.81</v>
      </c>
      <c r="L688" s="228" t="n">
        <v>5855.19</v>
      </c>
      <c r="M688" s="214" t="n">
        <v>15000</v>
      </c>
      <c r="N688" s="228"/>
      <c r="Q688" s="212"/>
      <c r="R688" s="212"/>
      <c r="S688" s="291"/>
    </row>
    <row r="689" customFormat="false" ht="15" hidden="true" customHeight="false" outlineLevel="0" collapsed="false">
      <c r="B689" s="208" t="n">
        <v>2023</v>
      </c>
      <c r="C689" s="209" t="n">
        <v>4</v>
      </c>
      <c r="D689" s="226" t="s">
        <v>98</v>
      </c>
      <c r="E689" s="221" t="n">
        <v>51994540164</v>
      </c>
      <c r="F689" s="221" t="n">
        <v>96900867</v>
      </c>
      <c r="G689" s="221" t="n">
        <v>1</v>
      </c>
      <c r="H689" s="229" t="s">
        <v>97</v>
      </c>
      <c r="I689" s="237" t="n">
        <v>9144.81</v>
      </c>
      <c r="J689" s="228" t="n">
        <v>9144.81</v>
      </c>
      <c r="K689" s="228" t="n">
        <v>9144.81</v>
      </c>
      <c r="L689" s="228" t="n">
        <v>0</v>
      </c>
      <c r="M689" s="214" t="n">
        <v>9144.81</v>
      </c>
      <c r="N689" s="228"/>
      <c r="Q689" s="212"/>
      <c r="R689" s="212"/>
      <c r="S689" s="291"/>
    </row>
    <row r="690" customFormat="false" ht="15" hidden="true" customHeight="false" outlineLevel="0" collapsed="false">
      <c r="B690" s="208" t="n">
        <v>2023</v>
      </c>
      <c r="C690" s="209" t="n">
        <v>4</v>
      </c>
      <c r="D690" s="226" t="s">
        <v>34</v>
      </c>
      <c r="E690" s="221" t="n">
        <v>10459950610</v>
      </c>
      <c r="F690" s="221" t="n">
        <v>97226520</v>
      </c>
      <c r="G690" s="221" t="n">
        <v>1</v>
      </c>
      <c r="H690" s="229" t="s">
        <v>195</v>
      </c>
      <c r="I690" s="237" t="n">
        <v>9460.77</v>
      </c>
      <c r="J690" s="228" t="n">
        <v>12500</v>
      </c>
      <c r="K690" s="228" t="n">
        <v>9460.77</v>
      </c>
      <c r="L690" s="228" t="n">
        <v>3039.23</v>
      </c>
      <c r="M690" s="214" t="n">
        <v>12500</v>
      </c>
      <c r="N690" s="228"/>
      <c r="Q690" s="212"/>
      <c r="R690" s="212"/>
      <c r="S690" s="291"/>
    </row>
    <row r="691" customFormat="false" ht="15" hidden="true" customHeight="false" outlineLevel="0" collapsed="false">
      <c r="B691" s="208" t="n">
        <v>2023</v>
      </c>
      <c r="C691" s="209" t="n">
        <v>4</v>
      </c>
      <c r="D691" s="226" t="s">
        <v>51</v>
      </c>
      <c r="E691" s="221" t="n">
        <v>23713484608</v>
      </c>
      <c r="F691" s="221" t="n">
        <v>97189681</v>
      </c>
      <c r="G691" s="221" t="n">
        <v>1</v>
      </c>
      <c r="H691" s="229" t="s">
        <v>100</v>
      </c>
      <c r="I691" s="237" t="n">
        <v>9460.77</v>
      </c>
      <c r="J691" s="228" t="n">
        <v>12500</v>
      </c>
      <c r="K691" s="228" t="n">
        <v>9460.77</v>
      </c>
      <c r="L691" s="228" t="n">
        <v>3039.23</v>
      </c>
      <c r="M691" s="214" t="n">
        <v>12500</v>
      </c>
      <c r="N691" s="228"/>
      <c r="Q691" s="212"/>
      <c r="R691" s="212"/>
      <c r="S691" s="291"/>
    </row>
    <row r="692" customFormat="false" ht="15" hidden="true" customHeight="false" outlineLevel="0" collapsed="false">
      <c r="B692" s="208" t="n">
        <v>2023</v>
      </c>
      <c r="C692" s="209" t="n">
        <v>4</v>
      </c>
      <c r="D692" s="226" t="s">
        <v>82</v>
      </c>
      <c r="E692" s="221" t="n">
        <v>17891875174</v>
      </c>
      <c r="F692" s="221" t="n">
        <v>6214238</v>
      </c>
      <c r="G692" s="221" t="n">
        <v>1</v>
      </c>
      <c r="H692" s="229" t="s">
        <v>190</v>
      </c>
      <c r="I692" s="237" t="n">
        <v>8506.8</v>
      </c>
      <c r="J692" s="228" t="n">
        <v>8506.8</v>
      </c>
      <c r="K692" s="228" t="n">
        <v>8506.8</v>
      </c>
      <c r="L692" s="228" t="n">
        <v>0</v>
      </c>
      <c r="M692" s="214" t="n">
        <v>8506.8</v>
      </c>
      <c r="N692" s="228"/>
      <c r="Q692" s="212"/>
      <c r="R692" s="212"/>
      <c r="S692" s="291"/>
    </row>
    <row r="693" customFormat="false" ht="15" hidden="true" customHeight="false" outlineLevel="0" collapsed="false">
      <c r="B693" s="208" t="n">
        <v>2023</v>
      </c>
      <c r="C693" s="209" t="n">
        <v>4</v>
      </c>
      <c r="D693" s="226" t="e">
        <f aca="false">#N/A</f>
        <v>#N/A</v>
      </c>
      <c r="E693" s="221" t="n">
        <v>14233727054</v>
      </c>
      <c r="F693" s="221" t="n">
        <v>97522331</v>
      </c>
      <c r="G693" s="221" t="n">
        <v>1</v>
      </c>
      <c r="H693" s="229" t="s">
        <v>276</v>
      </c>
      <c r="I693" s="237" t="n">
        <v>1542.9</v>
      </c>
      <c r="J693" s="228" t="n">
        <v>12500</v>
      </c>
      <c r="K693" s="228" t="n">
        <v>1542.9</v>
      </c>
      <c r="L693" s="228" t="n">
        <v>10957.1</v>
      </c>
      <c r="M693" s="214" t="n">
        <v>12500</v>
      </c>
      <c r="N693" s="228"/>
      <c r="Q693" s="212"/>
      <c r="R693" s="212"/>
      <c r="S693" s="291"/>
    </row>
    <row r="694" customFormat="false" ht="15" hidden="true" customHeight="false" outlineLevel="0" collapsed="false">
      <c r="B694" s="208" t="n">
        <v>2023</v>
      </c>
      <c r="C694" s="209" t="n">
        <v>4</v>
      </c>
      <c r="D694" s="226" t="e">
        <f aca="false">#N/A</f>
        <v>#N/A</v>
      </c>
      <c r="E694" s="221" t="n">
        <v>38233125580</v>
      </c>
      <c r="F694" s="221" t="n">
        <v>95532065</v>
      </c>
      <c r="G694" s="221" t="n">
        <v>1</v>
      </c>
      <c r="H694" s="229" t="s">
        <v>289</v>
      </c>
      <c r="I694" s="237" t="n">
        <v>9460.77</v>
      </c>
      <c r="J694" s="228" t="n">
        <v>15000</v>
      </c>
      <c r="K694" s="228" t="n">
        <v>9460.77</v>
      </c>
      <c r="L694" s="228" t="n">
        <v>5539.23</v>
      </c>
      <c r="M694" s="214" t="n">
        <v>15000</v>
      </c>
      <c r="N694" s="228"/>
      <c r="Q694" s="212"/>
      <c r="R694" s="212"/>
      <c r="S694" s="291"/>
    </row>
    <row r="695" customFormat="false" ht="15" hidden="true" customHeight="false" outlineLevel="0" collapsed="false">
      <c r="B695" s="208" t="n">
        <v>2023</v>
      </c>
      <c r="C695" s="209" t="n">
        <v>4</v>
      </c>
      <c r="D695" s="226" t="s">
        <v>59</v>
      </c>
      <c r="E695" s="221" t="n">
        <v>18736701092</v>
      </c>
      <c r="F695" s="221" t="n">
        <v>95547779</v>
      </c>
      <c r="G695" s="221" t="n">
        <v>1</v>
      </c>
      <c r="H695" s="229" t="s">
        <v>127</v>
      </c>
      <c r="I695" s="237" t="n">
        <v>9460</v>
      </c>
      <c r="J695" s="228" t="n">
        <v>12000</v>
      </c>
      <c r="K695" s="228" t="n">
        <v>9460</v>
      </c>
      <c r="L695" s="228" t="n">
        <v>2540</v>
      </c>
      <c r="M695" s="214" t="n">
        <v>12000</v>
      </c>
      <c r="N695" s="228"/>
      <c r="Q695" s="212"/>
      <c r="R695" s="212"/>
      <c r="S695" s="291"/>
    </row>
    <row r="696" customFormat="false" ht="15" hidden="true" customHeight="false" outlineLevel="0" collapsed="false">
      <c r="B696" s="208" t="n">
        <v>2023</v>
      </c>
      <c r="C696" s="209" t="n">
        <v>4</v>
      </c>
      <c r="D696" s="226" t="s">
        <v>192</v>
      </c>
      <c r="E696" s="221" t="n">
        <v>0</v>
      </c>
      <c r="F696" s="221" t="n">
        <v>0</v>
      </c>
      <c r="G696" s="221" t="n">
        <v>0</v>
      </c>
      <c r="H696" s="229" t="s">
        <v>74</v>
      </c>
      <c r="I696" s="237" t="n">
        <v>0</v>
      </c>
      <c r="J696" s="228" t="n">
        <v>8500</v>
      </c>
      <c r="K696" s="228" t="n">
        <v>0</v>
      </c>
      <c r="L696" s="228" t="n">
        <v>8500</v>
      </c>
      <c r="M696" s="214" t="n">
        <v>8500</v>
      </c>
      <c r="N696" s="228"/>
      <c r="Q696" s="212"/>
      <c r="R696" s="212"/>
      <c r="S696" s="291"/>
    </row>
    <row r="697" customFormat="false" ht="15" hidden="true" customHeight="false" outlineLevel="0" collapsed="false">
      <c r="B697" s="208" t="n">
        <v>2023</v>
      </c>
      <c r="C697" s="209" t="n">
        <v>4</v>
      </c>
      <c r="D697" s="226" t="e">
        <f aca="false">#N/A</f>
        <v>#N/A</v>
      </c>
      <c r="E697" s="221" t="n">
        <v>18274523170</v>
      </c>
      <c r="F697" s="221" t="n">
        <v>95532068</v>
      </c>
      <c r="G697" s="221" t="n">
        <v>1</v>
      </c>
      <c r="H697" s="229" t="s">
        <v>14</v>
      </c>
      <c r="I697" s="237" t="n">
        <v>9144.81</v>
      </c>
      <c r="J697" s="228" t="n">
        <v>12500</v>
      </c>
      <c r="K697" s="228" t="n">
        <v>9144.81</v>
      </c>
      <c r="L697" s="228" t="n">
        <v>3355.19</v>
      </c>
      <c r="M697" s="214" t="n">
        <v>12500</v>
      </c>
      <c r="N697" s="228"/>
      <c r="Q697" s="212"/>
      <c r="R697" s="212"/>
      <c r="S697" s="291"/>
    </row>
    <row r="698" customFormat="false" ht="15" hidden="true" customHeight="false" outlineLevel="0" collapsed="false">
      <c r="B698" s="208" t="n">
        <v>2023</v>
      </c>
      <c r="C698" s="209" t="n">
        <v>4</v>
      </c>
      <c r="D698" s="226" t="e">
        <f aca="false">#N/A</f>
        <v>#N/A</v>
      </c>
      <c r="E698" s="221" t="n">
        <v>38614007368</v>
      </c>
      <c r="F698" s="221" t="n">
        <v>97665848</v>
      </c>
      <c r="G698" s="221" t="n">
        <v>1</v>
      </c>
      <c r="H698" s="229" t="s">
        <v>75</v>
      </c>
      <c r="I698" s="237" t="n">
        <v>9460.77</v>
      </c>
      <c r="J698" s="228" t="n">
        <v>12500</v>
      </c>
      <c r="K698" s="228" t="n">
        <v>9460.77</v>
      </c>
      <c r="L698" s="228" t="n">
        <v>3039.23</v>
      </c>
      <c r="M698" s="214" t="n">
        <v>12500</v>
      </c>
      <c r="N698" s="228"/>
      <c r="Q698" s="212"/>
      <c r="R698" s="212"/>
      <c r="S698" s="291"/>
    </row>
    <row r="699" customFormat="false" ht="15" hidden="true" customHeight="false" outlineLevel="0" collapsed="false">
      <c r="B699" s="208" t="n">
        <v>2023</v>
      </c>
      <c r="C699" s="209" t="n">
        <v>4</v>
      </c>
      <c r="D699" s="226" t="e">
        <f aca="false">#N/A</f>
        <v>#N/A</v>
      </c>
      <c r="E699" s="221" t="n">
        <v>13991912016</v>
      </c>
      <c r="F699" s="221" t="n">
        <v>98372520</v>
      </c>
      <c r="G699" s="221" t="n">
        <v>1</v>
      </c>
      <c r="H699" s="229" t="s">
        <v>311</v>
      </c>
      <c r="I699" s="237" t="n">
        <v>10500</v>
      </c>
      <c r="J699" s="228" t="n">
        <v>10500</v>
      </c>
      <c r="K699" s="228" t="n">
        <v>10500</v>
      </c>
      <c r="L699" s="228" t="n">
        <v>0</v>
      </c>
      <c r="M699" s="214" t="n">
        <v>10500</v>
      </c>
      <c r="N699" s="228"/>
      <c r="Q699" s="212"/>
      <c r="R699" s="212"/>
      <c r="S699" s="291"/>
    </row>
    <row r="700" customFormat="false" ht="15" hidden="true" customHeight="false" outlineLevel="0" collapsed="false">
      <c r="B700" s="208" t="n">
        <v>2023</v>
      </c>
      <c r="C700" s="209" t="n">
        <v>4</v>
      </c>
      <c r="D700" s="226" t="e">
        <f aca="false">#N/A</f>
        <v>#N/A</v>
      </c>
      <c r="E700" s="221" t="n">
        <v>0</v>
      </c>
      <c r="F700" s="221" t="n">
        <v>0</v>
      </c>
      <c r="G700" s="221" t="n">
        <v>0</v>
      </c>
      <c r="H700" s="229" t="s">
        <v>102</v>
      </c>
      <c r="I700" s="237" t="n">
        <v>0</v>
      </c>
      <c r="J700" s="228" t="n">
        <v>12500</v>
      </c>
      <c r="K700" s="228" t="n">
        <v>0</v>
      </c>
      <c r="L700" s="228" t="n">
        <v>12500</v>
      </c>
      <c r="M700" s="214" t="n">
        <v>12500</v>
      </c>
      <c r="N700" s="228"/>
      <c r="Q700" s="212"/>
      <c r="R700" s="212"/>
      <c r="S700" s="291"/>
    </row>
    <row r="701" customFormat="false" ht="15" hidden="true" customHeight="false" outlineLevel="0" collapsed="false">
      <c r="B701" s="208" t="n">
        <v>2023</v>
      </c>
      <c r="C701" s="209" t="n">
        <v>4</v>
      </c>
      <c r="D701" s="226" t="s">
        <v>43</v>
      </c>
      <c r="E701" s="221" t="n">
        <v>0</v>
      </c>
      <c r="F701" s="221" t="n">
        <v>0</v>
      </c>
      <c r="G701" s="221" t="n">
        <v>0</v>
      </c>
      <c r="H701" s="229" t="s">
        <v>196</v>
      </c>
      <c r="I701" s="237" t="n">
        <v>0</v>
      </c>
      <c r="J701" s="228" t="n">
        <v>8500</v>
      </c>
      <c r="K701" s="228" t="n">
        <v>0</v>
      </c>
      <c r="L701" s="228" t="n">
        <v>8500</v>
      </c>
      <c r="M701" s="214" t="n">
        <v>8500</v>
      </c>
      <c r="N701" s="228"/>
      <c r="Q701" s="212"/>
      <c r="R701" s="212"/>
      <c r="S701" s="291"/>
    </row>
    <row r="702" customFormat="false" ht="15" hidden="true" customHeight="false" outlineLevel="0" collapsed="false">
      <c r="B702" s="208" t="n">
        <v>2023</v>
      </c>
      <c r="C702" s="209" t="n">
        <v>4</v>
      </c>
      <c r="D702" s="226" t="e">
        <f aca="false">#N/A</f>
        <v>#N/A</v>
      </c>
      <c r="E702" s="221" t="n">
        <v>74524099696</v>
      </c>
      <c r="F702" s="221" t="n">
        <v>98127163</v>
      </c>
      <c r="G702" s="221" t="n">
        <v>1</v>
      </c>
      <c r="H702" s="229" t="s">
        <v>66</v>
      </c>
      <c r="I702" s="237" t="n">
        <v>8506.8</v>
      </c>
      <c r="J702" s="228" t="n">
        <v>12000</v>
      </c>
      <c r="K702" s="228" t="n">
        <v>8506.8</v>
      </c>
      <c r="L702" s="228" t="n">
        <v>3493.2</v>
      </c>
      <c r="M702" s="214" t="n">
        <v>12000</v>
      </c>
      <c r="N702" s="228"/>
      <c r="Q702" s="212"/>
      <c r="R702" s="212"/>
      <c r="S702" s="291"/>
    </row>
    <row r="703" customFormat="false" ht="15" hidden="true" customHeight="false" outlineLevel="0" collapsed="false">
      <c r="B703" s="208" t="n">
        <v>2023</v>
      </c>
      <c r="C703" s="209" t="n">
        <v>4</v>
      </c>
      <c r="D703" s="226" t="s">
        <v>59</v>
      </c>
      <c r="E703" s="221" t="n">
        <v>22093575890</v>
      </c>
      <c r="F703" s="221" t="n">
        <v>96260905</v>
      </c>
      <c r="G703" s="221" t="n">
        <v>1</v>
      </c>
      <c r="H703" s="229" t="s">
        <v>133</v>
      </c>
      <c r="I703" s="237" t="n">
        <v>8506.8</v>
      </c>
      <c r="J703" s="228" t="n">
        <v>11000</v>
      </c>
      <c r="K703" s="228" t="n">
        <v>8506.8</v>
      </c>
      <c r="L703" s="228" t="n">
        <v>2493.2</v>
      </c>
      <c r="M703" s="214" t="n">
        <v>11000</v>
      </c>
      <c r="N703" s="228"/>
      <c r="Q703" s="212"/>
      <c r="R703" s="212"/>
      <c r="S703" s="291"/>
    </row>
    <row r="704" customFormat="false" ht="15" hidden="true" customHeight="false" outlineLevel="0" collapsed="false">
      <c r="B704" s="208" t="n">
        <v>2023</v>
      </c>
      <c r="C704" s="209" t="n">
        <v>4</v>
      </c>
      <c r="D704" s="226" t="s">
        <v>59</v>
      </c>
      <c r="E704" s="221" t="n">
        <v>64996156028</v>
      </c>
      <c r="F704" s="221" t="n">
        <v>95539771</v>
      </c>
      <c r="G704" s="221" t="n">
        <v>1</v>
      </c>
      <c r="H704" s="227" t="s">
        <v>55</v>
      </c>
      <c r="I704" s="237" t="n">
        <v>8506.8</v>
      </c>
      <c r="J704" s="228" t="n">
        <v>11000</v>
      </c>
      <c r="K704" s="228" t="n">
        <v>8506.8</v>
      </c>
      <c r="L704" s="228" t="n">
        <v>2493.2</v>
      </c>
      <c r="M704" s="214" t="n">
        <v>11000</v>
      </c>
      <c r="N704" s="228"/>
      <c r="Q704" s="212"/>
      <c r="R704" s="212"/>
      <c r="S704" s="291"/>
    </row>
    <row r="705" customFormat="false" ht="15" hidden="true" customHeight="false" outlineLevel="0" collapsed="false">
      <c r="B705" s="208" t="n">
        <v>2023</v>
      </c>
      <c r="C705" s="209" t="n">
        <v>4</v>
      </c>
      <c r="D705" s="226" t="s">
        <v>59</v>
      </c>
      <c r="E705" s="221" t="n">
        <v>0</v>
      </c>
      <c r="F705" s="221" t="n">
        <v>0</v>
      </c>
      <c r="G705" s="221" t="n">
        <v>0</v>
      </c>
      <c r="H705" s="229" t="s">
        <v>134</v>
      </c>
      <c r="I705" s="237" t="n">
        <v>0</v>
      </c>
      <c r="J705" s="228" t="n">
        <v>8500</v>
      </c>
      <c r="K705" s="228" t="n">
        <v>0</v>
      </c>
      <c r="L705" s="228" t="n">
        <v>8500</v>
      </c>
      <c r="M705" s="214" t="n">
        <v>8500</v>
      </c>
      <c r="N705" s="228"/>
      <c r="Q705" s="212"/>
      <c r="R705" s="212"/>
      <c r="S705" s="291"/>
    </row>
    <row r="706" customFormat="false" ht="15" hidden="true" customHeight="false" outlineLevel="0" collapsed="false">
      <c r="B706" s="208" t="n">
        <v>2023</v>
      </c>
      <c r="C706" s="209" t="n">
        <v>4</v>
      </c>
      <c r="D706" s="226" t="s">
        <v>59</v>
      </c>
      <c r="E706" s="221" t="n">
        <v>0</v>
      </c>
      <c r="F706" s="221" t="n">
        <v>0</v>
      </c>
      <c r="G706" s="221" t="n">
        <v>0</v>
      </c>
      <c r="H706" s="229" t="s">
        <v>312</v>
      </c>
      <c r="I706" s="237" t="n">
        <v>0</v>
      </c>
      <c r="J706" s="228" t="n">
        <v>4000</v>
      </c>
      <c r="K706" s="228" t="n">
        <v>0</v>
      </c>
      <c r="L706" s="228" t="n">
        <v>4000</v>
      </c>
      <c r="M706" s="214" t="n">
        <v>4000</v>
      </c>
      <c r="N706" s="228"/>
      <c r="Q706" s="212"/>
      <c r="R706" s="212"/>
      <c r="S706" s="291"/>
    </row>
    <row r="707" customFormat="false" ht="15" hidden="true" customHeight="false" outlineLevel="0" collapsed="false">
      <c r="B707" s="208" t="n">
        <v>2023</v>
      </c>
      <c r="C707" s="209" t="n">
        <v>4</v>
      </c>
      <c r="D707" s="226" t="s">
        <v>59</v>
      </c>
      <c r="E707" s="221" t="n">
        <v>0</v>
      </c>
      <c r="F707" s="221" t="n">
        <v>0</v>
      </c>
      <c r="G707" s="221" t="n">
        <v>0</v>
      </c>
      <c r="H707" s="229" t="s">
        <v>135</v>
      </c>
      <c r="I707" s="237" t="n">
        <v>0</v>
      </c>
      <c r="J707" s="228" t="n">
        <v>11000</v>
      </c>
      <c r="K707" s="228" t="n">
        <v>0</v>
      </c>
      <c r="L707" s="228" t="n">
        <v>11000</v>
      </c>
      <c r="M707" s="214" t="n">
        <v>11000</v>
      </c>
      <c r="N707" s="228"/>
      <c r="Q707" s="212"/>
      <c r="R707" s="212"/>
      <c r="S707" s="291"/>
    </row>
    <row r="708" customFormat="false" ht="15" hidden="true" customHeight="false" outlineLevel="0" collapsed="false">
      <c r="B708" s="208" t="n">
        <v>2023</v>
      </c>
      <c r="C708" s="209" t="n">
        <v>5</v>
      </c>
      <c r="D708" s="226" t="s">
        <v>56</v>
      </c>
      <c r="E708" s="221" t="s">
        <v>80</v>
      </c>
      <c r="F708" s="221" t="n">
        <v>96358353</v>
      </c>
      <c r="G708" s="221" t="n">
        <v>1</v>
      </c>
      <c r="H708" s="229" t="s">
        <v>79</v>
      </c>
      <c r="I708" s="273" t="n">
        <v>11500</v>
      </c>
      <c r="J708" s="228" t="n">
        <v>17000</v>
      </c>
      <c r="K708" s="228" t="n">
        <v>11500</v>
      </c>
      <c r="L708" s="214" t="n">
        <v>3900</v>
      </c>
      <c r="M708" s="228" t="n">
        <v>15400</v>
      </c>
      <c r="N708" s="213" t="n">
        <v>-1600</v>
      </c>
      <c r="O708" s="212" t="s">
        <v>197</v>
      </c>
      <c r="Q708" s="212"/>
      <c r="R708" s="212"/>
      <c r="S708" s="291"/>
    </row>
    <row r="709" customFormat="false" ht="15" hidden="true" customHeight="false" outlineLevel="0" collapsed="false">
      <c r="B709" s="208" t="n">
        <v>2023</v>
      </c>
      <c r="C709" s="209" t="n">
        <v>5</v>
      </c>
      <c r="D709" s="226" t="s">
        <v>69</v>
      </c>
      <c r="E709" s="221" t="s">
        <v>214</v>
      </c>
      <c r="F709" s="221" t="s">
        <v>215</v>
      </c>
      <c r="G709" s="221" t="s">
        <v>65</v>
      </c>
      <c r="H709" s="229" t="s">
        <v>122</v>
      </c>
      <c r="I709" s="273" t="n">
        <v>9144.81</v>
      </c>
      <c r="J709" s="228" t="n">
        <v>16000</v>
      </c>
      <c r="K709" s="228" t="n">
        <v>9144.81</v>
      </c>
      <c r="L709" s="214" t="n">
        <v>6855.19</v>
      </c>
      <c r="M709" s="228" t="n">
        <v>16000</v>
      </c>
      <c r="N709" s="228"/>
      <c r="Q709" s="212"/>
      <c r="R709" s="212"/>
      <c r="S709" s="291"/>
    </row>
    <row r="710" customFormat="false" ht="15" hidden="true" customHeight="false" outlineLevel="0" collapsed="false">
      <c r="B710" s="208" t="n">
        <v>2023</v>
      </c>
      <c r="C710" s="209" t="n">
        <v>5</v>
      </c>
      <c r="D710" s="226" t="s">
        <v>82</v>
      </c>
      <c r="E710" s="221" t="s">
        <v>204</v>
      </c>
      <c r="F710" s="221" t="n">
        <v>95573006</v>
      </c>
      <c r="G710" s="221" t="n">
        <v>1</v>
      </c>
      <c r="H710" s="229" t="s">
        <v>188</v>
      </c>
      <c r="I710" s="273" t="n">
        <v>8506.8</v>
      </c>
      <c r="J710" s="228" t="n">
        <v>8506.8</v>
      </c>
      <c r="K710" s="228" t="n">
        <v>8506.8</v>
      </c>
      <c r="L710" s="214" t="n">
        <v>0</v>
      </c>
      <c r="M710" s="228" t="n">
        <v>8506.8</v>
      </c>
      <c r="N710" s="228"/>
      <c r="Q710" s="212"/>
      <c r="R710" s="212"/>
      <c r="S710" s="291"/>
    </row>
    <row r="711" customFormat="false" ht="15" hidden="true" customHeight="false" outlineLevel="0" collapsed="false">
      <c r="B711" s="208" t="n">
        <v>2023</v>
      </c>
      <c r="C711" s="209" t="n">
        <v>5</v>
      </c>
      <c r="D711" s="226" t="s">
        <v>82</v>
      </c>
      <c r="E711" s="221" t="s">
        <v>83</v>
      </c>
      <c r="F711" s="221" t="n">
        <v>95529415</v>
      </c>
      <c r="G711" s="221" t="n">
        <v>1</v>
      </c>
      <c r="H711" s="229" t="s">
        <v>81</v>
      </c>
      <c r="I711" s="273" t="n">
        <v>9144.81</v>
      </c>
      <c r="J711" s="228" t="n">
        <v>39144.81</v>
      </c>
      <c r="K711" s="228" t="n">
        <v>9144.81</v>
      </c>
      <c r="L711" s="214" t="n">
        <v>34000</v>
      </c>
      <c r="M711" s="228" t="n">
        <v>43144.81</v>
      </c>
      <c r="N711" s="228"/>
      <c r="Q711" s="212"/>
      <c r="R711" s="212"/>
      <c r="S711" s="291"/>
    </row>
    <row r="712" customFormat="false" ht="15" hidden="true" customHeight="false" outlineLevel="0" collapsed="false">
      <c r="B712" s="208" t="n">
        <v>2023</v>
      </c>
      <c r="C712" s="209" t="n">
        <v>5</v>
      </c>
      <c r="D712" s="226" t="s">
        <v>56</v>
      </c>
      <c r="E712" s="221" t="s">
        <v>84</v>
      </c>
      <c r="F712" s="221" t="n">
        <v>95787183</v>
      </c>
      <c r="G712" s="221" t="n">
        <v>1</v>
      </c>
      <c r="H712" s="229" t="s">
        <v>73</v>
      </c>
      <c r="I712" s="273" t="n">
        <v>4253.4</v>
      </c>
      <c r="J712" s="228" t="n">
        <v>4253.4</v>
      </c>
      <c r="K712" s="228" t="n">
        <v>4253.4</v>
      </c>
      <c r="L712" s="214" t="n">
        <v>0</v>
      </c>
      <c r="M712" s="228" t="n">
        <v>4253.4</v>
      </c>
      <c r="N712" s="228"/>
      <c r="Q712" s="212"/>
      <c r="R712" s="212"/>
      <c r="S712" s="291"/>
    </row>
    <row r="713" customFormat="false" ht="15" hidden="true" customHeight="false" outlineLevel="0" collapsed="false">
      <c r="B713" s="208" t="n">
        <v>2023</v>
      </c>
      <c r="C713" s="209" t="n">
        <v>5</v>
      </c>
      <c r="D713" s="226" t="s">
        <v>82</v>
      </c>
      <c r="E713" s="221" t="s">
        <v>86</v>
      </c>
      <c r="F713" s="221" t="n">
        <v>95532064</v>
      </c>
      <c r="G713" s="221" t="n">
        <v>1</v>
      </c>
      <c r="H713" s="229" t="s">
        <v>85</v>
      </c>
      <c r="I713" s="273" t="n">
        <v>10000</v>
      </c>
      <c r="J713" s="228" t="n">
        <v>10000</v>
      </c>
      <c r="K713" s="228" t="n">
        <v>10000</v>
      </c>
      <c r="L713" s="214" t="n">
        <v>0</v>
      </c>
      <c r="M713" s="228" t="n">
        <v>10000</v>
      </c>
      <c r="N713" s="228"/>
      <c r="Q713" s="212"/>
      <c r="R713" s="212"/>
      <c r="S713" s="291"/>
    </row>
    <row r="714" customFormat="false" ht="15" hidden="true" customHeight="false" outlineLevel="0" collapsed="false">
      <c r="B714" s="208" t="n">
        <v>2023</v>
      </c>
      <c r="C714" s="209" t="n">
        <v>5</v>
      </c>
      <c r="D714" s="226" t="s">
        <v>82</v>
      </c>
      <c r="E714" s="221" t="s">
        <v>88</v>
      </c>
      <c r="F714" s="221" t="n">
        <v>95532066</v>
      </c>
      <c r="G714" s="221" t="n">
        <v>1</v>
      </c>
      <c r="H714" s="229" t="s">
        <v>87</v>
      </c>
      <c r="I714" s="273" t="n">
        <v>10000</v>
      </c>
      <c r="J714" s="228" t="n">
        <v>10000</v>
      </c>
      <c r="K714" s="228" t="n">
        <v>10000</v>
      </c>
      <c r="L714" s="214" t="n">
        <v>0</v>
      </c>
      <c r="M714" s="228" t="n">
        <v>10000</v>
      </c>
      <c r="N714" s="228"/>
      <c r="Q714" s="212"/>
      <c r="R714" s="212"/>
      <c r="S714" s="291"/>
    </row>
    <row r="715" customFormat="false" ht="15" hidden="true" customHeight="false" outlineLevel="0" collapsed="false">
      <c r="B715" s="208" t="n">
        <v>2023</v>
      </c>
      <c r="C715" s="209" t="n">
        <v>5</v>
      </c>
      <c r="D715" s="226" t="s">
        <v>69</v>
      </c>
      <c r="E715" s="221" t="s">
        <v>94</v>
      </c>
      <c r="F715" s="221" t="n">
        <v>95532077</v>
      </c>
      <c r="G715" s="221" t="n">
        <v>1</v>
      </c>
      <c r="H715" s="229" t="s">
        <v>93</v>
      </c>
      <c r="I715" s="273" t="n">
        <v>1542.9</v>
      </c>
      <c r="J715" s="228" t="n">
        <v>16000</v>
      </c>
      <c r="K715" s="228" t="n">
        <v>1542.9</v>
      </c>
      <c r="L715" s="214" t="n">
        <v>14457.1</v>
      </c>
      <c r="M715" s="228" t="n">
        <v>16000</v>
      </c>
      <c r="N715" s="228"/>
      <c r="Q715" s="212"/>
      <c r="R715" s="212"/>
      <c r="S715" s="291"/>
    </row>
    <row r="716" customFormat="false" ht="15" hidden="true" customHeight="false" outlineLevel="0" collapsed="false">
      <c r="B716" s="208" t="n">
        <v>2023</v>
      </c>
      <c r="C716" s="209" t="n">
        <v>5</v>
      </c>
      <c r="D716" s="226" t="e">
        <f aca="false">#N/A</f>
        <v>#N/A</v>
      </c>
      <c r="E716" s="221" t="s">
        <v>96</v>
      </c>
      <c r="F716" s="221" t="n">
        <v>95693810</v>
      </c>
      <c r="G716" s="221" t="n">
        <v>1</v>
      </c>
      <c r="H716" s="229" t="s">
        <v>245</v>
      </c>
      <c r="I716" s="273" t="n">
        <v>10000</v>
      </c>
      <c r="J716" s="228" t="n">
        <v>14500</v>
      </c>
      <c r="K716" s="228" t="n">
        <v>10000</v>
      </c>
      <c r="L716" s="214" t="n">
        <v>3534</v>
      </c>
      <c r="M716" s="228" t="n">
        <v>13534</v>
      </c>
      <c r="N716" s="228" t="n">
        <v>-966</v>
      </c>
      <c r="O716" s="212" t="s">
        <v>315</v>
      </c>
      <c r="Q716" s="212"/>
      <c r="R716" s="212"/>
      <c r="S716" s="291"/>
    </row>
    <row r="717" customFormat="false" ht="15" hidden="true" customHeight="false" outlineLevel="0" collapsed="false">
      <c r="B717" s="208" t="n">
        <v>2023</v>
      </c>
      <c r="C717" s="209" t="n">
        <v>5</v>
      </c>
      <c r="D717" s="226" t="e">
        <f aca="false">#N/A</f>
        <v>#N/A</v>
      </c>
      <c r="E717" s="221" t="s">
        <v>206</v>
      </c>
      <c r="F717" s="221" t="s">
        <v>207</v>
      </c>
      <c r="G717" s="221" t="s">
        <v>65</v>
      </c>
      <c r="H717" s="229" t="s">
        <v>247</v>
      </c>
      <c r="I717" s="273" t="n">
        <v>9144.81</v>
      </c>
      <c r="J717" s="228" t="n">
        <v>17000</v>
      </c>
      <c r="K717" s="228" t="n">
        <v>9144.81</v>
      </c>
      <c r="L717" s="214" t="n">
        <v>5855.19</v>
      </c>
      <c r="M717" s="228" t="n">
        <v>15000</v>
      </c>
      <c r="N717" s="228" t="n">
        <v>-2000</v>
      </c>
      <c r="O717" s="212" t="s">
        <v>197</v>
      </c>
      <c r="Q717" s="212"/>
      <c r="R717" s="212"/>
      <c r="S717" s="291"/>
    </row>
    <row r="718" customFormat="false" ht="15" hidden="true" customHeight="false" outlineLevel="0" collapsed="false">
      <c r="B718" s="208" t="n">
        <v>2023</v>
      </c>
      <c r="C718" s="209" t="n">
        <v>5</v>
      </c>
      <c r="D718" s="226" t="s">
        <v>98</v>
      </c>
      <c r="E718" s="221" t="s">
        <v>99</v>
      </c>
      <c r="F718" s="221" t="s">
        <v>148</v>
      </c>
      <c r="G718" s="221" t="s">
        <v>65</v>
      </c>
      <c r="H718" s="229" t="s">
        <v>97</v>
      </c>
      <c r="I718" s="273" t="n">
        <v>9144.81</v>
      </c>
      <c r="J718" s="228" t="n">
        <v>9144.81</v>
      </c>
      <c r="K718" s="228" t="n">
        <v>9144.81</v>
      </c>
      <c r="L718" s="214" t="n">
        <v>0</v>
      </c>
      <c r="M718" s="228" t="n">
        <v>9144.81</v>
      </c>
      <c r="N718" s="228"/>
      <c r="Q718" s="212"/>
      <c r="R718" s="212"/>
      <c r="S718" s="291"/>
    </row>
    <row r="719" customFormat="false" ht="15" hidden="true" customHeight="false" outlineLevel="0" collapsed="false">
      <c r="B719" s="208" t="n">
        <v>2023</v>
      </c>
      <c r="C719" s="209" t="n">
        <v>5</v>
      </c>
      <c r="D719" s="226" t="s">
        <v>34</v>
      </c>
      <c r="E719" s="221" t="n">
        <v>10459950610</v>
      </c>
      <c r="F719" s="221" t="n">
        <v>97226520</v>
      </c>
      <c r="G719" s="221" t="n">
        <v>1</v>
      </c>
      <c r="H719" s="229" t="s">
        <v>195</v>
      </c>
      <c r="I719" s="273" t="n">
        <v>4833.33</v>
      </c>
      <c r="J719" s="228" t="n">
        <v>4833.33333333333</v>
      </c>
      <c r="K719" s="228" t="n">
        <v>4833.33</v>
      </c>
      <c r="L719" s="214" t="n">
        <v>-482.996666666667</v>
      </c>
      <c r="M719" s="228" t="n">
        <v>4350.33333333333</v>
      </c>
      <c r="N719" s="228" t="n">
        <v>-483</v>
      </c>
      <c r="O719" s="212" t="s">
        <v>315</v>
      </c>
      <c r="Q719" s="212"/>
      <c r="R719" s="212"/>
      <c r="S719" s="291"/>
    </row>
    <row r="720" customFormat="false" ht="15" hidden="true" customHeight="false" outlineLevel="0" collapsed="false">
      <c r="B720" s="208" t="n">
        <v>2023</v>
      </c>
      <c r="C720" s="209" t="n">
        <v>5</v>
      </c>
      <c r="D720" s="226" t="s">
        <v>51</v>
      </c>
      <c r="E720" s="221" t="n">
        <v>23713484608</v>
      </c>
      <c r="F720" s="221" t="n">
        <v>97189681</v>
      </c>
      <c r="G720" s="221" t="n">
        <v>1</v>
      </c>
      <c r="H720" s="229" t="s">
        <v>100</v>
      </c>
      <c r="I720" s="273" t="n">
        <v>10000</v>
      </c>
      <c r="J720" s="228" t="n">
        <v>14500</v>
      </c>
      <c r="K720" s="228" t="n">
        <v>10000</v>
      </c>
      <c r="L720" s="214" t="n">
        <v>4500</v>
      </c>
      <c r="M720" s="228" t="n">
        <v>14500</v>
      </c>
      <c r="N720" s="228"/>
      <c r="Q720" s="212"/>
      <c r="R720" s="212"/>
      <c r="S720" s="291"/>
    </row>
    <row r="721" customFormat="false" ht="15" hidden="true" customHeight="false" outlineLevel="0" collapsed="false">
      <c r="B721" s="208" t="n">
        <v>2023</v>
      </c>
      <c r="C721" s="209" t="n">
        <v>5</v>
      </c>
      <c r="D721" s="226" t="s">
        <v>82</v>
      </c>
      <c r="E721" s="221" t="n">
        <v>17891875174</v>
      </c>
      <c r="F721" s="221" t="n">
        <v>6214238</v>
      </c>
      <c r="G721" s="221" t="n">
        <v>1</v>
      </c>
      <c r="H721" s="229" t="s">
        <v>190</v>
      </c>
      <c r="I721" s="273" t="n">
        <v>8506.8</v>
      </c>
      <c r="J721" s="228" t="n">
        <v>8506.8</v>
      </c>
      <c r="K721" s="228" t="n">
        <v>8506.8</v>
      </c>
      <c r="L721" s="214" t="n">
        <v>0</v>
      </c>
      <c r="M721" s="228" t="n">
        <v>8506.8</v>
      </c>
      <c r="N721" s="228"/>
      <c r="Q721" s="212"/>
      <c r="R721" s="212"/>
      <c r="S721" s="291"/>
    </row>
    <row r="722" customFormat="false" ht="15" hidden="true" customHeight="false" outlineLevel="0" collapsed="false">
      <c r="B722" s="208" t="n">
        <v>2023</v>
      </c>
      <c r="C722" s="209" t="n">
        <v>5</v>
      </c>
      <c r="D722" s="226" t="e">
        <f aca="false">#N/A</f>
        <v>#N/A</v>
      </c>
      <c r="E722" s="221" t="n">
        <v>14233727054</v>
      </c>
      <c r="F722" s="221" t="n">
        <v>97522331</v>
      </c>
      <c r="G722" s="221" t="n">
        <v>1</v>
      </c>
      <c r="H722" s="229" t="s">
        <v>276</v>
      </c>
      <c r="I722" s="273" t="n">
        <v>1542.9</v>
      </c>
      <c r="J722" s="228" t="n">
        <v>14500</v>
      </c>
      <c r="K722" s="228" t="n">
        <v>1542.9</v>
      </c>
      <c r="L722" s="214" t="n">
        <v>12957.1</v>
      </c>
      <c r="M722" s="228" t="n">
        <v>14500</v>
      </c>
      <c r="N722" s="228"/>
      <c r="Q722" s="212"/>
      <c r="R722" s="212"/>
      <c r="S722" s="291"/>
    </row>
    <row r="723" customFormat="false" ht="15" hidden="true" customHeight="false" outlineLevel="0" collapsed="false">
      <c r="B723" s="208" t="n">
        <v>2023</v>
      </c>
      <c r="C723" s="209" t="n">
        <v>5</v>
      </c>
      <c r="D723" s="226" t="e">
        <f aca="false">#N/A</f>
        <v>#N/A</v>
      </c>
      <c r="E723" s="221" t="s">
        <v>210</v>
      </c>
      <c r="F723" s="221" t="s">
        <v>211</v>
      </c>
      <c r="G723" s="221" t="s">
        <v>65</v>
      </c>
      <c r="H723" s="229" t="s">
        <v>289</v>
      </c>
      <c r="I723" s="273" t="n">
        <v>10000</v>
      </c>
      <c r="J723" s="228" t="n">
        <v>17000</v>
      </c>
      <c r="K723" s="228" t="n">
        <v>10000</v>
      </c>
      <c r="L723" s="214" t="n">
        <v>7000</v>
      </c>
      <c r="M723" s="228" t="n">
        <v>17000</v>
      </c>
      <c r="N723" s="228"/>
      <c r="Q723" s="212"/>
      <c r="R723" s="212"/>
      <c r="S723" s="291"/>
    </row>
    <row r="724" customFormat="false" ht="15" hidden="true" customHeight="false" outlineLevel="0" collapsed="false">
      <c r="B724" s="208" t="n">
        <v>2023</v>
      </c>
      <c r="C724" s="209" t="n">
        <v>5</v>
      </c>
      <c r="D724" s="226" t="s">
        <v>59</v>
      </c>
      <c r="E724" s="221" t="s">
        <v>132</v>
      </c>
      <c r="F724" s="221" t="s">
        <v>151</v>
      </c>
      <c r="G724" s="221" t="s">
        <v>65</v>
      </c>
      <c r="H724" s="229" t="s">
        <v>127</v>
      </c>
      <c r="I724" s="273" t="n">
        <v>10000</v>
      </c>
      <c r="J724" s="228" t="n">
        <v>14500</v>
      </c>
      <c r="K724" s="228" t="n">
        <v>10000</v>
      </c>
      <c r="L724" s="214" t="n">
        <v>4500</v>
      </c>
      <c r="M724" s="228" t="n">
        <v>14500</v>
      </c>
      <c r="N724" s="228"/>
      <c r="Q724" s="212"/>
      <c r="R724" s="212"/>
      <c r="S724" s="291"/>
    </row>
    <row r="725" customFormat="false" ht="15" hidden="true" customHeight="false" outlineLevel="0" collapsed="false">
      <c r="B725" s="208" t="n">
        <v>2023</v>
      </c>
      <c r="C725" s="209" t="n">
        <v>5</v>
      </c>
      <c r="D725" s="226" t="s">
        <v>192</v>
      </c>
      <c r="E725" s="221" t="n">
        <v>0</v>
      </c>
      <c r="F725" s="221" t="n">
        <v>0</v>
      </c>
      <c r="G725" s="221" t="n">
        <v>0</v>
      </c>
      <c r="H725" s="229" t="s">
        <v>74</v>
      </c>
      <c r="I725" s="273" t="n">
        <v>0</v>
      </c>
      <c r="J725" s="228" t="n">
        <v>9500</v>
      </c>
      <c r="K725" s="228" t="n">
        <v>0</v>
      </c>
      <c r="L725" s="214" t="n">
        <v>9500</v>
      </c>
      <c r="M725" s="228" t="n">
        <v>9500</v>
      </c>
      <c r="N725" s="228"/>
      <c r="Q725" s="212"/>
      <c r="R725" s="212"/>
      <c r="S725" s="291"/>
    </row>
    <row r="726" customFormat="false" ht="15" hidden="true" customHeight="false" outlineLevel="0" collapsed="false">
      <c r="B726" s="208" t="n">
        <v>2023</v>
      </c>
      <c r="C726" s="209" t="n">
        <v>5</v>
      </c>
      <c r="D726" s="226" t="e">
        <f aca="false">#N/A</f>
        <v>#N/A</v>
      </c>
      <c r="E726" s="221" t="s">
        <v>316</v>
      </c>
      <c r="F726" s="221" t="s">
        <v>317</v>
      </c>
      <c r="G726" s="221" t="s">
        <v>65</v>
      </c>
      <c r="H726" s="229" t="s">
        <v>311</v>
      </c>
      <c r="I726" s="273" t="n">
        <v>10500</v>
      </c>
      <c r="J726" s="228" t="n">
        <v>10500</v>
      </c>
      <c r="K726" s="228" t="n">
        <v>10500</v>
      </c>
      <c r="L726" s="214" t="n">
        <v>0</v>
      </c>
      <c r="M726" s="228" t="n">
        <v>10500</v>
      </c>
      <c r="N726" s="228"/>
      <c r="Q726" s="212"/>
      <c r="R726" s="212"/>
      <c r="S726" s="291"/>
    </row>
    <row r="727" customFormat="false" ht="15" hidden="true" customHeight="false" outlineLevel="0" collapsed="false">
      <c r="B727" s="208" t="n">
        <v>2023</v>
      </c>
      <c r="C727" s="209" t="n">
        <v>5</v>
      </c>
      <c r="D727" s="226" t="e">
        <f aca="false">#N/A</f>
        <v>#N/A</v>
      </c>
      <c r="E727" s="221" t="n">
        <v>0</v>
      </c>
      <c r="F727" s="221" t="n">
        <v>0</v>
      </c>
      <c r="G727" s="221" t="n">
        <v>0</v>
      </c>
      <c r="H727" s="229" t="s">
        <v>102</v>
      </c>
      <c r="I727" s="273" t="n">
        <v>0</v>
      </c>
      <c r="J727" s="228" t="n">
        <v>14500</v>
      </c>
      <c r="K727" s="228" t="n">
        <v>0</v>
      </c>
      <c r="L727" s="214" t="n">
        <v>14500</v>
      </c>
      <c r="M727" s="228" t="n">
        <v>14500</v>
      </c>
      <c r="N727" s="228"/>
      <c r="Q727" s="212"/>
      <c r="R727" s="212"/>
      <c r="S727" s="291"/>
    </row>
    <row r="728" customFormat="false" ht="15" hidden="true" customHeight="false" outlineLevel="0" collapsed="false">
      <c r="B728" s="208" t="n">
        <v>2023</v>
      </c>
      <c r="C728" s="209" t="n">
        <v>5</v>
      </c>
      <c r="D728" s="226" t="s">
        <v>43</v>
      </c>
      <c r="E728" s="221" t="n">
        <v>0</v>
      </c>
      <c r="F728" s="221" t="n">
        <v>0</v>
      </c>
      <c r="G728" s="221" t="n">
        <v>0</v>
      </c>
      <c r="H728" s="229" t="s">
        <v>196</v>
      </c>
      <c r="I728" s="273" t="n">
        <v>0</v>
      </c>
      <c r="J728" s="228" t="n">
        <v>9500</v>
      </c>
      <c r="K728" s="228" t="n">
        <v>0</v>
      </c>
      <c r="L728" s="214" t="n">
        <v>7500</v>
      </c>
      <c r="M728" s="228" t="n">
        <v>7500</v>
      </c>
      <c r="N728" s="228" t="n">
        <v>-2000</v>
      </c>
      <c r="O728" s="212" t="s">
        <v>197</v>
      </c>
      <c r="Q728" s="212"/>
      <c r="R728" s="212"/>
      <c r="S728" s="291"/>
    </row>
    <row r="729" customFormat="false" ht="15" hidden="true" customHeight="false" outlineLevel="0" collapsed="false">
      <c r="B729" s="208" t="n">
        <v>2023</v>
      </c>
      <c r="C729" s="209" t="n">
        <v>5</v>
      </c>
      <c r="D729" s="226" t="s">
        <v>34</v>
      </c>
      <c r="E729" s="231" t="e">
        <f aca="false">#REF!</f>
        <v>#REF!</v>
      </c>
      <c r="F729" s="231" t="e">
        <f aca="false">#REF!</f>
        <v>#REF!</v>
      </c>
      <c r="G729" s="221" t="n">
        <v>0</v>
      </c>
      <c r="H729" s="229" t="s">
        <v>48</v>
      </c>
      <c r="I729" s="273" t="n">
        <v>0</v>
      </c>
      <c r="J729" s="228" t="n">
        <v>14500</v>
      </c>
      <c r="K729" s="228" t="n">
        <v>0</v>
      </c>
      <c r="L729" s="214" t="n">
        <v>14500</v>
      </c>
      <c r="M729" s="228" t="n">
        <v>14500</v>
      </c>
      <c r="N729" s="228"/>
      <c r="Q729" s="212"/>
      <c r="R729" s="212"/>
      <c r="S729" s="291"/>
    </row>
    <row r="730" customFormat="false" ht="15" hidden="true" customHeight="false" outlineLevel="0" collapsed="false">
      <c r="B730" s="208" t="n">
        <v>2023</v>
      </c>
      <c r="C730" s="209" t="n">
        <v>5</v>
      </c>
      <c r="D730" s="226" t="e">
        <f aca="false">#N/A</f>
        <v>#N/A</v>
      </c>
      <c r="E730" s="231" t="e">
        <f aca="false">#REF!</f>
        <v>#REF!</v>
      </c>
      <c r="F730" s="231" t="e">
        <f aca="false">#REF!</f>
        <v>#REF!</v>
      </c>
      <c r="G730" s="232" t="e">
        <f aca="false">#REF!</f>
        <v>#REF!</v>
      </c>
      <c r="H730" s="229" t="s">
        <v>318</v>
      </c>
      <c r="I730" s="273" t="e">
        <f aca="false">#N/A</f>
        <v>#N/A</v>
      </c>
      <c r="J730" s="228" t="e">
        <f aca="false">#N/A</f>
        <v>#N/A</v>
      </c>
      <c r="K730" s="228" t="e">
        <f aca="false">#N/A</f>
        <v>#N/A</v>
      </c>
      <c r="L730" s="214" t="e">
        <f aca="false">#N/A</f>
        <v>#N/A</v>
      </c>
      <c r="M730" s="228" t="e">
        <f aca="false">#N/A</f>
        <v>#N/A</v>
      </c>
      <c r="N730" s="228" t="n">
        <v>-6283.33</v>
      </c>
      <c r="O730" s="212" t="s">
        <v>301</v>
      </c>
      <c r="Q730" s="212"/>
      <c r="R730" s="212"/>
      <c r="S730" s="291"/>
    </row>
    <row r="731" customFormat="false" ht="15" hidden="true" customHeight="false" outlineLevel="0" collapsed="false">
      <c r="B731" s="208" t="n">
        <v>2023</v>
      </c>
      <c r="C731" s="209" t="n">
        <v>5</v>
      </c>
      <c r="D731" s="226" t="e">
        <f aca="false">#N/A</f>
        <v>#N/A</v>
      </c>
      <c r="E731" s="221" t="s">
        <v>67</v>
      </c>
      <c r="F731" s="221" t="s">
        <v>152</v>
      </c>
      <c r="G731" s="221" t="s">
        <v>65</v>
      </c>
      <c r="H731" s="229" t="s">
        <v>66</v>
      </c>
      <c r="I731" s="273" t="n">
        <v>8506.8</v>
      </c>
      <c r="J731" s="228" t="n">
        <v>14500</v>
      </c>
      <c r="K731" s="228" t="n">
        <v>8506.8</v>
      </c>
      <c r="L731" s="214" t="n">
        <v>5993.2</v>
      </c>
      <c r="M731" s="228" t="n">
        <v>14500</v>
      </c>
      <c r="N731" s="228"/>
      <c r="Q731" s="212"/>
      <c r="R731" s="212"/>
      <c r="S731" s="291"/>
    </row>
    <row r="732" customFormat="false" ht="15" hidden="true" customHeight="false" outlineLevel="0" collapsed="false">
      <c r="B732" s="208" t="n">
        <v>2023</v>
      </c>
      <c r="C732" s="209" t="n">
        <v>5</v>
      </c>
      <c r="D732" s="226" t="s">
        <v>59</v>
      </c>
      <c r="E732" s="221" t="s">
        <v>60</v>
      </c>
      <c r="F732" s="221" t="s">
        <v>61</v>
      </c>
      <c r="G732" s="221" t="n">
        <v>1</v>
      </c>
      <c r="H732" s="229" t="s">
        <v>133</v>
      </c>
      <c r="I732" s="273" t="n">
        <v>8506.8</v>
      </c>
      <c r="J732" s="228" t="n">
        <v>11000</v>
      </c>
      <c r="K732" s="228" t="n">
        <v>8506.8</v>
      </c>
      <c r="L732" s="214" t="n">
        <v>2493.2</v>
      </c>
      <c r="M732" s="228" t="n">
        <v>11000</v>
      </c>
      <c r="N732" s="228"/>
      <c r="Q732" s="212"/>
      <c r="R732" s="212"/>
      <c r="S732" s="291"/>
    </row>
    <row r="733" customFormat="false" ht="15" hidden="true" customHeight="false" outlineLevel="0" collapsed="false">
      <c r="B733" s="208" t="n">
        <v>2023</v>
      </c>
      <c r="C733" s="209" t="n">
        <v>5</v>
      </c>
      <c r="D733" s="226" t="s">
        <v>59</v>
      </c>
      <c r="E733" s="231" t="e">
        <f aca="false">#REF!</f>
        <v>#REF!</v>
      </c>
      <c r="F733" s="231" t="e">
        <f aca="false">#REF!</f>
        <v>#REF!</v>
      </c>
      <c r="G733" s="232" t="e">
        <f aca="false">#REF!</f>
        <v>#REF!</v>
      </c>
      <c r="H733" s="229" t="s">
        <v>62</v>
      </c>
      <c r="I733" s="273" t="n">
        <v>8223.24</v>
      </c>
      <c r="J733" s="228" t="n">
        <v>8500</v>
      </c>
      <c r="K733" s="228" t="n">
        <v>8223.24</v>
      </c>
      <c r="L733" s="214" t="n">
        <v>0</v>
      </c>
      <c r="M733" s="228" t="n">
        <v>8223.24</v>
      </c>
      <c r="N733" s="228" t="n">
        <v>-276.76</v>
      </c>
      <c r="O733" s="212" t="s">
        <v>301</v>
      </c>
      <c r="Q733" s="212"/>
      <c r="R733" s="212"/>
      <c r="S733" s="291"/>
    </row>
    <row r="734" customFormat="false" ht="15" hidden="true" customHeight="false" outlineLevel="0" collapsed="false">
      <c r="B734" s="208" t="n">
        <v>2023</v>
      </c>
      <c r="C734" s="209" t="n">
        <v>5</v>
      </c>
      <c r="D734" s="226" t="s">
        <v>59</v>
      </c>
      <c r="E734" s="221" t="s">
        <v>57</v>
      </c>
      <c r="F734" s="221" t="s">
        <v>153</v>
      </c>
      <c r="G734" s="221" t="s">
        <v>65</v>
      </c>
      <c r="H734" s="227" t="s">
        <v>55</v>
      </c>
      <c r="I734" s="273" t="n">
        <v>8506.8</v>
      </c>
      <c r="J734" s="228" t="n">
        <v>11000</v>
      </c>
      <c r="K734" s="228" t="n">
        <v>8506.8</v>
      </c>
      <c r="L734" s="214" t="n">
        <v>2493.2</v>
      </c>
      <c r="M734" s="228" t="n">
        <v>11000</v>
      </c>
      <c r="N734" s="228"/>
      <c r="Q734" s="212"/>
      <c r="R734" s="212"/>
      <c r="S734" s="291"/>
    </row>
    <row r="735" customFormat="false" ht="15" hidden="true" customHeight="false" outlineLevel="0" collapsed="false">
      <c r="B735" s="208" t="n">
        <v>2023</v>
      </c>
      <c r="C735" s="209" t="n">
        <v>5</v>
      </c>
      <c r="D735" s="226" t="s">
        <v>59</v>
      </c>
      <c r="E735" s="221" t="n">
        <v>0</v>
      </c>
      <c r="F735" s="221" t="n">
        <v>0</v>
      </c>
      <c r="G735" s="221" t="n">
        <v>0</v>
      </c>
      <c r="H735" s="229" t="s">
        <v>134</v>
      </c>
      <c r="I735" s="273" t="n">
        <v>0</v>
      </c>
      <c r="J735" s="228" t="n">
        <v>8500</v>
      </c>
      <c r="K735" s="228" t="n">
        <v>0</v>
      </c>
      <c r="L735" s="214" t="n">
        <v>8500</v>
      </c>
      <c r="M735" s="228" t="n">
        <v>8500</v>
      </c>
      <c r="N735" s="228"/>
      <c r="Q735" s="212"/>
      <c r="R735" s="212"/>
      <c r="S735" s="291"/>
    </row>
    <row r="736" customFormat="false" ht="15" hidden="true" customHeight="false" outlineLevel="0" collapsed="false">
      <c r="B736" s="208" t="n">
        <v>2023</v>
      </c>
      <c r="C736" s="209" t="n">
        <v>5</v>
      </c>
      <c r="D736" s="226" t="s">
        <v>59</v>
      </c>
      <c r="E736" s="221" t="n">
        <v>0</v>
      </c>
      <c r="F736" s="221" t="n">
        <v>0</v>
      </c>
      <c r="G736" s="221" t="n">
        <v>0</v>
      </c>
      <c r="H736" s="229" t="s">
        <v>312</v>
      </c>
      <c r="I736" s="273" t="n">
        <v>0</v>
      </c>
      <c r="J736" s="228" t="n">
        <v>4000</v>
      </c>
      <c r="K736" s="228" t="n">
        <v>0</v>
      </c>
      <c r="L736" s="214" t="n">
        <v>4000</v>
      </c>
      <c r="M736" s="228" t="n">
        <v>4000</v>
      </c>
      <c r="N736" s="228"/>
      <c r="Q736" s="212"/>
      <c r="R736" s="212"/>
      <c r="S736" s="291"/>
    </row>
    <row r="737" customFormat="false" ht="15" hidden="true" customHeight="false" outlineLevel="0" collapsed="false">
      <c r="B737" s="208" t="n">
        <v>2023</v>
      </c>
      <c r="C737" s="209" t="n">
        <v>5</v>
      </c>
      <c r="D737" s="226" t="s">
        <v>59</v>
      </c>
      <c r="E737" s="221" t="n">
        <v>0</v>
      </c>
      <c r="F737" s="221" t="n">
        <v>0</v>
      </c>
      <c r="G737" s="221" t="n">
        <v>0</v>
      </c>
      <c r="H737" s="229" t="s">
        <v>135</v>
      </c>
      <c r="I737" s="273" t="n">
        <v>0</v>
      </c>
      <c r="J737" s="228" t="n">
        <v>11000</v>
      </c>
      <c r="K737" s="228" t="n">
        <v>0</v>
      </c>
      <c r="L737" s="214" t="n">
        <v>21000</v>
      </c>
      <c r="M737" s="228" t="n">
        <v>21000</v>
      </c>
      <c r="N737" s="228" t="n">
        <v>10000</v>
      </c>
      <c r="O737" s="212" t="s">
        <v>319</v>
      </c>
      <c r="Q737" s="212"/>
      <c r="R737" s="212"/>
      <c r="S737" s="291"/>
    </row>
    <row r="738" customFormat="false" ht="15" hidden="true" customHeight="false" outlineLevel="0" collapsed="false">
      <c r="B738" s="208" t="n">
        <v>2023</v>
      </c>
      <c r="C738" s="209" t="n">
        <v>6</v>
      </c>
      <c r="D738" s="226" t="s">
        <v>56</v>
      </c>
      <c r="E738" s="221" t="s">
        <v>80</v>
      </c>
      <c r="F738" s="221" t="n">
        <v>96358353</v>
      </c>
      <c r="G738" s="221" t="n">
        <v>1</v>
      </c>
      <c r="H738" s="229" t="s">
        <v>79</v>
      </c>
      <c r="I738" s="273" t="n">
        <v>11500</v>
      </c>
      <c r="J738" s="228" t="n">
        <v>17000</v>
      </c>
      <c r="K738" s="228" t="n">
        <v>11500</v>
      </c>
      <c r="L738" s="214" t="n">
        <v>5500</v>
      </c>
      <c r="M738" s="228" t="n">
        <v>17000</v>
      </c>
      <c r="Q738" s="212"/>
      <c r="R738" s="212"/>
      <c r="S738" s="291"/>
    </row>
    <row r="739" customFormat="false" ht="15" hidden="true" customHeight="false" outlineLevel="0" collapsed="false">
      <c r="B739" s="208" t="n">
        <v>2023</v>
      </c>
      <c r="C739" s="209" t="n">
        <v>6</v>
      </c>
      <c r="D739" s="226" t="s">
        <v>69</v>
      </c>
      <c r="E739" s="221" t="s">
        <v>214</v>
      </c>
      <c r="F739" s="221" t="s">
        <v>215</v>
      </c>
      <c r="G739" s="221" t="s">
        <v>65</v>
      </c>
      <c r="H739" s="229" t="s">
        <v>122</v>
      </c>
      <c r="I739" s="273" t="n">
        <v>9144.81</v>
      </c>
      <c r="J739" s="228" t="n">
        <v>16000</v>
      </c>
      <c r="K739" s="228" t="n">
        <v>9144.81</v>
      </c>
      <c r="L739" s="214" t="n">
        <v>6855.19</v>
      </c>
      <c r="M739" s="228" t="n">
        <v>16000</v>
      </c>
      <c r="N739" s="228"/>
      <c r="Q739" s="212"/>
      <c r="R739" s="212"/>
      <c r="S739" s="291"/>
    </row>
    <row r="740" customFormat="false" ht="15" hidden="true" customHeight="false" outlineLevel="0" collapsed="false">
      <c r="B740" s="208" t="n">
        <v>2023</v>
      </c>
      <c r="C740" s="209" t="n">
        <v>6</v>
      </c>
      <c r="D740" s="226" t="s">
        <v>82</v>
      </c>
      <c r="E740" s="221" t="s">
        <v>204</v>
      </c>
      <c r="F740" s="221" t="n">
        <v>95573006</v>
      </c>
      <c r="G740" s="221" t="n">
        <v>1</v>
      </c>
      <c r="H740" s="229" t="s">
        <v>188</v>
      </c>
      <c r="I740" s="273" t="n">
        <v>8506.8</v>
      </c>
      <c r="J740" s="228" t="n">
        <v>8506.8</v>
      </c>
      <c r="K740" s="228" t="n">
        <v>8506.8</v>
      </c>
      <c r="L740" s="214" t="n">
        <v>0</v>
      </c>
      <c r="M740" s="228" t="n">
        <v>8506.8</v>
      </c>
      <c r="N740" s="228"/>
      <c r="Q740" s="212"/>
      <c r="R740" s="212"/>
      <c r="S740" s="291"/>
    </row>
    <row r="741" customFormat="false" ht="15" hidden="true" customHeight="false" outlineLevel="0" collapsed="false">
      <c r="B741" s="208" t="n">
        <v>2023</v>
      </c>
      <c r="C741" s="209" t="n">
        <v>6</v>
      </c>
      <c r="D741" s="226" t="s">
        <v>82</v>
      </c>
      <c r="E741" s="221" t="s">
        <v>83</v>
      </c>
      <c r="F741" s="221" t="n">
        <v>95529415</v>
      </c>
      <c r="G741" s="221" t="n">
        <v>1</v>
      </c>
      <c r="H741" s="229" t="s">
        <v>81</v>
      </c>
      <c r="I741" s="273" t="n">
        <v>9144.81</v>
      </c>
      <c r="J741" s="228" t="n">
        <v>39144.81</v>
      </c>
      <c r="K741" s="228" t="n">
        <v>9144.81</v>
      </c>
      <c r="L741" s="214" t="n">
        <v>30000</v>
      </c>
      <c r="M741" s="228" t="n">
        <v>39144.81</v>
      </c>
      <c r="N741" s="228"/>
      <c r="Q741" s="212"/>
      <c r="R741" s="212"/>
      <c r="S741" s="291"/>
    </row>
    <row r="742" customFormat="false" ht="15" hidden="true" customHeight="false" outlineLevel="0" collapsed="false">
      <c r="B742" s="208" t="n">
        <v>2023</v>
      </c>
      <c r="C742" s="209" t="n">
        <v>6</v>
      </c>
      <c r="D742" s="226" t="s">
        <v>56</v>
      </c>
      <c r="E742" s="221" t="s">
        <v>84</v>
      </c>
      <c r="F742" s="221" t="n">
        <v>95787183</v>
      </c>
      <c r="G742" s="221" t="n">
        <v>1</v>
      </c>
      <c r="H742" s="229" t="s">
        <v>73</v>
      </c>
      <c r="I742" s="273" t="n">
        <v>4253.4</v>
      </c>
      <c r="J742" s="228" t="n">
        <v>4253.4</v>
      </c>
      <c r="K742" s="228" t="n">
        <v>4253.4</v>
      </c>
      <c r="L742" s="214" t="n">
        <v>0</v>
      </c>
      <c r="M742" s="228" t="n">
        <v>4253.4</v>
      </c>
      <c r="N742" s="228"/>
      <c r="Q742" s="212"/>
      <c r="R742" s="212"/>
      <c r="S742" s="291"/>
    </row>
    <row r="743" customFormat="false" ht="15" hidden="true" customHeight="false" outlineLevel="0" collapsed="false">
      <c r="B743" s="208" t="n">
        <v>2023</v>
      </c>
      <c r="C743" s="209" t="n">
        <v>6</v>
      </c>
      <c r="D743" s="226" t="s">
        <v>82</v>
      </c>
      <c r="E743" s="221" t="s">
        <v>86</v>
      </c>
      <c r="F743" s="221" t="n">
        <v>95532064</v>
      </c>
      <c r="G743" s="221" t="n">
        <v>1</v>
      </c>
      <c r="H743" s="229" t="s">
        <v>85</v>
      </c>
      <c r="I743" s="273" t="n">
        <v>10000</v>
      </c>
      <c r="J743" s="228" t="n">
        <v>10000</v>
      </c>
      <c r="K743" s="228" t="n">
        <v>10000</v>
      </c>
      <c r="L743" s="214" t="n">
        <v>0</v>
      </c>
      <c r="M743" s="228" t="n">
        <v>10000</v>
      </c>
      <c r="N743" s="228"/>
      <c r="Q743" s="212"/>
      <c r="R743" s="212"/>
      <c r="S743" s="291"/>
    </row>
    <row r="744" customFormat="false" ht="15" hidden="true" customHeight="false" outlineLevel="0" collapsed="false">
      <c r="B744" s="208" t="n">
        <v>2023</v>
      </c>
      <c r="C744" s="209" t="n">
        <v>6</v>
      </c>
      <c r="D744" s="226" t="s">
        <v>82</v>
      </c>
      <c r="E744" s="221" t="s">
        <v>88</v>
      </c>
      <c r="F744" s="221" t="n">
        <v>95532066</v>
      </c>
      <c r="G744" s="221" t="n">
        <v>1</v>
      </c>
      <c r="H744" s="229" t="s">
        <v>87</v>
      </c>
      <c r="I744" s="273" t="n">
        <v>10000</v>
      </c>
      <c r="J744" s="228" t="n">
        <v>10000</v>
      </c>
      <c r="K744" s="228" t="n">
        <v>10000</v>
      </c>
      <c r="L744" s="214" t="n">
        <v>0</v>
      </c>
      <c r="M744" s="228" t="n">
        <v>10000</v>
      </c>
      <c r="N744" s="228"/>
      <c r="Q744" s="212"/>
      <c r="R744" s="212"/>
      <c r="S744" s="291"/>
    </row>
    <row r="745" customFormat="false" ht="15" hidden="true" customHeight="false" outlineLevel="0" collapsed="false">
      <c r="B745" s="208" t="n">
        <v>2023</v>
      </c>
      <c r="C745" s="209" t="n">
        <v>6</v>
      </c>
      <c r="D745" s="226" t="s">
        <v>69</v>
      </c>
      <c r="E745" s="221" t="s">
        <v>94</v>
      </c>
      <c r="F745" s="221" t="n">
        <v>95532077</v>
      </c>
      <c r="G745" s="221" t="n">
        <v>1</v>
      </c>
      <c r="H745" s="229" t="s">
        <v>93</v>
      </c>
      <c r="I745" s="273" t="n">
        <v>1542.9</v>
      </c>
      <c r="J745" s="228" t="n">
        <v>16000</v>
      </c>
      <c r="K745" s="228" t="n">
        <v>1542.9</v>
      </c>
      <c r="L745" s="214" t="n">
        <v>14457.1</v>
      </c>
      <c r="M745" s="228" t="n">
        <v>16000</v>
      </c>
      <c r="N745" s="228"/>
      <c r="Q745" s="212"/>
      <c r="R745" s="212"/>
      <c r="S745" s="291"/>
    </row>
    <row r="746" customFormat="false" ht="15" hidden="true" customHeight="false" outlineLevel="0" collapsed="false">
      <c r="B746" s="208" t="n">
        <v>2023</v>
      </c>
      <c r="C746" s="209" t="n">
        <v>6</v>
      </c>
      <c r="D746" s="226" t="e">
        <f aca="false">#N/A</f>
        <v>#N/A</v>
      </c>
      <c r="E746" s="221" t="s">
        <v>96</v>
      </c>
      <c r="F746" s="221" t="n">
        <v>95693810</v>
      </c>
      <c r="G746" s="221" t="n">
        <v>1</v>
      </c>
      <c r="H746" s="229" t="s">
        <v>245</v>
      </c>
      <c r="I746" s="273" t="n">
        <v>10000</v>
      </c>
      <c r="J746" s="228" t="n">
        <v>14500</v>
      </c>
      <c r="K746" s="228" t="n">
        <v>10000</v>
      </c>
      <c r="L746" s="214" t="n">
        <v>4016.67</v>
      </c>
      <c r="M746" s="228" t="n">
        <v>14016.67</v>
      </c>
      <c r="N746" s="228" t="n">
        <v>-483.33</v>
      </c>
      <c r="O746" s="212" t="s">
        <v>194</v>
      </c>
      <c r="Q746" s="212"/>
      <c r="R746" s="212"/>
      <c r="S746" s="291"/>
    </row>
    <row r="747" customFormat="false" ht="15" hidden="true" customHeight="false" outlineLevel="0" collapsed="false">
      <c r="B747" s="208" t="n">
        <v>2023</v>
      </c>
      <c r="C747" s="209" t="n">
        <v>6</v>
      </c>
      <c r="D747" s="226" t="e">
        <f aca="false">#N/A</f>
        <v>#N/A</v>
      </c>
      <c r="E747" s="221" t="s">
        <v>206</v>
      </c>
      <c r="F747" s="221" t="s">
        <v>207</v>
      </c>
      <c r="G747" s="221" t="s">
        <v>65</v>
      </c>
      <c r="H747" s="229" t="s">
        <v>247</v>
      </c>
      <c r="I747" s="273" t="n">
        <v>9144.81</v>
      </c>
      <c r="J747" s="228" t="n">
        <v>17000</v>
      </c>
      <c r="K747" s="228" t="n">
        <v>9144.81</v>
      </c>
      <c r="L747" s="214" t="n">
        <v>5855.19</v>
      </c>
      <c r="M747" s="228" t="n">
        <v>15000</v>
      </c>
      <c r="N747" s="228" t="n">
        <v>-2000</v>
      </c>
      <c r="O747" s="212" t="s">
        <v>159</v>
      </c>
      <c r="Q747" s="212"/>
      <c r="R747" s="212"/>
      <c r="S747" s="291"/>
    </row>
    <row r="748" customFormat="false" ht="15" hidden="true" customHeight="false" outlineLevel="0" collapsed="false">
      <c r="B748" s="208" t="n">
        <v>2023</v>
      </c>
      <c r="C748" s="209" t="n">
        <v>6</v>
      </c>
      <c r="D748" s="226" t="s">
        <v>98</v>
      </c>
      <c r="E748" s="221" t="s">
        <v>99</v>
      </c>
      <c r="F748" s="221" t="s">
        <v>148</v>
      </c>
      <c r="G748" s="221" t="s">
        <v>65</v>
      </c>
      <c r="H748" s="229" t="s">
        <v>97</v>
      </c>
      <c r="I748" s="273" t="n">
        <v>9144.81</v>
      </c>
      <c r="J748" s="228" t="n">
        <v>9144.81</v>
      </c>
      <c r="K748" s="228" t="n">
        <v>9144.81</v>
      </c>
      <c r="L748" s="214" t="n">
        <v>0</v>
      </c>
      <c r="M748" s="228" t="n">
        <v>9144.81</v>
      </c>
      <c r="N748" s="228"/>
      <c r="Q748" s="212"/>
      <c r="R748" s="212"/>
      <c r="S748" s="291"/>
    </row>
    <row r="749" customFormat="false" ht="15" hidden="true" customHeight="false" outlineLevel="0" collapsed="false">
      <c r="B749" s="208" t="n">
        <v>2023</v>
      </c>
      <c r="C749" s="209" t="n">
        <v>6</v>
      </c>
      <c r="D749" s="226" t="s">
        <v>34</v>
      </c>
      <c r="E749" s="221" t="n">
        <v>10459950610</v>
      </c>
      <c r="F749" s="221" t="n">
        <v>97226520</v>
      </c>
      <c r="G749" s="221" t="n">
        <v>1</v>
      </c>
      <c r="H749" s="229" t="s">
        <v>195</v>
      </c>
      <c r="I749" s="273" t="n">
        <v>4833.33</v>
      </c>
      <c r="J749" s="228" t="n">
        <v>4833.33333333333</v>
      </c>
      <c r="K749" s="228" t="n">
        <v>4833.33</v>
      </c>
      <c r="L749" s="214" t="n">
        <v>0.00333333333310293</v>
      </c>
      <c r="M749" s="228" t="n">
        <v>4833.33333333333</v>
      </c>
      <c r="N749" s="228"/>
      <c r="O749" s="212" t="s">
        <v>320</v>
      </c>
      <c r="Q749" s="212"/>
      <c r="R749" s="212"/>
      <c r="S749" s="291"/>
    </row>
    <row r="750" customFormat="false" ht="15" hidden="true" customHeight="false" outlineLevel="0" collapsed="false">
      <c r="B750" s="208" t="n">
        <v>2023</v>
      </c>
      <c r="C750" s="209" t="n">
        <v>6</v>
      </c>
      <c r="D750" s="226" t="s">
        <v>51</v>
      </c>
      <c r="E750" s="221" t="n">
        <v>23713484608</v>
      </c>
      <c r="F750" s="221" t="n">
        <v>97189681</v>
      </c>
      <c r="G750" s="221" t="n">
        <v>1</v>
      </c>
      <c r="H750" s="229" t="s">
        <v>100</v>
      </c>
      <c r="I750" s="273" t="n">
        <v>10000</v>
      </c>
      <c r="J750" s="228" t="n">
        <v>14500</v>
      </c>
      <c r="K750" s="228" t="n">
        <v>10000</v>
      </c>
      <c r="L750" s="214" t="n">
        <v>4500</v>
      </c>
      <c r="M750" s="228" t="n">
        <v>14500</v>
      </c>
      <c r="N750" s="228"/>
      <c r="Q750" s="212"/>
      <c r="R750" s="212"/>
      <c r="S750" s="291"/>
    </row>
    <row r="751" customFormat="false" ht="15" hidden="true" customHeight="false" outlineLevel="0" collapsed="false">
      <c r="B751" s="208" t="n">
        <v>2023</v>
      </c>
      <c r="C751" s="209" t="n">
        <v>6</v>
      </c>
      <c r="D751" s="226" t="s">
        <v>82</v>
      </c>
      <c r="E751" s="221" t="n">
        <v>17891875174</v>
      </c>
      <c r="F751" s="221" t="n">
        <v>6214238</v>
      </c>
      <c r="G751" s="221" t="n">
        <v>1</v>
      </c>
      <c r="H751" s="229" t="s">
        <v>190</v>
      </c>
      <c r="I751" s="273" t="n">
        <v>8506.8</v>
      </c>
      <c r="J751" s="228" t="n">
        <v>8506.8</v>
      </c>
      <c r="K751" s="228" t="n">
        <v>8506.8</v>
      </c>
      <c r="L751" s="214" t="n">
        <v>0</v>
      </c>
      <c r="M751" s="228" t="n">
        <v>8506.8</v>
      </c>
      <c r="N751" s="228"/>
      <c r="Q751" s="212"/>
      <c r="R751" s="212"/>
      <c r="S751" s="291"/>
    </row>
    <row r="752" customFormat="false" ht="15" hidden="true" customHeight="false" outlineLevel="0" collapsed="false">
      <c r="B752" s="208" t="n">
        <v>2023</v>
      </c>
      <c r="C752" s="209" t="n">
        <v>6</v>
      </c>
      <c r="D752" s="226" t="e">
        <f aca="false">#N/A</f>
        <v>#N/A</v>
      </c>
      <c r="E752" s="221" t="n">
        <v>14233727054</v>
      </c>
      <c r="F752" s="221" t="n">
        <v>97522331</v>
      </c>
      <c r="G752" s="221" t="n">
        <v>1</v>
      </c>
      <c r="H752" s="229" t="s">
        <v>276</v>
      </c>
      <c r="I752" s="273" t="n">
        <v>1542.9</v>
      </c>
      <c r="J752" s="228" t="n">
        <v>14500</v>
      </c>
      <c r="K752" s="228" t="n">
        <v>1542.9</v>
      </c>
      <c r="L752" s="214" t="n">
        <v>12957.1</v>
      </c>
      <c r="M752" s="228" t="n">
        <v>14500</v>
      </c>
      <c r="N752" s="228"/>
      <c r="Q752" s="212"/>
      <c r="R752" s="212"/>
      <c r="S752" s="291"/>
    </row>
    <row r="753" customFormat="false" ht="15" hidden="true" customHeight="false" outlineLevel="0" collapsed="false">
      <c r="B753" s="208" t="n">
        <v>2023</v>
      </c>
      <c r="C753" s="209" t="n">
        <v>6</v>
      </c>
      <c r="D753" s="226" t="e">
        <f aca="false">#N/A</f>
        <v>#N/A</v>
      </c>
      <c r="E753" s="221" t="s">
        <v>210</v>
      </c>
      <c r="F753" s="221" t="s">
        <v>211</v>
      </c>
      <c r="G753" s="221" t="s">
        <v>65</v>
      </c>
      <c r="H753" s="229" t="s">
        <v>289</v>
      </c>
      <c r="I753" s="273" t="n">
        <v>10000</v>
      </c>
      <c r="J753" s="228" t="n">
        <v>17000</v>
      </c>
      <c r="K753" s="228" t="n">
        <v>10000</v>
      </c>
      <c r="L753" s="214" t="n">
        <v>7000</v>
      </c>
      <c r="M753" s="228" t="n">
        <v>17000</v>
      </c>
      <c r="N753" s="228"/>
      <c r="Q753" s="212"/>
      <c r="R753" s="212"/>
      <c r="S753" s="291"/>
    </row>
    <row r="754" customFormat="false" ht="15" hidden="true" customHeight="false" outlineLevel="0" collapsed="false">
      <c r="B754" s="208" t="n">
        <v>2023</v>
      </c>
      <c r="C754" s="209" t="n">
        <v>6</v>
      </c>
      <c r="D754" s="226" t="s">
        <v>59</v>
      </c>
      <c r="E754" s="221" t="s">
        <v>132</v>
      </c>
      <c r="F754" s="221" t="s">
        <v>151</v>
      </c>
      <c r="G754" s="221" t="s">
        <v>65</v>
      </c>
      <c r="H754" s="229" t="s">
        <v>127</v>
      </c>
      <c r="I754" s="273" t="n">
        <v>10000</v>
      </c>
      <c r="J754" s="228" t="n">
        <v>14500</v>
      </c>
      <c r="K754" s="228" t="n">
        <v>10000</v>
      </c>
      <c r="L754" s="214" t="n">
        <v>4500</v>
      </c>
      <c r="M754" s="228" t="n">
        <v>14500</v>
      </c>
      <c r="N754" s="228"/>
      <c r="Q754" s="212"/>
      <c r="R754" s="212"/>
      <c r="S754" s="291"/>
    </row>
    <row r="755" customFormat="false" ht="15" hidden="true" customHeight="false" outlineLevel="0" collapsed="false">
      <c r="B755" s="208" t="n">
        <v>2023</v>
      </c>
      <c r="C755" s="209" t="n">
        <v>6</v>
      </c>
      <c r="D755" s="226" t="s">
        <v>192</v>
      </c>
      <c r="E755" s="221" t="n">
        <v>0</v>
      </c>
      <c r="F755" s="221" t="n">
        <v>0</v>
      </c>
      <c r="G755" s="221" t="n">
        <v>0</v>
      </c>
      <c r="H755" s="229" t="s">
        <v>74</v>
      </c>
      <c r="I755" s="273" t="n">
        <v>0</v>
      </c>
      <c r="J755" s="228" t="n">
        <v>9500</v>
      </c>
      <c r="K755" s="228" t="n">
        <v>0</v>
      </c>
      <c r="L755" s="214" t="n">
        <v>9500</v>
      </c>
      <c r="M755" s="228" t="n">
        <v>9500</v>
      </c>
      <c r="N755" s="228"/>
      <c r="Q755" s="212"/>
      <c r="R755" s="212"/>
      <c r="S755" s="291"/>
    </row>
    <row r="756" customFormat="false" ht="15" hidden="true" customHeight="false" outlineLevel="0" collapsed="false">
      <c r="B756" s="208" t="n">
        <v>2023</v>
      </c>
      <c r="C756" s="209" t="n">
        <v>6</v>
      </c>
      <c r="D756" s="226" t="e">
        <f aca="false">#N/A</f>
        <v>#N/A</v>
      </c>
      <c r="E756" s="221" t="s">
        <v>316</v>
      </c>
      <c r="F756" s="221" t="s">
        <v>317</v>
      </c>
      <c r="G756" s="221" t="s">
        <v>65</v>
      </c>
      <c r="H756" s="229" t="s">
        <v>311</v>
      </c>
      <c r="I756" s="273" t="n">
        <v>10500</v>
      </c>
      <c r="J756" s="228" t="n">
        <v>10500</v>
      </c>
      <c r="K756" s="228" t="n">
        <v>10500</v>
      </c>
      <c r="L756" s="214" t="n">
        <v>0</v>
      </c>
      <c r="M756" s="228" t="n">
        <v>10500</v>
      </c>
      <c r="N756" s="228"/>
      <c r="Q756" s="212"/>
      <c r="R756" s="212"/>
      <c r="S756" s="291"/>
    </row>
    <row r="757" customFormat="false" ht="15" hidden="true" customHeight="false" outlineLevel="0" collapsed="false">
      <c r="B757" s="208" t="n">
        <v>2023</v>
      </c>
      <c r="C757" s="209" t="n">
        <v>6</v>
      </c>
      <c r="D757" s="226" t="e">
        <f aca="false">#N/A</f>
        <v>#N/A</v>
      </c>
      <c r="E757" s="221" t="n">
        <v>0</v>
      </c>
      <c r="F757" s="221" t="n">
        <v>0</v>
      </c>
      <c r="G757" s="221" t="n">
        <v>0</v>
      </c>
      <c r="H757" s="229" t="s">
        <v>102</v>
      </c>
      <c r="I757" s="273" t="n">
        <v>0</v>
      </c>
      <c r="J757" s="228" t="n">
        <v>14500</v>
      </c>
      <c r="K757" s="228" t="n">
        <v>0</v>
      </c>
      <c r="L757" s="214" t="n">
        <v>14500</v>
      </c>
      <c r="M757" s="228" t="n">
        <v>14500</v>
      </c>
      <c r="N757" s="228"/>
      <c r="Q757" s="212"/>
      <c r="R757" s="212"/>
      <c r="S757" s="291"/>
    </row>
    <row r="758" customFormat="false" ht="15" hidden="true" customHeight="false" outlineLevel="0" collapsed="false">
      <c r="B758" s="208" t="n">
        <v>2023</v>
      </c>
      <c r="C758" s="209" t="n">
        <v>6</v>
      </c>
      <c r="D758" s="226" t="s">
        <v>43</v>
      </c>
      <c r="E758" s="221" t="n">
        <v>0</v>
      </c>
      <c r="F758" s="221" t="n">
        <v>0</v>
      </c>
      <c r="G758" s="221" t="n">
        <v>0</v>
      </c>
      <c r="H758" s="229" t="s">
        <v>196</v>
      </c>
      <c r="I758" s="273" t="n">
        <v>0</v>
      </c>
      <c r="J758" s="228" t="n">
        <v>9500</v>
      </c>
      <c r="K758" s="228" t="n">
        <v>0</v>
      </c>
      <c r="L758" s="214" t="n">
        <v>9500</v>
      </c>
      <c r="M758" s="228" t="n">
        <v>9500</v>
      </c>
      <c r="N758" s="228"/>
      <c r="Q758" s="212"/>
      <c r="R758" s="212"/>
      <c r="S758" s="291"/>
    </row>
    <row r="759" customFormat="false" ht="15" hidden="true" customHeight="false" outlineLevel="0" collapsed="false">
      <c r="B759" s="208" t="n">
        <v>2023</v>
      </c>
      <c r="C759" s="209" t="n">
        <v>6</v>
      </c>
      <c r="D759" s="226" t="s">
        <v>34</v>
      </c>
      <c r="E759" s="221" t="n">
        <v>0</v>
      </c>
      <c r="F759" s="221" t="n">
        <v>0</v>
      </c>
      <c r="G759" s="221" t="n">
        <v>0</v>
      </c>
      <c r="H759" s="229" t="s">
        <v>48</v>
      </c>
      <c r="I759" s="273" t="n">
        <v>0</v>
      </c>
      <c r="J759" s="228" t="n">
        <v>14500</v>
      </c>
      <c r="K759" s="228" t="n">
        <v>0</v>
      </c>
      <c r="L759" s="214" t="n">
        <v>14500</v>
      </c>
      <c r="M759" s="228" t="n">
        <v>14500</v>
      </c>
      <c r="N759" s="228"/>
      <c r="Q759" s="212"/>
      <c r="R759" s="212"/>
      <c r="S759" s="291"/>
    </row>
    <row r="760" customFormat="false" ht="15" hidden="true" customHeight="false" outlineLevel="0" collapsed="false">
      <c r="B760" s="208" t="n">
        <v>2023</v>
      </c>
      <c r="C760" s="209" t="n">
        <v>6</v>
      </c>
      <c r="D760" s="226" t="e">
        <f aca="false">#N/A</f>
        <v>#N/A</v>
      </c>
      <c r="E760" s="221" t="s">
        <v>321</v>
      </c>
      <c r="F760" s="221" t="s">
        <v>322</v>
      </c>
      <c r="G760" s="221" t="s">
        <v>65</v>
      </c>
      <c r="H760" s="229" t="s">
        <v>323</v>
      </c>
      <c r="I760" s="273" t="n">
        <v>10000</v>
      </c>
      <c r="J760" s="228" t="n">
        <v>14500</v>
      </c>
      <c r="K760" s="228" t="n">
        <v>10000</v>
      </c>
      <c r="L760" s="214" t="n">
        <v>4016.67</v>
      </c>
      <c r="M760" s="228" t="n">
        <v>14016.67</v>
      </c>
      <c r="N760" s="228" t="n">
        <v>-483.33</v>
      </c>
      <c r="O760" s="212" t="s">
        <v>194</v>
      </c>
      <c r="Q760" s="212"/>
      <c r="R760" s="212"/>
      <c r="S760" s="291"/>
    </row>
    <row r="761" customFormat="false" ht="15" hidden="true" customHeight="false" outlineLevel="0" collapsed="false">
      <c r="B761" s="208" t="n">
        <v>2023</v>
      </c>
      <c r="C761" s="209" t="n">
        <v>6</v>
      </c>
      <c r="D761" s="226" t="s">
        <v>105</v>
      </c>
      <c r="E761" s="221" t="s">
        <v>106</v>
      </c>
      <c r="F761" s="221" t="n">
        <v>0</v>
      </c>
      <c r="G761" s="221" t="n">
        <v>0</v>
      </c>
      <c r="H761" s="229" t="s">
        <v>104</v>
      </c>
      <c r="I761" s="273" t="n">
        <v>0</v>
      </c>
      <c r="J761" s="228" t="n">
        <v>17000</v>
      </c>
      <c r="K761" s="228" t="n">
        <v>0</v>
      </c>
      <c r="L761" s="214" t="n">
        <v>8500</v>
      </c>
      <c r="M761" s="228" t="n">
        <v>8500</v>
      </c>
      <c r="N761" s="228" t="n">
        <v>-8500</v>
      </c>
      <c r="Q761" s="212"/>
      <c r="R761" s="212"/>
      <c r="S761" s="291"/>
    </row>
    <row r="762" customFormat="false" ht="15" hidden="true" customHeight="false" outlineLevel="0" collapsed="false">
      <c r="B762" s="208" t="n">
        <v>2023</v>
      </c>
      <c r="C762" s="209" t="n">
        <v>6</v>
      </c>
      <c r="D762" s="226" t="e">
        <f aca="false">#N/A</f>
        <v>#N/A</v>
      </c>
      <c r="E762" s="221" t="s">
        <v>67</v>
      </c>
      <c r="F762" s="221" t="s">
        <v>152</v>
      </c>
      <c r="G762" s="221" t="s">
        <v>65</v>
      </c>
      <c r="H762" s="229" t="s">
        <v>66</v>
      </c>
      <c r="I762" s="273" t="n">
        <v>8506.8</v>
      </c>
      <c r="J762" s="228" t="n">
        <v>14500</v>
      </c>
      <c r="K762" s="228" t="n">
        <v>8506.8</v>
      </c>
      <c r="L762" s="214" t="n">
        <v>5993.2</v>
      </c>
      <c r="M762" s="228" t="n">
        <v>14500</v>
      </c>
      <c r="N762" s="228"/>
      <c r="Q762" s="212"/>
      <c r="R762" s="212"/>
      <c r="S762" s="291"/>
    </row>
    <row r="763" customFormat="false" ht="15" hidden="true" customHeight="false" outlineLevel="0" collapsed="false">
      <c r="B763" s="208" t="n">
        <v>2023</v>
      </c>
      <c r="C763" s="209" t="n">
        <v>6</v>
      </c>
      <c r="D763" s="226" t="s">
        <v>59</v>
      </c>
      <c r="E763" s="221" t="s">
        <v>60</v>
      </c>
      <c r="F763" s="221" t="s">
        <v>61</v>
      </c>
      <c r="G763" s="221" t="n">
        <v>1</v>
      </c>
      <c r="H763" s="229" t="s">
        <v>133</v>
      </c>
      <c r="I763" s="273" t="n">
        <v>8506.8</v>
      </c>
      <c r="J763" s="228" t="n">
        <v>11000</v>
      </c>
      <c r="K763" s="228" t="n">
        <v>8506.8</v>
      </c>
      <c r="L763" s="214" t="n">
        <v>2493.2</v>
      </c>
      <c r="M763" s="228" t="n">
        <v>11000</v>
      </c>
      <c r="N763" s="228"/>
      <c r="Q763" s="212"/>
      <c r="R763" s="212"/>
      <c r="S763" s="291"/>
    </row>
    <row r="764" customFormat="false" ht="15" hidden="true" customHeight="false" outlineLevel="0" collapsed="false">
      <c r="B764" s="208" t="n">
        <v>2023</v>
      </c>
      <c r="C764" s="209" t="n">
        <v>6</v>
      </c>
      <c r="D764" s="226" t="s">
        <v>59</v>
      </c>
      <c r="E764" s="221" t="n">
        <v>30148302742</v>
      </c>
      <c r="F764" s="221" t="n">
        <v>97726066</v>
      </c>
      <c r="G764" s="221" t="n">
        <v>1</v>
      </c>
      <c r="H764" s="229" t="s">
        <v>62</v>
      </c>
      <c r="I764" s="273" t="n">
        <v>8223.24</v>
      </c>
      <c r="J764" s="228" t="n">
        <v>8500</v>
      </c>
      <c r="K764" s="228" t="n">
        <v>8223.24</v>
      </c>
      <c r="L764" s="214" t="n">
        <v>276.76</v>
      </c>
      <c r="M764" s="228" t="n">
        <v>8500</v>
      </c>
      <c r="N764" s="228"/>
      <c r="Q764" s="212"/>
      <c r="R764" s="212"/>
      <c r="S764" s="291"/>
    </row>
    <row r="765" customFormat="false" ht="15" hidden="true" customHeight="false" outlineLevel="0" collapsed="false">
      <c r="B765" s="208" t="n">
        <v>2023</v>
      </c>
      <c r="C765" s="209" t="n">
        <v>6</v>
      </c>
      <c r="D765" s="226" t="s">
        <v>59</v>
      </c>
      <c r="E765" s="221" t="s">
        <v>57</v>
      </c>
      <c r="F765" s="221" t="s">
        <v>153</v>
      </c>
      <c r="G765" s="221" t="s">
        <v>65</v>
      </c>
      <c r="H765" s="227" t="s">
        <v>55</v>
      </c>
      <c r="I765" s="273" t="n">
        <v>8506.8</v>
      </c>
      <c r="J765" s="228" t="n">
        <v>11000</v>
      </c>
      <c r="K765" s="228" t="n">
        <v>8506.8</v>
      </c>
      <c r="L765" s="214" t="n">
        <v>2493.2</v>
      </c>
      <c r="M765" s="228" t="n">
        <v>11000</v>
      </c>
      <c r="N765" s="228"/>
      <c r="Q765" s="212"/>
      <c r="R765" s="212"/>
      <c r="S765" s="291"/>
    </row>
    <row r="766" customFormat="false" ht="15" hidden="true" customHeight="false" outlineLevel="0" collapsed="false">
      <c r="B766" s="208" t="n">
        <v>2023</v>
      </c>
      <c r="C766" s="209" t="n">
        <v>6</v>
      </c>
      <c r="D766" s="226" t="s">
        <v>59</v>
      </c>
      <c r="E766" s="221" t="n">
        <v>0</v>
      </c>
      <c r="F766" s="221" t="n">
        <v>0</v>
      </c>
      <c r="G766" s="221" t="n">
        <v>0</v>
      </c>
      <c r="H766" s="229" t="s">
        <v>134</v>
      </c>
      <c r="I766" s="273" t="n">
        <v>0</v>
      </c>
      <c r="J766" s="228" t="n">
        <v>8500</v>
      </c>
      <c r="K766" s="228" t="n">
        <v>0</v>
      </c>
      <c r="L766" s="214" t="n">
        <v>8500</v>
      </c>
      <c r="M766" s="228" t="n">
        <v>8500</v>
      </c>
      <c r="N766" s="228"/>
      <c r="Q766" s="212"/>
      <c r="R766" s="212"/>
      <c r="S766" s="291"/>
    </row>
    <row r="767" customFormat="false" ht="15" hidden="true" customHeight="false" outlineLevel="0" collapsed="false">
      <c r="B767" s="208" t="n">
        <v>2023</v>
      </c>
      <c r="C767" s="209" t="n">
        <v>6</v>
      </c>
      <c r="D767" s="226" t="s">
        <v>59</v>
      </c>
      <c r="E767" s="221" t="n">
        <v>0</v>
      </c>
      <c r="F767" s="221" t="n">
        <v>0</v>
      </c>
      <c r="G767" s="221" t="n">
        <v>0</v>
      </c>
      <c r="H767" s="229" t="s">
        <v>312</v>
      </c>
      <c r="I767" s="273" t="n">
        <v>0</v>
      </c>
      <c r="J767" s="228" t="n">
        <v>4000</v>
      </c>
      <c r="K767" s="228" t="n">
        <v>0</v>
      </c>
      <c r="L767" s="214" t="n">
        <v>4000</v>
      </c>
      <c r="M767" s="228" t="n">
        <v>4000</v>
      </c>
      <c r="N767" s="228"/>
      <c r="Q767" s="212"/>
      <c r="R767" s="212"/>
      <c r="S767" s="291"/>
    </row>
    <row r="768" customFormat="false" ht="15" hidden="true" customHeight="false" outlineLevel="0" collapsed="false">
      <c r="B768" s="208" t="n">
        <v>2023</v>
      </c>
      <c r="C768" s="209" t="n">
        <v>6</v>
      </c>
      <c r="D768" s="226" t="s">
        <v>59</v>
      </c>
      <c r="E768" s="221" t="n">
        <v>0</v>
      </c>
      <c r="F768" s="221" t="n">
        <v>0</v>
      </c>
      <c r="G768" s="221" t="n">
        <v>0</v>
      </c>
      <c r="H768" s="229" t="s">
        <v>135</v>
      </c>
      <c r="I768" s="273" t="n">
        <v>0</v>
      </c>
      <c r="J768" s="228" t="n">
        <v>11000</v>
      </c>
      <c r="K768" s="228" t="n">
        <v>0</v>
      </c>
      <c r="L768" s="214" t="n">
        <v>11000</v>
      </c>
      <c r="M768" s="228" t="n">
        <v>11000</v>
      </c>
      <c r="N768" s="228"/>
      <c r="Q768" s="212"/>
      <c r="R768" s="212"/>
      <c r="S768" s="291"/>
    </row>
    <row r="769" customFormat="false" ht="15" hidden="true" customHeight="false" outlineLevel="0" collapsed="false">
      <c r="B769" s="208" t="n">
        <v>2023</v>
      </c>
      <c r="C769" s="209" t="n">
        <v>7</v>
      </c>
      <c r="D769" s="226" t="s">
        <v>56</v>
      </c>
      <c r="E769" s="221" t="s">
        <v>80</v>
      </c>
      <c r="F769" s="221" t="n">
        <v>96358353</v>
      </c>
      <c r="G769" s="221" t="n">
        <v>1</v>
      </c>
      <c r="H769" s="229" t="s">
        <v>79</v>
      </c>
      <c r="I769" s="273" t="n">
        <v>12500</v>
      </c>
      <c r="J769" s="228" t="n">
        <v>27500</v>
      </c>
      <c r="K769" s="228" t="n">
        <v>12500</v>
      </c>
      <c r="L769" s="214" t="n">
        <v>15000</v>
      </c>
      <c r="M769" s="228" t="n">
        <v>27500</v>
      </c>
      <c r="Q769" s="212"/>
      <c r="R769" s="212"/>
      <c r="S769" s="291"/>
    </row>
    <row r="770" customFormat="false" ht="15" hidden="true" customHeight="false" outlineLevel="0" collapsed="false">
      <c r="B770" s="208" t="n">
        <v>2023</v>
      </c>
      <c r="C770" s="209" t="n">
        <v>7</v>
      </c>
      <c r="D770" s="226" t="s">
        <v>69</v>
      </c>
      <c r="E770" s="221" t="s">
        <v>214</v>
      </c>
      <c r="F770" s="221" t="s">
        <v>215</v>
      </c>
      <c r="G770" s="221" t="s">
        <v>65</v>
      </c>
      <c r="H770" s="229" t="s">
        <v>122</v>
      </c>
      <c r="I770" s="273" t="n">
        <v>12207</v>
      </c>
      <c r="J770" s="228" t="n">
        <v>25300</v>
      </c>
      <c r="K770" s="228" t="n">
        <v>12207</v>
      </c>
      <c r="L770" s="214" t="n">
        <v>13093</v>
      </c>
      <c r="M770" s="228" t="n">
        <v>25300</v>
      </c>
      <c r="N770" s="228"/>
      <c r="Q770" s="212"/>
      <c r="R770" s="212"/>
      <c r="S770" s="291"/>
    </row>
    <row r="771" customFormat="false" ht="15" hidden="true" customHeight="false" outlineLevel="0" collapsed="false">
      <c r="B771" s="208" t="n">
        <v>2023</v>
      </c>
      <c r="C771" s="209" t="n">
        <v>7</v>
      </c>
      <c r="D771" s="226" t="s">
        <v>82</v>
      </c>
      <c r="E771" s="221" t="s">
        <v>204</v>
      </c>
      <c r="F771" s="221" t="n">
        <v>95573006</v>
      </c>
      <c r="G771" s="221" t="n">
        <v>1</v>
      </c>
      <c r="H771" s="229" t="s">
        <v>188</v>
      </c>
      <c r="I771" s="273" t="n">
        <v>11402</v>
      </c>
      <c r="J771" s="228" t="n">
        <v>11402.32</v>
      </c>
      <c r="K771" s="228" t="n">
        <v>11402</v>
      </c>
      <c r="L771" s="214" t="n">
        <v>0</v>
      </c>
      <c r="M771" s="228" t="n">
        <v>11402</v>
      </c>
      <c r="N771" s="228"/>
      <c r="Q771" s="212"/>
      <c r="R771" s="212"/>
      <c r="S771" s="291"/>
    </row>
    <row r="772" customFormat="false" ht="15" hidden="true" customHeight="false" outlineLevel="0" collapsed="false">
      <c r="B772" s="208" t="n">
        <v>2023</v>
      </c>
      <c r="C772" s="209" t="n">
        <v>7</v>
      </c>
      <c r="D772" s="226" t="s">
        <v>82</v>
      </c>
      <c r="E772" s="221" t="s">
        <v>83</v>
      </c>
      <c r="F772" s="221" t="n">
        <v>95529415</v>
      </c>
      <c r="G772" s="221" t="n">
        <v>1</v>
      </c>
      <c r="H772" s="229" t="s">
        <v>81</v>
      </c>
      <c r="I772" s="273" t="n">
        <v>12207.19</v>
      </c>
      <c r="J772" s="228" t="n">
        <v>67207.19</v>
      </c>
      <c r="K772" s="228" t="n">
        <v>12207.19</v>
      </c>
      <c r="L772" s="214" t="n">
        <v>55000</v>
      </c>
      <c r="M772" s="228" t="n">
        <v>67207.19</v>
      </c>
      <c r="N772" s="228"/>
      <c r="Q772" s="212"/>
      <c r="R772" s="212"/>
      <c r="S772" s="291"/>
    </row>
    <row r="773" customFormat="false" ht="15" hidden="true" customHeight="false" outlineLevel="0" collapsed="false">
      <c r="B773" s="208" t="n">
        <v>2023</v>
      </c>
      <c r="C773" s="209" t="n">
        <v>7</v>
      </c>
      <c r="D773" s="226" t="s">
        <v>56</v>
      </c>
      <c r="E773" s="221" t="s">
        <v>84</v>
      </c>
      <c r="F773" s="221" t="n">
        <v>95787183</v>
      </c>
      <c r="G773" s="221" t="n">
        <v>1</v>
      </c>
      <c r="H773" s="229" t="s">
        <v>73</v>
      </c>
      <c r="I773" s="273" t="n">
        <v>6402.32</v>
      </c>
      <c r="J773" s="228" t="n">
        <v>6402.32</v>
      </c>
      <c r="K773" s="228" t="n">
        <v>6402.32</v>
      </c>
      <c r="L773" s="214" t="n">
        <v>0</v>
      </c>
      <c r="M773" s="228" t="n">
        <v>6402.32</v>
      </c>
      <c r="N773" s="228"/>
      <c r="Q773" s="212"/>
      <c r="R773" s="212"/>
      <c r="S773" s="291"/>
    </row>
    <row r="774" customFormat="false" ht="15" hidden="true" customHeight="false" outlineLevel="0" collapsed="false">
      <c r="B774" s="208" t="n">
        <v>2023</v>
      </c>
      <c r="C774" s="209" t="n">
        <v>7</v>
      </c>
      <c r="D774" s="226" t="s">
        <v>82</v>
      </c>
      <c r="E774" s="221" t="s">
        <v>86</v>
      </c>
      <c r="F774" s="221" t="n">
        <v>95532064</v>
      </c>
      <c r="G774" s="221" t="n">
        <v>1</v>
      </c>
      <c r="H774" s="229" t="s">
        <v>85</v>
      </c>
      <c r="I774" s="273" t="n">
        <v>12207.19</v>
      </c>
      <c r="J774" s="228" t="n">
        <v>12207.19</v>
      </c>
      <c r="K774" s="228" t="n">
        <v>12207.19</v>
      </c>
      <c r="L774" s="214" t="n">
        <v>0</v>
      </c>
      <c r="M774" s="228" t="n">
        <v>12207.19</v>
      </c>
      <c r="N774" s="228"/>
      <c r="Q774" s="212"/>
      <c r="R774" s="212"/>
      <c r="S774" s="291"/>
    </row>
    <row r="775" customFormat="false" ht="15" hidden="true" customHeight="false" outlineLevel="0" collapsed="false">
      <c r="B775" s="208" t="n">
        <v>2023</v>
      </c>
      <c r="C775" s="209" t="n">
        <v>7</v>
      </c>
      <c r="D775" s="226" t="s">
        <v>82</v>
      </c>
      <c r="E775" s="221" t="s">
        <v>88</v>
      </c>
      <c r="F775" s="221" t="n">
        <v>95532066</v>
      </c>
      <c r="G775" s="221" t="n">
        <v>1</v>
      </c>
      <c r="H775" s="229" t="s">
        <v>87</v>
      </c>
      <c r="I775" s="273" t="n">
        <v>12604.99</v>
      </c>
      <c r="J775" s="228" t="n">
        <v>12604.99</v>
      </c>
      <c r="K775" s="228" t="n">
        <v>12604.99</v>
      </c>
      <c r="L775" s="214" t="n">
        <v>0</v>
      </c>
      <c r="M775" s="228" t="n">
        <v>12604.99</v>
      </c>
      <c r="N775" s="228"/>
      <c r="Q775" s="212"/>
      <c r="R775" s="212"/>
      <c r="S775" s="291"/>
    </row>
    <row r="776" customFormat="false" ht="15" hidden="true" customHeight="false" outlineLevel="0" collapsed="false">
      <c r="B776" s="208" t="n">
        <v>2023</v>
      </c>
      <c r="C776" s="209" t="n">
        <v>7</v>
      </c>
      <c r="D776" s="226" t="s">
        <v>69</v>
      </c>
      <c r="E776" s="221" t="s">
        <v>94</v>
      </c>
      <c r="F776" s="221" t="n">
        <v>95532077</v>
      </c>
      <c r="G776" s="221" t="n">
        <v>1</v>
      </c>
      <c r="H776" s="229" t="s">
        <v>93</v>
      </c>
      <c r="I776" s="273" t="n">
        <v>2068.07</v>
      </c>
      <c r="J776" s="228" t="n">
        <v>25300</v>
      </c>
      <c r="K776" s="228" t="n">
        <v>2068.07</v>
      </c>
      <c r="L776" s="214" t="n">
        <v>23231.93</v>
      </c>
      <c r="M776" s="228" t="n">
        <v>25300</v>
      </c>
      <c r="N776" s="228"/>
      <c r="Q776" s="212"/>
      <c r="R776" s="212"/>
      <c r="S776" s="291"/>
    </row>
    <row r="777" customFormat="false" ht="15" hidden="true" customHeight="false" outlineLevel="0" collapsed="false">
      <c r="B777" s="208" t="n">
        <v>2023</v>
      </c>
      <c r="C777" s="209" t="n">
        <v>7</v>
      </c>
      <c r="D777" s="226" t="e">
        <f aca="false">#N/A</f>
        <v>#N/A</v>
      </c>
      <c r="E777" s="221" t="e">
        <f aca="false">#N/A</f>
        <v>#N/A</v>
      </c>
      <c r="F777" s="221" t="e">
        <f aca="false">#N/A</f>
        <v>#N/A</v>
      </c>
      <c r="G777" s="221" t="e">
        <f aca="false">#N/A</f>
        <v>#N/A</v>
      </c>
      <c r="H777" s="229" t="s">
        <v>245</v>
      </c>
      <c r="I777" s="273" t="e">
        <f aca="false">#N/A</f>
        <v>#N/A</v>
      </c>
      <c r="J777" s="228" t="e">
        <f aca="false">#N/A</f>
        <v>#N/A</v>
      </c>
      <c r="K777" s="228" t="e">
        <f aca="false">#N/A</f>
        <v>#N/A</v>
      </c>
      <c r="L777" s="214" t="e">
        <f aca="false">#N/A</f>
        <v>#N/A</v>
      </c>
      <c r="M777" s="228" t="e">
        <f aca="false">#N/A</f>
        <v>#N/A</v>
      </c>
      <c r="N777" s="228" t="n">
        <v>-666.666666666667</v>
      </c>
      <c r="O777" s="212" t="s">
        <v>194</v>
      </c>
      <c r="Q777" s="212"/>
      <c r="R777" s="212"/>
      <c r="S777" s="291"/>
    </row>
    <row r="778" customFormat="false" ht="15" hidden="true" customHeight="false" outlineLevel="0" collapsed="false">
      <c r="B778" s="208" t="n">
        <v>2023</v>
      </c>
      <c r="C778" s="209" t="n">
        <v>7</v>
      </c>
      <c r="D778" s="226" t="e">
        <f aca="false">#N/A</f>
        <v>#N/A</v>
      </c>
      <c r="E778" s="221" t="e">
        <f aca="false">#N/A</f>
        <v>#N/A</v>
      </c>
      <c r="F778" s="221" t="e">
        <f aca="false">#N/A</f>
        <v>#N/A</v>
      </c>
      <c r="G778" s="221" t="e">
        <f aca="false">#N/A</f>
        <v>#N/A</v>
      </c>
      <c r="H778" s="229" t="s">
        <v>247</v>
      </c>
      <c r="I778" s="273" t="e">
        <f aca="false">#N/A</f>
        <v>#N/A</v>
      </c>
      <c r="J778" s="228" t="e">
        <f aca="false">#N/A</f>
        <v>#N/A</v>
      </c>
      <c r="K778" s="228" t="e">
        <f aca="false">#N/A</f>
        <v>#N/A</v>
      </c>
      <c r="L778" s="214" t="e">
        <f aca="false">#N/A</f>
        <v>#N/A</v>
      </c>
      <c r="M778" s="228" t="e">
        <f aca="false">#N/A</f>
        <v>#N/A</v>
      </c>
      <c r="N778" s="228"/>
      <c r="Q778" s="212"/>
      <c r="R778" s="212"/>
      <c r="S778" s="291"/>
    </row>
    <row r="779" customFormat="false" ht="15" hidden="true" customHeight="false" outlineLevel="0" collapsed="false">
      <c r="B779" s="208" t="n">
        <v>2023</v>
      </c>
      <c r="C779" s="209" t="n">
        <v>7</v>
      </c>
      <c r="D779" s="226" t="s">
        <v>98</v>
      </c>
      <c r="E779" s="221" t="s">
        <v>99</v>
      </c>
      <c r="F779" s="221" t="s">
        <v>148</v>
      </c>
      <c r="G779" s="221" t="s">
        <v>65</v>
      </c>
      <c r="H779" s="229" t="s">
        <v>97</v>
      </c>
      <c r="I779" s="273" t="n">
        <v>12207.19</v>
      </c>
      <c r="J779" s="228" t="n">
        <v>12207.19</v>
      </c>
      <c r="K779" s="228" t="n">
        <v>12207.19</v>
      </c>
      <c r="L779" s="214" t="n">
        <v>0</v>
      </c>
      <c r="M779" s="228" t="n">
        <v>12207.19</v>
      </c>
      <c r="N779" s="228"/>
      <c r="Q779" s="212"/>
      <c r="R779" s="212"/>
      <c r="S779" s="291"/>
    </row>
    <row r="780" customFormat="false" ht="15" hidden="true" customHeight="false" outlineLevel="0" collapsed="false">
      <c r="B780" s="208" t="n">
        <v>2023</v>
      </c>
      <c r="C780" s="209" t="n">
        <v>7</v>
      </c>
      <c r="D780" s="226" t="s">
        <v>51</v>
      </c>
      <c r="E780" s="221" t="n">
        <v>23713484608</v>
      </c>
      <c r="F780" s="221" t="n">
        <v>97189681</v>
      </c>
      <c r="G780" s="221" t="n">
        <v>1</v>
      </c>
      <c r="H780" s="229" t="s">
        <v>100</v>
      </c>
      <c r="I780" s="273" t="n">
        <v>12604</v>
      </c>
      <c r="J780" s="228" t="n">
        <v>22000</v>
      </c>
      <c r="K780" s="228" t="n">
        <v>12604</v>
      </c>
      <c r="L780" s="214" t="n">
        <v>9396</v>
      </c>
      <c r="M780" s="228" t="n">
        <v>22000</v>
      </c>
      <c r="N780" s="228"/>
      <c r="Q780" s="212"/>
      <c r="R780" s="212"/>
      <c r="S780" s="291"/>
    </row>
    <row r="781" customFormat="false" ht="15" hidden="true" customHeight="false" outlineLevel="0" collapsed="false">
      <c r="B781" s="208" t="n">
        <v>2023</v>
      </c>
      <c r="C781" s="209" t="n">
        <v>7</v>
      </c>
      <c r="D781" s="226" t="s">
        <v>82</v>
      </c>
      <c r="E781" s="221" t="n">
        <v>17891875174</v>
      </c>
      <c r="F781" s="221" t="n">
        <v>6214238</v>
      </c>
      <c r="G781" s="221" t="n">
        <v>1</v>
      </c>
      <c r="H781" s="229" t="s">
        <v>190</v>
      </c>
      <c r="I781" s="273" t="n">
        <v>11402.32</v>
      </c>
      <c r="J781" s="228" t="n">
        <v>11402.32</v>
      </c>
      <c r="K781" s="228" t="n">
        <v>11402.32</v>
      </c>
      <c r="L781" s="214" t="n">
        <v>0</v>
      </c>
      <c r="M781" s="228" t="n">
        <v>11402.32</v>
      </c>
      <c r="N781" s="228"/>
      <c r="Q781" s="212"/>
      <c r="R781" s="212"/>
      <c r="S781" s="291"/>
    </row>
    <row r="782" customFormat="false" ht="15" hidden="true" customHeight="false" outlineLevel="0" collapsed="false">
      <c r="B782" s="208" t="n">
        <v>2023</v>
      </c>
      <c r="C782" s="209" t="n">
        <v>7</v>
      </c>
      <c r="D782" s="226" t="e">
        <f aca="false">#N/A</f>
        <v>#N/A</v>
      </c>
      <c r="E782" s="221" t="e">
        <f aca="false">#N/A</f>
        <v>#N/A</v>
      </c>
      <c r="F782" s="221" t="e">
        <f aca="false">#N/A</f>
        <v>#N/A</v>
      </c>
      <c r="G782" s="221" t="e">
        <f aca="false">#N/A</f>
        <v>#N/A</v>
      </c>
      <c r="H782" s="229" t="s">
        <v>276</v>
      </c>
      <c r="I782" s="273" t="e">
        <f aca="false">#N/A</f>
        <v>#N/A</v>
      </c>
      <c r="J782" s="228" t="e">
        <f aca="false">#N/A</f>
        <v>#N/A</v>
      </c>
      <c r="K782" s="228" t="e">
        <f aca="false">#N/A</f>
        <v>#N/A</v>
      </c>
      <c r="L782" s="214" t="e">
        <f aca="false">#N/A</f>
        <v>#N/A</v>
      </c>
      <c r="M782" s="228" t="e">
        <f aca="false">#N/A</f>
        <v>#N/A</v>
      </c>
      <c r="N782" s="228"/>
      <c r="Q782" s="212"/>
      <c r="R782" s="212"/>
      <c r="S782" s="291"/>
    </row>
    <row r="783" customFormat="false" ht="15" hidden="true" customHeight="false" outlineLevel="0" collapsed="false">
      <c r="B783" s="208" t="n">
        <v>2023</v>
      </c>
      <c r="C783" s="209" t="n">
        <v>7</v>
      </c>
      <c r="D783" s="226" t="e">
        <f aca="false">#N/A</f>
        <v>#N/A</v>
      </c>
      <c r="E783" s="221" t="e">
        <f aca="false">#N/A</f>
        <v>#N/A</v>
      </c>
      <c r="F783" s="221" t="e">
        <f aca="false">#N/A</f>
        <v>#N/A</v>
      </c>
      <c r="G783" s="221" t="e">
        <f aca="false">#N/A</f>
        <v>#N/A</v>
      </c>
      <c r="H783" s="229" t="s">
        <v>289</v>
      </c>
      <c r="I783" s="273" t="e">
        <f aca="false">#N/A</f>
        <v>#N/A</v>
      </c>
      <c r="J783" s="228" t="e">
        <f aca="false">#N/A</f>
        <v>#N/A</v>
      </c>
      <c r="K783" s="228" t="e">
        <f aca="false">#N/A</f>
        <v>#N/A</v>
      </c>
      <c r="L783" s="214" t="e">
        <f aca="false">#N/A</f>
        <v>#N/A</v>
      </c>
      <c r="M783" s="228" t="e">
        <f aca="false">#N/A</f>
        <v>#N/A</v>
      </c>
      <c r="N783" s="228"/>
      <c r="Q783" s="212"/>
      <c r="R783" s="212"/>
      <c r="S783" s="291"/>
    </row>
    <row r="784" customFormat="false" ht="15" hidden="true" customHeight="false" outlineLevel="0" collapsed="false">
      <c r="B784" s="208" t="n">
        <v>2023</v>
      </c>
      <c r="C784" s="209" t="n">
        <v>7</v>
      </c>
      <c r="D784" s="226" t="s">
        <v>59</v>
      </c>
      <c r="E784" s="221" t="s">
        <v>132</v>
      </c>
      <c r="F784" s="221" t="s">
        <v>151</v>
      </c>
      <c r="G784" s="221" t="s">
        <v>65</v>
      </c>
      <c r="H784" s="229" t="s">
        <v>127</v>
      </c>
      <c r="I784" s="273" t="n">
        <v>11402.32</v>
      </c>
      <c r="J784" s="228" t="n">
        <v>22000</v>
      </c>
      <c r="K784" s="228" t="n">
        <v>11402.32</v>
      </c>
      <c r="L784" s="214" t="n">
        <v>10597.68</v>
      </c>
      <c r="M784" s="228" t="n">
        <v>22000</v>
      </c>
      <c r="N784" s="228"/>
      <c r="Q784" s="212"/>
      <c r="R784" s="212"/>
      <c r="S784" s="291"/>
    </row>
    <row r="785" customFormat="false" ht="15" hidden="true" customHeight="false" outlineLevel="0" collapsed="false">
      <c r="B785" s="208" t="n">
        <v>2023</v>
      </c>
      <c r="C785" s="209" t="n">
        <v>7</v>
      </c>
      <c r="D785" s="226" t="s">
        <v>192</v>
      </c>
      <c r="E785" s="221" t="n">
        <v>0</v>
      </c>
      <c r="F785" s="221" t="n">
        <v>0</v>
      </c>
      <c r="G785" s="221" t="n">
        <v>0</v>
      </c>
      <c r="H785" s="229" t="s">
        <v>74</v>
      </c>
      <c r="I785" s="273" t="n">
        <v>0</v>
      </c>
      <c r="J785" s="228" t="n">
        <v>12540</v>
      </c>
      <c r="K785" s="228" t="n">
        <v>0</v>
      </c>
      <c r="L785" s="214" t="n">
        <v>22540</v>
      </c>
      <c r="M785" s="228" t="n">
        <v>22540</v>
      </c>
      <c r="N785" s="228" t="n">
        <v>10000</v>
      </c>
      <c r="O785" s="212" t="s">
        <v>159</v>
      </c>
      <c r="Q785" s="212"/>
      <c r="R785" s="212"/>
      <c r="S785" s="291"/>
    </row>
    <row r="786" customFormat="false" ht="15" hidden="true" customHeight="false" outlineLevel="0" collapsed="false">
      <c r="B786" s="208" t="n">
        <v>2023</v>
      </c>
      <c r="C786" s="209" t="n">
        <v>7</v>
      </c>
      <c r="D786" s="226" t="e">
        <f aca="false">#N/A</f>
        <v>#N/A</v>
      </c>
      <c r="E786" s="221" t="e">
        <f aca="false">#N/A</f>
        <v>#N/A</v>
      </c>
      <c r="F786" s="221" t="e">
        <f aca="false">#N/A</f>
        <v>#N/A</v>
      </c>
      <c r="G786" s="221" t="e">
        <f aca="false">#N/A</f>
        <v>#N/A</v>
      </c>
      <c r="H786" s="229" t="s">
        <v>311</v>
      </c>
      <c r="I786" s="273" t="e">
        <f aca="false">#N/A</f>
        <v>#N/A</v>
      </c>
      <c r="J786" s="228" t="e">
        <f aca="false">#N/A</f>
        <v>#N/A</v>
      </c>
      <c r="K786" s="228" t="e">
        <f aca="false">#N/A</f>
        <v>#N/A</v>
      </c>
      <c r="L786" s="214" t="e">
        <f aca="false">#N/A</f>
        <v>#N/A</v>
      </c>
      <c r="M786" s="228" t="e">
        <f aca="false">#N/A</f>
        <v>#N/A</v>
      </c>
      <c r="N786" s="228"/>
      <c r="Q786" s="212"/>
      <c r="R786" s="212"/>
      <c r="S786" s="291"/>
    </row>
    <row r="787" customFormat="false" ht="15" hidden="true" customHeight="false" outlineLevel="0" collapsed="false">
      <c r="B787" s="208" t="n">
        <v>2023</v>
      </c>
      <c r="C787" s="209" t="n">
        <v>7</v>
      </c>
      <c r="D787" s="226" t="e">
        <f aca="false">#N/A</f>
        <v>#N/A</v>
      </c>
      <c r="E787" s="221" t="e">
        <f aca="false">#N/A</f>
        <v>#N/A</v>
      </c>
      <c r="F787" s="221" t="e">
        <f aca="false">#N/A</f>
        <v>#N/A</v>
      </c>
      <c r="G787" s="221" t="e">
        <f aca="false">#N/A</f>
        <v>#N/A</v>
      </c>
      <c r="H787" s="229" t="s">
        <v>102</v>
      </c>
      <c r="I787" s="273" t="e">
        <f aca="false">#N/A</f>
        <v>#N/A</v>
      </c>
      <c r="J787" s="228" t="e">
        <f aca="false">#N/A</f>
        <v>#N/A</v>
      </c>
      <c r="K787" s="228" t="e">
        <f aca="false">#N/A</f>
        <v>#N/A</v>
      </c>
      <c r="L787" s="214" t="e">
        <f aca="false">#N/A</f>
        <v>#N/A</v>
      </c>
      <c r="M787" s="228" t="e">
        <f aca="false">#N/A</f>
        <v>#N/A</v>
      </c>
      <c r="N787" s="228"/>
      <c r="Q787" s="212"/>
      <c r="R787" s="212"/>
      <c r="S787" s="291"/>
    </row>
    <row r="788" customFormat="false" ht="15" hidden="true" customHeight="false" outlineLevel="0" collapsed="false">
      <c r="B788" s="208" t="n">
        <v>2023</v>
      </c>
      <c r="C788" s="209" t="n">
        <v>7</v>
      </c>
      <c r="D788" s="226" t="s">
        <v>43</v>
      </c>
      <c r="E788" s="221" t="n">
        <v>0</v>
      </c>
      <c r="F788" s="221" t="n">
        <v>0</v>
      </c>
      <c r="G788" s="221" t="n">
        <v>0</v>
      </c>
      <c r="H788" s="229" t="s">
        <v>196</v>
      </c>
      <c r="I788" s="273" t="n">
        <v>0</v>
      </c>
      <c r="J788" s="228" t="n">
        <v>12540</v>
      </c>
      <c r="K788" s="228" t="n">
        <v>0</v>
      </c>
      <c r="L788" s="214" t="n">
        <v>12540</v>
      </c>
      <c r="M788" s="228" t="n">
        <v>12540</v>
      </c>
      <c r="N788" s="228"/>
      <c r="Q788" s="212"/>
      <c r="R788" s="212"/>
      <c r="S788" s="291"/>
    </row>
    <row r="789" customFormat="false" ht="15" hidden="true" customHeight="false" outlineLevel="0" collapsed="false">
      <c r="B789" s="208" t="n">
        <v>2023</v>
      </c>
      <c r="C789" s="209" t="n">
        <v>7</v>
      </c>
      <c r="D789" s="226" t="s">
        <v>56</v>
      </c>
      <c r="E789" s="221" t="s">
        <v>216</v>
      </c>
      <c r="F789" s="221" t="s">
        <v>217</v>
      </c>
      <c r="G789" s="221" t="s">
        <v>65</v>
      </c>
      <c r="H789" s="229" t="s">
        <v>198</v>
      </c>
      <c r="I789" s="273" t="n">
        <v>11402</v>
      </c>
      <c r="J789" s="228" t="n">
        <v>22000</v>
      </c>
      <c r="K789" s="228" t="n">
        <v>11402</v>
      </c>
      <c r="L789" s="214" t="n">
        <v>-1402</v>
      </c>
      <c r="M789" s="228" t="n">
        <v>10000</v>
      </c>
      <c r="N789" s="228" t="n">
        <v>-12000</v>
      </c>
      <c r="O789" s="212" t="s">
        <v>301</v>
      </c>
      <c r="Q789" s="212"/>
      <c r="R789" s="212"/>
      <c r="S789" s="291"/>
    </row>
    <row r="790" customFormat="false" ht="15" hidden="true" customHeight="false" outlineLevel="0" collapsed="false">
      <c r="B790" s="208" t="n">
        <v>2023</v>
      </c>
      <c r="C790" s="209" t="n">
        <v>7</v>
      </c>
      <c r="D790" s="226" t="s">
        <v>34</v>
      </c>
      <c r="E790" s="221" t="s">
        <v>324</v>
      </c>
      <c r="F790" s="221" t="s">
        <v>325</v>
      </c>
      <c r="G790" s="221" t="s">
        <v>65</v>
      </c>
      <c r="H790" s="229" t="s">
        <v>326</v>
      </c>
      <c r="I790" s="273" t="n">
        <v>11022</v>
      </c>
      <c r="J790" s="228" t="n">
        <v>22000</v>
      </c>
      <c r="K790" s="228" t="n">
        <v>11022</v>
      </c>
      <c r="L790" s="214" t="n">
        <v>1644.66666666667</v>
      </c>
      <c r="M790" s="228" t="n">
        <v>12666.6666666667</v>
      </c>
      <c r="N790" s="228" t="n">
        <v>-9333.33333333333</v>
      </c>
      <c r="O790" s="212" t="s">
        <v>301</v>
      </c>
      <c r="Q790" s="212"/>
      <c r="R790" s="212"/>
      <c r="S790" s="291"/>
    </row>
    <row r="791" customFormat="false" ht="15" hidden="true" customHeight="false" outlineLevel="0" collapsed="false">
      <c r="B791" s="208" t="n">
        <v>2023</v>
      </c>
      <c r="C791" s="209" t="n">
        <v>7</v>
      </c>
      <c r="D791" s="226" t="s">
        <v>34</v>
      </c>
      <c r="E791" s="221" t="n">
        <v>0</v>
      </c>
      <c r="F791" s="221" t="n">
        <v>0</v>
      </c>
      <c r="G791" s="221" t="n">
        <v>0</v>
      </c>
      <c r="H791" s="229" t="s">
        <v>48</v>
      </c>
      <c r="I791" s="273" t="n">
        <v>0</v>
      </c>
      <c r="J791" s="228" t="n">
        <v>22000</v>
      </c>
      <c r="K791" s="228" t="n">
        <v>0</v>
      </c>
      <c r="L791" s="214" t="n">
        <v>22000</v>
      </c>
      <c r="M791" s="228" t="n">
        <v>22000</v>
      </c>
      <c r="N791" s="228"/>
      <c r="Q791" s="212"/>
      <c r="R791" s="212"/>
      <c r="S791" s="291"/>
    </row>
    <row r="792" customFormat="false" ht="15" hidden="true" customHeight="false" outlineLevel="0" collapsed="false">
      <c r="B792" s="208" t="n">
        <v>2023</v>
      </c>
      <c r="C792" s="209" t="n">
        <v>7</v>
      </c>
      <c r="D792" s="226" t="e">
        <f aca="false">#N/A</f>
        <v>#N/A</v>
      </c>
      <c r="E792" s="221" t="e">
        <f aca="false">#N/A</f>
        <v>#N/A</v>
      </c>
      <c r="F792" s="221" t="e">
        <f aca="false">#N/A</f>
        <v>#N/A</v>
      </c>
      <c r="G792" s="221" t="e">
        <f aca="false">#N/A</f>
        <v>#N/A</v>
      </c>
      <c r="H792" s="229" t="s">
        <v>323</v>
      </c>
      <c r="I792" s="273" t="e">
        <f aca="false">#N/A</f>
        <v>#N/A</v>
      </c>
      <c r="J792" s="228" t="e">
        <f aca="false">#N/A</f>
        <v>#N/A</v>
      </c>
      <c r="K792" s="228" t="e">
        <f aca="false">#N/A</f>
        <v>#N/A</v>
      </c>
      <c r="L792" s="214" t="e">
        <f aca="false">#N/A</f>
        <v>#N/A</v>
      </c>
      <c r="M792" s="228" t="e">
        <f aca="false">#N/A</f>
        <v>#N/A</v>
      </c>
      <c r="N792" s="228"/>
      <c r="Q792" s="212"/>
      <c r="R792" s="212"/>
      <c r="S792" s="291"/>
    </row>
    <row r="793" customFormat="false" ht="15" hidden="true" customHeight="false" outlineLevel="0" collapsed="false">
      <c r="B793" s="208" t="n">
        <v>2023</v>
      </c>
      <c r="C793" s="209" t="n">
        <v>7</v>
      </c>
      <c r="D793" s="226" t="s">
        <v>105</v>
      </c>
      <c r="E793" s="221" t="s">
        <v>106</v>
      </c>
      <c r="F793" s="221" t="n">
        <v>0</v>
      </c>
      <c r="G793" s="221" t="n">
        <v>0</v>
      </c>
      <c r="H793" s="229" t="s">
        <v>104</v>
      </c>
      <c r="I793" s="273" t="n">
        <v>0</v>
      </c>
      <c r="J793" s="228" t="n">
        <v>25300</v>
      </c>
      <c r="K793" s="228" t="n">
        <v>0</v>
      </c>
      <c r="L793" s="214" t="n">
        <v>20300</v>
      </c>
      <c r="M793" s="228" t="n">
        <v>20300</v>
      </c>
      <c r="N793" s="228" t="n">
        <v>-5000</v>
      </c>
      <c r="O793" s="212" t="s">
        <v>159</v>
      </c>
      <c r="Q793" s="212"/>
      <c r="R793" s="212"/>
      <c r="S793" s="291"/>
    </row>
    <row r="794" customFormat="false" ht="15" hidden="true" customHeight="false" outlineLevel="0" collapsed="false">
      <c r="B794" s="208" t="n">
        <v>2023</v>
      </c>
      <c r="C794" s="209" t="n">
        <v>7</v>
      </c>
      <c r="D794" s="226" t="e">
        <f aca="false">#N/A</f>
        <v>#N/A</v>
      </c>
      <c r="E794" s="221" t="e">
        <f aca="false">#N/A</f>
        <v>#N/A</v>
      </c>
      <c r="F794" s="221" t="e">
        <f aca="false">#N/A</f>
        <v>#N/A</v>
      </c>
      <c r="G794" s="221" t="e">
        <f aca="false">#N/A</f>
        <v>#N/A</v>
      </c>
      <c r="H794" s="229" t="s">
        <v>66</v>
      </c>
      <c r="I794" s="273" t="e">
        <f aca="false">#N/A</f>
        <v>#N/A</v>
      </c>
      <c r="J794" s="228" t="e">
        <f aca="false">#N/A</f>
        <v>#N/A</v>
      </c>
      <c r="K794" s="228" t="e">
        <f aca="false">#N/A</f>
        <v>#N/A</v>
      </c>
      <c r="L794" s="214" t="e">
        <f aca="false">#N/A</f>
        <v>#N/A</v>
      </c>
      <c r="M794" s="228" t="e">
        <f aca="false">#N/A</f>
        <v>#N/A</v>
      </c>
      <c r="N794" s="228"/>
      <c r="Q794" s="212"/>
      <c r="R794" s="212"/>
      <c r="S794" s="291"/>
    </row>
    <row r="795" customFormat="false" ht="15" hidden="true" customHeight="false" outlineLevel="0" collapsed="false">
      <c r="B795" s="208" t="n">
        <v>2023</v>
      </c>
      <c r="C795" s="209" t="n">
        <v>7</v>
      </c>
      <c r="D795" s="226" t="s">
        <v>59</v>
      </c>
      <c r="E795" s="221" t="s">
        <v>60</v>
      </c>
      <c r="F795" s="221" t="s">
        <v>61</v>
      </c>
      <c r="G795" s="221" t="n">
        <v>1</v>
      </c>
      <c r="H795" s="229" t="s">
        <v>133</v>
      </c>
      <c r="I795" s="273" t="n">
        <v>11402.32</v>
      </c>
      <c r="J795" s="228" t="n">
        <v>11402.32</v>
      </c>
      <c r="K795" s="228" t="n">
        <v>11402.32</v>
      </c>
      <c r="L795" s="214" t="n">
        <v>0</v>
      </c>
      <c r="M795" s="228" t="n">
        <v>11402.32</v>
      </c>
      <c r="N795" s="228"/>
      <c r="Q795" s="212"/>
      <c r="R795" s="212"/>
      <c r="S795" s="291"/>
    </row>
    <row r="796" customFormat="false" ht="15" hidden="true" customHeight="false" outlineLevel="0" collapsed="false">
      <c r="B796" s="208" t="n">
        <v>2023</v>
      </c>
      <c r="C796" s="209" t="n">
        <v>7</v>
      </c>
      <c r="D796" s="226" t="s">
        <v>59</v>
      </c>
      <c r="E796" s="221" t="n">
        <v>30148302742</v>
      </c>
      <c r="F796" s="221" t="n">
        <v>97726066</v>
      </c>
      <c r="G796" s="221" t="n">
        <v>1</v>
      </c>
      <c r="H796" s="229" t="s">
        <v>62</v>
      </c>
      <c r="I796" s="273" t="n">
        <v>11402.32</v>
      </c>
      <c r="J796" s="228" t="n">
        <v>11402.32</v>
      </c>
      <c r="K796" s="228" t="n">
        <v>11402.32</v>
      </c>
      <c r="L796" s="214" t="n">
        <v>0</v>
      </c>
      <c r="M796" s="228" t="n">
        <v>11402.32</v>
      </c>
      <c r="N796" s="228"/>
      <c r="Q796" s="212"/>
      <c r="R796" s="212"/>
      <c r="S796" s="291"/>
    </row>
    <row r="797" customFormat="false" ht="15" hidden="true" customHeight="false" outlineLevel="0" collapsed="false">
      <c r="B797" s="208" t="n">
        <v>2023</v>
      </c>
      <c r="C797" s="209" t="n">
        <v>7</v>
      </c>
      <c r="D797" s="226" t="s">
        <v>59</v>
      </c>
      <c r="E797" s="221" t="s">
        <v>57</v>
      </c>
      <c r="F797" s="221" t="s">
        <v>153</v>
      </c>
      <c r="G797" s="221" t="s">
        <v>65</v>
      </c>
      <c r="H797" s="227" t="s">
        <v>55</v>
      </c>
      <c r="I797" s="273" t="n">
        <v>11402.32</v>
      </c>
      <c r="J797" s="228" t="n">
        <v>11402.32</v>
      </c>
      <c r="K797" s="228" t="n">
        <v>11402.32</v>
      </c>
      <c r="L797" s="214" t="n">
        <v>0</v>
      </c>
      <c r="M797" s="228" t="n">
        <v>11402.32</v>
      </c>
      <c r="N797" s="228"/>
      <c r="Q797" s="212"/>
      <c r="R797" s="212"/>
      <c r="S797" s="291"/>
    </row>
    <row r="798" customFormat="false" ht="15" hidden="true" customHeight="false" outlineLevel="0" collapsed="false">
      <c r="B798" s="208" t="n">
        <v>2023</v>
      </c>
      <c r="C798" s="209" t="n">
        <v>7</v>
      </c>
      <c r="D798" s="226" t="s">
        <v>59</v>
      </c>
      <c r="E798" s="221" t="n">
        <v>0</v>
      </c>
      <c r="F798" s="221" t="n">
        <v>0</v>
      </c>
      <c r="G798" s="221" t="n">
        <v>0</v>
      </c>
      <c r="H798" s="229" t="s">
        <v>134</v>
      </c>
      <c r="I798" s="273" t="n">
        <v>0</v>
      </c>
      <c r="J798" s="228" t="n">
        <v>11000</v>
      </c>
      <c r="K798" s="228" t="n">
        <v>0</v>
      </c>
      <c r="L798" s="214" t="n">
        <v>11000</v>
      </c>
      <c r="M798" s="228" t="n">
        <v>11000</v>
      </c>
      <c r="N798" s="228"/>
      <c r="Q798" s="212"/>
      <c r="R798" s="212"/>
      <c r="S798" s="291"/>
    </row>
    <row r="799" customFormat="false" ht="15" hidden="true" customHeight="false" outlineLevel="0" collapsed="false">
      <c r="B799" s="208" t="n">
        <v>2023</v>
      </c>
      <c r="C799" s="209" t="n">
        <v>7</v>
      </c>
      <c r="D799" s="226" t="s">
        <v>59</v>
      </c>
      <c r="E799" s="221" t="n">
        <v>0</v>
      </c>
      <c r="F799" s="221" t="n">
        <v>0</v>
      </c>
      <c r="G799" s="221" t="n">
        <v>0</v>
      </c>
      <c r="H799" s="229" t="s">
        <v>312</v>
      </c>
      <c r="I799" s="273" t="n">
        <v>0</v>
      </c>
      <c r="J799" s="228" t="n">
        <v>4000</v>
      </c>
      <c r="K799" s="228" t="n">
        <v>0</v>
      </c>
      <c r="L799" s="214" t="n">
        <v>4000</v>
      </c>
      <c r="M799" s="228" t="n">
        <v>4000</v>
      </c>
      <c r="N799" s="228"/>
      <c r="Q799" s="212"/>
      <c r="R799" s="212"/>
      <c r="S799" s="291"/>
    </row>
    <row r="800" customFormat="false" ht="15" hidden="true" customHeight="false" outlineLevel="0" collapsed="false">
      <c r="B800" s="208" t="n">
        <v>2023</v>
      </c>
      <c r="C800" s="209" t="n">
        <v>7</v>
      </c>
      <c r="D800" s="226" t="s">
        <v>59</v>
      </c>
      <c r="E800" s="221" t="n">
        <v>0</v>
      </c>
      <c r="F800" s="221" t="n">
        <v>0</v>
      </c>
      <c r="G800" s="221" t="n">
        <v>0</v>
      </c>
      <c r="H800" s="229" t="s">
        <v>135</v>
      </c>
      <c r="I800" s="273" t="n">
        <v>0</v>
      </c>
      <c r="J800" s="228" t="n">
        <v>11000</v>
      </c>
      <c r="K800" s="228" t="n">
        <v>0</v>
      </c>
      <c r="L800" s="214" t="n">
        <v>11000</v>
      </c>
      <c r="M800" s="228" t="n">
        <v>11000</v>
      </c>
      <c r="N800" s="228"/>
      <c r="Q800" s="212"/>
      <c r="R800" s="212"/>
      <c r="S800" s="291"/>
    </row>
    <row r="801" customFormat="false" ht="15" hidden="true" customHeight="false" outlineLevel="0" collapsed="false">
      <c r="B801" s="208" t="n">
        <v>2023</v>
      </c>
      <c r="C801" s="209" t="n">
        <v>8</v>
      </c>
      <c r="D801" s="226" t="s">
        <v>56</v>
      </c>
      <c r="E801" s="221" t="s">
        <v>80</v>
      </c>
      <c r="F801" s="221" t="n">
        <v>96358353</v>
      </c>
      <c r="G801" s="221" t="n">
        <v>1</v>
      </c>
      <c r="H801" s="299" t="s">
        <v>79</v>
      </c>
      <c r="I801" s="273" t="n">
        <v>12500</v>
      </c>
      <c r="J801" s="228" t="n">
        <v>25000</v>
      </c>
      <c r="K801" s="228" t="n">
        <v>12500</v>
      </c>
      <c r="L801" s="214" t="n">
        <v>12500</v>
      </c>
      <c r="M801" s="228" t="n">
        <v>25000</v>
      </c>
      <c r="Q801" s="212"/>
      <c r="R801" s="212"/>
      <c r="S801" s="291"/>
    </row>
    <row r="802" customFormat="false" ht="15" hidden="true" customHeight="false" outlineLevel="0" collapsed="false">
      <c r="B802" s="208" t="n">
        <v>2023</v>
      </c>
      <c r="C802" s="209" t="n">
        <v>8</v>
      </c>
      <c r="D802" s="226" t="s">
        <v>69</v>
      </c>
      <c r="E802" s="221" t="s">
        <v>214</v>
      </c>
      <c r="F802" s="221" t="s">
        <v>215</v>
      </c>
      <c r="G802" s="221" t="s">
        <v>65</v>
      </c>
      <c r="H802" s="299" t="s">
        <v>122</v>
      </c>
      <c r="I802" s="273" t="n">
        <v>12257.5</v>
      </c>
      <c r="J802" s="228" t="n">
        <v>23000</v>
      </c>
      <c r="K802" s="228" t="n">
        <v>12257.5</v>
      </c>
      <c r="L802" s="214" t="n">
        <v>10742.5</v>
      </c>
      <c r="M802" s="228" t="n">
        <v>23000</v>
      </c>
      <c r="N802" s="228"/>
      <c r="Q802" s="212"/>
      <c r="R802" s="212"/>
      <c r="S802" s="291"/>
    </row>
    <row r="803" customFormat="false" ht="15" hidden="true" customHeight="false" outlineLevel="0" collapsed="false">
      <c r="B803" s="208" t="n">
        <v>2023</v>
      </c>
      <c r="C803" s="209" t="n">
        <v>8</v>
      </c>
      <c r="D803" s="226" t="s">
        <v>82</v>
      </c>
      <c r="E803" s="221" t="s">
        <v>204</v>
      </c>
      <c r="F803" s="221" t="n">
        <v>95573006</v>
      </c>
      <c r="G803" s="221" t="n">
        <v>1</v>
      </c>
      <c r="H803" s="299" t="s">
        <v>188</v>
      </c>
      <c r="I803" s="273" t="n">
        <v>11402.32</v>
      </c>
      <c r="J803" s="228" t="n">
        <v>11402.32</v>
      </c>
      <c r="K803" s="228" t="n">
        <v>11402.32</v>
      </c>
      <c r="L803" s="214" t="n">
        <v>0</v>
      </c>
      <c r="M803" s="228" t="n">
        <v>11402.32</v>
      </c>
      <c r="N803" s="228"/>
      <c r="Q803" s="212"/>
      <c r="R803" s="212"/>
      <c r="S803" s="291"/>
    </row>
    <row r="804" customFormat="false" ht="15" hidden="true" customHeight="false" outlineLevel="0" collapsed="false">
      <c r="B804" s="208" t="n">
        <v>2023</v>
      </c>
      <c r="C804" s="209" t="n">
        <v>8</v>
      </c>
      <c r="D804" s="226" t="s">
        <v>82</v>
      </c>
      <c r="E804" s="221" t="s">
        <v>83</v>
      </c>
      <c r="F804" s="221" t="n">
        <v>95529415</v>
      </c>
      <c r="G804" s="221" t="n">
        <v>1</v>
      </c>
      <c r="H804" s="299" t="s">
        <v>81</v>
      </c>
      <c r="I804" s="273" t="n">
        <v>12257.5</v>
      </c>
      <c r="J804" s="228" t="n">
        <v>57257.5</v>
      </c>
      <c r="K804" s="228" t="n">
        <v>12257.5</v>
      </c>
      <c r="L804" s="214" t="n">
        <v>45000</v>
      </c>
      <c r="M804" s="228" t="n">
        <v>57257.5</v>
      </c>
      <c r="N804" s="228"/>
      <c r="Q804" s="212"/>
      <c r="R804" s="212"/>
      <c r="S804" s="291"/>
    </row>
    <row r="805" customFormat="false" ht="15" hidden="true" customHeight="false" outlineLevel="0" collapsed="false">
      <c r="B805" s="208" t="n">
        <v>2023</v>
      </c>
      <c r="C805" s="209" t="n">
        <v>8</v>
      </c>
      <c r="D805" s="226" t="s">
        <v>56</v>
      </c>
      <c r="E805" s="221" t="s">
        <v>84</v>
      </c>
      <c r="F805" s="221" t="n">
        <v>95787183</v>
      </c>
      <c r="G805" s="221" t="n">
        <v>1</v>
      </c>
      <c r="H805" s="299" t="s">
        <v>73</v>
      </c>
      <c r="I805" s="273" t="n">
        <v>11402.32</v>
      </c>
      <c r="J805" s="228" t="n">
        <v>11402.32</v>
      </c>
      <c r="K805" s="228" t="n">
        <v>11402.32</v>
      </c>
      <c r="L805" s="214" t="n">
        <v>0</v>
      </c>
      <c r="M805" s="228" t="n">
        <v>11402.32</v>
      </c>
      <c r="N805" s="228"/>
      <c r="Q805" s="212"/>
      <c r="R805" s="212"/>
      <c r="S805" s="291"/>
    </row>
    <row r="806" customFormat="false" ht="15" hidden="true" customHeight="false" outlineLevel="0" collapsed="false">
      <c r="B806" s="208" t="n">
        <v>2023</v>
      </c>
      <c r="C806" s="209" t="n">
        <v>8</v>
      </c>
      <c r="D806" s="226" t="s">
        <v>82</v>
      </c>
      <c r="E806" s="221" t="s">
        <v>86</v>
      </c>
      <c r="F806" s="221" t="n">
        <v>95532064</v>
      </c>
      <c r="G806" s="221" t="n">
        <v>1</v>
      </c>
      <c r="H806" s="299" t="s">
        <v>85</v>
      </c>
      <c r="I806" s="273" t="n">
        <v>12257.5</v>
      </c>
      <c r="J806" s="228" t="n">
        <v>12257.5</v>
      </c>
      <c r="K806" s="228" t="n">
        <v>12257.5</v>
      </c>
      <c r="L806" s="214" t="n">
        <v>0</v>
      </c>
      <c r="M806" s="228" t="n">
        <v>12257.5</v>
      </c>
      <c r="N806" s="228"/>
      <c r="Q806" s="212"/>
      <c r="R806" s="212"/>
      <c r="S806" s="291"/>
    </row>
    <row r="807" customFormat="false" ht="15" hidden="true" customHeight="false" outlineLevel="0" collapsed="false">
      <c r="B807" s="208" t="n">
        <v>2023</v>
      </c>
      <c r="C807" s="209" t="n">
        <v>8</v>
      </c>
      <c r="D807" s="226" t="s">
        <v>82</v>
      </c>
      <c r="E807" s="221" t="s">
        <v>88</v>
      </c>
      <c r="F807" s="221" t="n">
        <v>95532066</v>
      </c>
      <c r="G807" s="221" t="n">
        <v>1</v>
      </c>
      <c r="H807" s="299" t="s">
        <v>87</v>
      </c>
      <c r="I807" s="273" t="n">
        <v>12546.36</v>
      </c>
      <c r="J807" s="228" t="n">
        <v>12546.36</v>
      </c>
      <c r="K807" s="228" t="n">
        <v>12546.36</v>
      </c>
      <c r="L807" s="214" t="n">
        <v>0</v>
      </c>
      <c r="M807" s="228" t="n">
        <v>12546.36</v>
      </c>
      <c r="N807" s="228"/>
      <c r="Q807" s="212"/>
      <c r="R807" s="212"/>
      <c r="S807" s="291"/>
    </row>
    <row r="808" customFormat="false" ht="15" hidden="true" customHeight="false" outlineLevel="0" collapsed="false">
      <c r="B808" s="208" t="n">
        <v>2023</v>
      </c>
      <c r="C808" s="209" t="n">
        <v>8</v>
      </c>
      <c r="D808" s="226" t="s">
        <v>69</v>
      </c>
      <c r="E808" s="221" t="s">
        <v>94</v>
      </c>
      <c r="F808" s="221" t="n">
        <v>95532077</v>
      </c>
      <c r="G808" s="221" t="n">
        <v>1</v>
      </c>
      <c r="H808" s="299" t="s">
        <v>93</v>
      </c>
      <c r="I808" s="273" t="n">
        <v>2068.07</v>
      </c>
      <c r="J808" s="228" t="n">
        <v>23000</v>
      </c>
      <c r="K808" s="228" t="n">
        <v>2068.07</v>
      </c>
      <c r="L808" s="214" t="n">
        <v>20931.93</v>
      </c>
      <c r="M808" s="228" t="n">
        <v>23000</v>
      </c>
      <c r="N808" s="228"/>
      <c r="Q808" s="212"/>
      <c r="R808" s="212"/>
      <c r="S808" s="291"/>
    </row>
    <row r="809" customFormat="false" ht="15" hidden="true" customHeight="false" outlineLevel="0" collapsed="false">
      <c r="B809" s="208" t="n">
        <v>2023</v>
      </c>
      <c r="C809" s="209" t="n">
        <v>8</v>
      </c>
      <c r="D809" s="226" t="s">
        <v>34</v>
      </c>
      <c r="E809" s="221" t="s">
        <v>96</v>
      </c>
      <c r="F809" s="221" t="n">
        <v>95693810</v>
      </c>
      <c r="G809" s="221" t="n">
        <v>1</v>
      </c>
      <c r="H809" s="229" t="s">
        <v>95</v>
      </c>
      <c r="I809" s="273" t="n">
        <v>12257.5</v>
      </c>
      <c r="J809" s="228" t="n">
        <v>20000</v>
      </c>
      <c r="K809" s="228" t="n">
        <v>12257.5</v>
      </c>
      <c r="L809" s="214" t="n">
        <v>5075.83333333333</v>
      </c>
      <c r="M809" s="228" t="n">
        <v>17333.3333333333</v>
      </c>
      <c r="N809" s="228" t="n">
        <v>-2666.66666666667</v>
      </c>
      <c r="O809" s="212" t="s">
        <v>327</v>
      </c>
      <c r="Q809" s="212"/>
      <c r="R809" s="212"/>
      <c r="S809" s="291"/>
    </row>
    <row r="810" customFormat="false" ht="15" hidden="true" customHeight="false" outlineLevel="0" collapsed="false">
      <c r="B810" s="208" t="n">
        <v>2023</v>
      </c>
      <c r="C810" s="209" t="n">
        <v>8</v>
      </c>
      <c r="D810" s="226" t="s">
        <v>69</v>
      </c>
      <c r="E810" s="221" t="s">
        <v>206</v>
      </c>
      <c r="F810" s="221" t="s">
        <v>207</v>
      </c>
      <c r="G810" s="221" t="s">
        <v>65</v>
      </c>
      <c r="H810" s="229" t="s">
        <v>103</v>
      </c>
      <c r="I810" s="273" t="n">
        <v>12257.5</v>
      </c>
      <c r="J810" s="228" t="n">
        <v>23000</v>
      </c>
      <c r="K810" s="228" t="n">
        <v>12257.5</v>
      </c>
      <c r="L810" s="214" t="n">
        <v>4375.83333333333</v>
      </c>
      <c r="M810" s="228" t="n">
        <v>16633.3333333333</v>
      </c>
      <c r="N810" s="228" t="n">
        <v>-6366.66666666667</v>
      </c>
      <c r="O810" s="212" t="s">
        <v>328</v>
      </c>
      <c r="Q810" s="212"/>
      <c r="R810" s="212"/>
      <c r="S810" s="291"/>
    </row>
    <row r="811" customFormat="false" ht="15" hidden="true" customHeight="false" outlineLevel="0" collapsed="false">
      <c r="B811" s="208" t="n">
        <v>2023</v>
      </c>
      <c r="C811" s="209" t="n">
        <v>8</v>
      </c>
      <c r="D811" s="226" t="s">
        <v>98</v>
      </c>
      <c r="E811" s="221" t="s">
        <v>99</v>
      </c>
      <c r="F811" s="221" t="s">
        <v>148</v>
      </c>
      <c r="G811" s="221" t="s">
        <v>65</v>
      </c>
      <c r="H811" s="299" t="s">
        <v>97</v>
      </c>
      <c r="I811" s="273" t="n">
        <v>12257.5</v>
      </c>
      <c r="J811" s="228" t="n">
        <v>12257.5</v>
      </c>
      <c r="K811" s="228" t="n">
        <v>12257.5</v>
      </c>
      <c r="L811" s="214" t="n">
        <v>0</v>
      </c>
      <c r="M811" s="228" t="n">
        <v>12257.5</v>
      </c>
      <c r="N811" s="228"/>
      <c r="Q811" s="212"/>
      <c r="R811" s="212"/>
      <c r="S811" s="291"/>
    </row>
    <row r="812" customFormat="false" ht="15" hidden="true" customHeight="false" outlineLevel="0" collapsed="false">
      <c r="B812" s="208" t="n">
        <v>2023</v>
      </c>
      <c r="C812" s="209" t="n">
        <v>8</v>
      </c>
      <c r="D812" s="226" t="s">
        <v>51</v>
      </c>
      <c r="E812" s="221" t="n">
        <v>23713484608</v>
      </c>
      <c r="F812" s="221" t="n">
        <v>97189681</v>
      </c>
      <c r="G812" s="221" t="n">
        <v>1</v>
      </c>
      <c r="H812" s="299" t="s">
        <v>100</v>
      </c>
      <c r="I812" s="273" t="n">
        <v>12546.36</v>
      </c>
      <c r="J812" s="228" t="n">
        <v>20000</v>
      </c>
      <c r="K812" s="228" t="n">
        <v>12546.36</v>
      </c>
      <c r="L812" s="214" t="n">
        <v>7453.64</v>
      </c>
      <c r="M812" s="228" t="n">
        <v>20000</v>
      </c>
      <c r="N812" s="228"/>
      <c r="Q812" s="212"/>
      <c r="R812" s="212"/>
      <c r="S812" s="291"/>
    </row>
    <row r="813" customFormat="false" ht="15" hidden="true" customHeight="false" outlineLevel="0" collapsed="false">
      <c r="B813" s="208" t="n">
        <v>2023</v>
      </c>
      <c r="C813" s="209" t="n">
        <v>8</v>
      </c>
      <c r="D813" s="226" t="s">
        <v>82</v>
      </c>
      <c r="E813" s="221" t="n">
        <v>17891875174</v>
      </c>
      <c r="F813" s="221" t="n">
        <v>6214238</v>
      </c>
      <c r="G813" s="221" t="n">
        <v>1</v>
      </c>
      <c r="H813" s="300" t="s">
        <v>190</v>
      </c>
      <c r="I813" s="273" t="n">
        <v>11402.32</v>
      </c>
      <c r="J813" s="228" t="n">
        <v>11402.32</v>
      </c>
      <c r="K813" s="228" t="n">
        <v>11402.32</v>
      </c>
      <c r="L813" s="214" t="n">
        <v>0</v>
      </c>
      <c r="M813" s="228" t="n">
        <v>11402.32</v>
      </c>
      <c r="N813" s="228"/>
      <c r="Q813" s="212"/>
      <c r="R813" s="212"/>
      <c r="S813" s="291"/>
    </row>
    <row r="814" customFormat="false" ht="15" hidden="true" customHeight="false" outlineLevel="0" collapsed="false">
      <c r="B814" s="208" t="n">
        <v>2023</v>
      </c>
      <c r="C814" s="209" t="n">
        <v>8</v>
      </c>
      <c r="D814" s="226" t="s">
        <v>69</v>
      </c>
      <c r="E814" s="221" t="s">
        <v>210</v>
      </c>
      <c r="F814" s="221" t="s">
        <v>211</v>
      </c>
      <c r="G814" s="221" t="s">
        <v>65</v>
      </c>
      <c r="H814" s="299" t="s">
        <v>191</v>
      </c>
      <c r="I814" s="273" t="n">
        <v>12546.36</v>
      </c>
      <c r="J814" s="228" t="n">
        <v>23000</v>
      </c>
      <c r="K814" s="228" t="n">
        <v>12546.36</v>
      </c>
      <c r="L814" s="214" t="n">
        <v>10453.64</v>
      </c>
      <c r="M814" s="228" t="n">
        <v>23000</v>
      </c>
      <c r="N814" s="228"/>
      <c r="Q814" s="212"/>
      <c r="R814" s="212"/>
      <c r="S814" s="291"/>
    </row>
    <row r="815" customFormat="false" ht="15" hidden="true" customHeight="false" outlineLevel="0" collapsed="false">
      <c r="B815" s="208" t="n">
        <v>2023</v>
      </c>
      <c r="C815" s="209" t="n">
        <v>8</v>
      </c>
      <c r="D815" s="226" t="s">
        <v>59</v>
      </c>
      <c r="E815" s="221" t="s">
        <v>132</v>
      </c>
      <c r="F815" s="221" t="s">
        <v>151</v>
      </c>
      <c r="G815" s="221" t="s">
        <v>65</v>
      </c>
      <c r="H815" s="299" t="s">
        <v>127</v>
      </c>
      <c r="I815" s="273" t="n">
        <v>11402.32</v>
      </c>
      <c r="J815" s="228" t="n">
        <v>20000</v>
      </c>
      <c r="K815" s="228" t="n">
        <v>11402.32</v>
      </c>
      <c r="L815" s="214" t="n">
        <v>8597.68</v>
      </c>
      <c r="M815" s="228" t="n">
        <v>20000</v>
      </c>
      <c r="N815" s="228"/>
      <c r="Q815" s="212"/>
      <c r="R815" s="212"/>
      <c r="S815" s="291"/>
    </row>
    <row r="816" customFormat="false" ht="15" hidden="true" customHeight="false" outlineLevel="0" collapsed="false">
      <c r="B816" s="208" t="n">
        <v>2023</v>
      </c>
      <c r="C816" s="209" t="n">
        <v>8</v>
      </c>
      <c r="D816" s="226" t="s">
        <v>192</v>
      </c>
      <c r="E816" s="221" t="n">
        <v>0</v>
      </c>
      <c r="F816" s="221" t="n">
        <v>0</v>
      </c>
      <c r="G816" s="221" t="n">
        <v>0</v>
      </c>
      <c r="H816" s="299" t="s">
        <v>74</v>
      </c>
      <c r="I816" s="273" t="n">
        <v>0</v>
      </c>
      <c r="J816" s="228" t="n">
        <v>11402.32</v>
      </c>
      <c r="K816" s="228" t="n">
        <v>0</v>
      </c>
      <c r="L816" s="214" t="n">
        <v>11402.32</v>
      </c>
      <c r="M816" s="228" t="n">
        <v>11402.32</v>
      </c>
      <c r="N816" s="228"/>
      <c r="Q816" s="212"/>
      <c r="R816" s="212"/>
      <c r="S816" s="291"/>
    </row>
    <row r="817" customFormat="false" ht="15" hidden="true" customHeight="false" outlineLevel="0" collapsed="false">
      <c r="B817" s="208" t="n">
        <v>2023</v>
      </c>
      <c r="C817" s="209" t="n">
        <v>8</v>
      </c>
      <c r="D817" s="226" t="s">
        <v>34</v>
      </c>
      <c r="E817" s="221" t="s">
        <v>212</v>
      </c>
      <c r="F817" s="221" t="n">
        <v>0</v>
      </c>
      <c r="G817" s="221" t="n">
        <v>0</v>
      </c>
      <c r="H817" s="229" t="s">
        <v>193</v>
      </c>
      <c r="I817" s="273" t="n">
        <v>0</v>
      </c>
      <c r="J817" s="228" t="n">
        <v>20000</v>
      </c>
      <c r="K817" s="228" t="n">
        <v>0</v>
      </c>
      <c r="L817" s="214" t="n">
        <v>19333.3333333333</v>
      </c>
      <c r="M817" s="228" t="n">
        <v>19333.3333333333</v>
      </c>
      <c r="N817" s="228" t="n">
        <v>-666.666666666667</v>
      </c>
      <c r="O817" s="212" t="s">
        <v>194</v>
      </c>
      <c r="Q817" s="212"/>
      <c r="R817" s="212"/>
      <c r="S817" s="291"/>
    </row>
    <row r="818" customFormat="false" ht="15" hidden="true" customHeight="false" outlineLevel="0" collapsed="false">
      <c r="B818" s="208" t="n">
        <v>2023</v>
      </c>
      <c r="C818" s="209" t="n">
        <v>8</v>
      </c>
      <c r="D818" s="226" t="s">
        <v>98</v>
      </c>
      <c r="E818" s="221" t="s">
        <v>316</v>
      </c>
      <c r="F818" s="221" t="s">
        <v>317</v>
      </c>
      <c r="G818" s="221" t="s">
        <v>65</v>
      </c>
      <c r="H818" s="229" t="s">
        <v>311</v>
      </c>
      <c r="I818" s="273" t="n">
        <v>3800.77</v>
      </c>
      <c r="J818" s="228" t="n">
        <v>3800.77</v>
      </c>
      <c r="K818" s="228" t="n">
        <v>3800.77</v>
      </c>
      <c r="L818" s="214" t="n">
        <v>0</v>
      </c>
      <c r="M818" s="228" t="n">
        <v>3800.77</v>
      </c>
      <c r="N818" s="228"/>
      <c r="Q818" s="212"/>
      <c r="R818" s="212"/>
      <c r="S818" s="291"/>
    </row>
    <row r="819" customFormat="false" ht="15" hidden="true" customHeight="false" outlineLevel="0" collapsed="false">
      <c r="B819" s="208" t="n">
        <v>2023</v>
      </c>
      <c r="C819" s="209" t="n">
        <v>8</v>
      </c>
      <c r="D819" s="226" t="s">
        <v>34</v>
      </c>
      <c r="E819" s="221" t="n">
        <v>10459950610</v>
      </c>
      <c r="F819" s="221" t="n">
        <v>97226520</v>
      </c>
      <c r="G819" s="221" t="n">
        <v>1</v>
      </c>
      <c r="H819" s="229" t="s">
        <v>195</v>
      </c>
      <c r="I819" s="273" t="n">
        <v>12257.5</v>
      </c>
      <c r="J819" s="228" t="n">
        <v>20000</v>
      </c>
      <c r="K819" s="228" t="n">
        <v>12257.5</v>
      </c>
      <c r="L819" s="214" t="n">
        <v>7075.83333333333</v>
      </c>
      <c r="M819" s="228" t="n">
        <v>19333.3333333333</v>
      </c>
      <c r="N819" s="228" t="n">
        <v>-666.666666666667</v>
      </c>
      <c r="O819" s="212" t="s">
        <v>194</v>
      </c>
      <c r="Q819" s="212"/>
      <c r="R819" s="212"/>
      <c r="S819" s="291"/>
    </row>
    <row r="820" customFormat="false" ht="15" hidden="true" customHeight="false" outlineLevel="0" collapsed="false">
      <c r="B820" s="208" t="n">
        <v>2023</v>
      </c>
      <c r="C820" s="209" t="n">
        <v>8</v>
      </c>
      <c r="D820" s="226" t="s">
        <v>43</v>
      </c>
      <c r="E820" s="221" t="n">
        <v>0</v>
      </c>
      <c r="F820" s="221" t="n">
        <v>0</v>
      </c>
      <c r="G820" s="221" t="n">
        <v>0</v>
      </c>
      <c r="H820" s="229" t="s">
        <v>196</v>
      </c>
      <c r="I820" s="273" t="n">
        <v>0</v>
      </c>
      <c r="J820" s="228" t="n">
        <v>11402</v>
      </c>
      <c r="K820" s="228" t="n">
        <v>0</v>
      </c>
      <c r="L820" s="214" t="n">
        <v>26402</v>
      </c>
      <c r="M820" s="228" t="n">
        <v>26402</v>
      </c>
      <c r="N820" s="228" t="n">
        <v>15000</v>
      </c>
      <c r="O820" s="212" t="s">
        <v>159</v>
      </c>
      <c r="Q820" s="212"/>
      <c r="R820" s="212"/>
      <c r="S820" s="291"/>
    </row>
    <row r="821" customFormat="false" ht="15" hidden="true" customHeight="false" outlineLevel="0" collapsed="false">
      <c r="B821" s="208" t="n">
        <v>2023</v>
      </c>
      <c r="C821" s="209" t="n">
        <v>8</v>
      </c>
      <c r="D821" s="226" t="s">
        <v>56</v>
      </c>
      <c r="E821" s="221" t="s">
        <v>216</v>
      </c>
      <c r="F821" s="221" t="s">
        <v>217</v>
      </c>
      <c r="G821" s="221" t="s">
        <v>65</v>
      </c>
      <c r="H821" s="229" t="s">
        <v>198</v>
      </c>
      <c r="I821" s="273" t="n">
        <v>12257.5</v>
      </c>
      <c r="J821" s="228" t="n">
        <v>20000</v>
      </c>
      <c r="K821" s="228" t="n">
        <v>12257.5</v>
      </c>
      <c r="L821" s="214" t="n">
        <v>7742.5</v>
      </c>
      <c r="M821" s="228" t="n">
        <v>20000</v>
      </c>
      <c r="N821" s="228"/>
      <c r="Q821" s="212"/>
      <c r="R821" s="212"/>
      <c r="S821" s="291"/>
    </row>
    <row r="822" customFormat="false" ht="15" hidden="true" customHeight="false" outlineLevel="0" collapsed="false">
      <c r="B822" s="208" t="n">
        <v>2023</v>
      </c>
      <c r="C822" s="209" t="n">
        <v>8</v>
      </c>
      <c r="D822" s="226" t="s">
        <v>56</v>
      </c>
      <c r="E822" s="221" t="s">
        <v>329</v>
      </c>
      <c r="F822" s="221" t="s">
        <v>330</v>
      </c>
      <c r="G822" s="221" t="s">
        <v>65</v>
      </c>
      <c r="H822" s="229" t="s">
        <v>199</v>
      </c>
      <c r="I822" s="273" t="n">
        <v>14000</v>
      </c>
      <c r="J822" s="228" t="n">
        <v>14000</v>
      </c>
      <c r="K822" s="228" t="n">
        <v>14000</v>
      </c>
      <c r="L822" s="214" t="n">
        <v>0</v>
      </c>
      <c r="M822" s="228" t="n">
        <v>14000</v>
      </c>
      <c r="N822" s="228"/>
      <c r="Q822" s="212"/>
      <c r="R822" s="212"/>
      <c r="S822" s="291"/>
    </row>
    <row r="823" customFormat="false" ht="15" hidden="true" customHeight="false" outlineLevel="0" collapsed="false">
      <c r="B823" s="208" t="n">
        <v>2023</v>
      </c>
      <c r="C823" s="209" t="n">
        <v>8</v>
      </c>
      <c r="D823" s="226" t="s">
        <v>34</v>
      </c>
      <c r="E823" s="221" t="s">
        <v>324</v>
      </c>
      <c r="F823" s="221" t="s">
        <v>325</v>
      </c>
      <c r="G823" s="221" t="s">
        <v>65</v>
      </c>
      <c r="H823" s="229" t="s">
        <v>326</v>
      </c>
      <c r="I823" s="273" t="n">
        <v>12257.5</v>
      </c>
      <c r="J823" s="228" t="n">
        <v>20000</v>
      </c>
      <c r="K823" s="228" t="n">
        <v>12257.5</v>
      </c>
      <c r="L823" s="214" t="n">
        <v>7742.5</v>
      </c>
      <c r="M823" s="228" t="n">
        <v>20000</v>
      </c>
      <c r="N823" s="228"/>
      <c r="Q823" s="212"/>
      <c r="R823" s="212"/>
      <c r="S823" s="291"/>
    </row>
    <row r="824" customFormat="false" ht="15" hidden="true" customHeight="false" outlineLevel="0" collapsed="false">
      <c r="B824" s="208" t="n">
        <v>2023</v>
      </c>
      <c r="C824" s="209" t="n">
        <v>8</v>
      </c>
      <c r="D824" s="226" t="s">
        <v>34</v>
      </c>
      <c r="E824" s="221" t="n">
        <v>0</v>
      </c>
      <c r="F824" s="221" t="n">
        <v>0</v>
      </c>
      <c r="G824" s="221" t="n">
        <v>0</v>
      </c>
      <c r="H824" s="229" t="s">
        <v>48</v>
      </c>
      <c r="I824" s="273" t="n">
        <v>0</v>
      </c>
      <c r="J824" s="228" t="n">
        <v>20000</v>
      </c>
      <c r="K824" s="228" t="n">
        <v>0</v>
      </c>
      <c r="L824" s="214" t="n">
        <v>20000</v>
      </c>
      <c r="M824" s="228" t="n">
        <v>20000</v>
      </c>
      <c r="N824" s="228"/>
      <c r="Q824" s="212"/>
      <c r="R824" s="212"/>
      <c r="S824" s="291"/>
    </row>
    <row r="825" customFormat="false" ht="15" hidden="true" customHeight="false" outlineLevel="0" collapsed="false">
      <c r="B825" s="208" t="n">
        <v>2023</v>
      </c>
      <c r="C825" s="209" t="n">
        <v>8</v>
      </c>
      <c r="D825" s="226" t="s">
        <v>105</v>
      </c>
      <c r="E825" s="221" t="s">
        <v>106</v>
      </c>
      <c r="F825" s="221" t="n">
        <v>0</v>
      </c>
      <c r="G825" s="221" t="n">
        <v>0</v>
      </c>
      <c r="H825" s="229" t="s">
        <v>104</v>
      </c>
      <c r="I825" s="273" t="n">
        <v>0</v>
      </c>
      <c r="J825" s="228" t="n">
        <v>23000</v>
      </c>
      <c r="K825" s="228" t="n">
        <v>0</v>
      </c>
      <c r="L825" s="214" t="n">
        <v>17233.3333333333</v>
      </c>
      <c r="M825" s="228" t="n">
        <v>17233.3333333333</v>
      </c>
      <c r="N825" s="228" t="n">
        <v>-5766.66666666667</v>
      </c>
      <c r="O825" s="212" t="s">
        <v>331</v>
      </c>
      <c r="Q825" s="212"/>
      <c r="R825" s="212"/>
      <c r="S825" s="291"/>
    </row>
    <row r="826" customFormat="false" ht="15" hidden="true" customHeight="false" outlineLevel="0" collapsed="false">
      <c r="B826" s="208" t="n">
        <v>2023</v>
      </c>
      <c r="C826" s="209" t="n">
        <v>8</v>
      </c>
      <c r="D826" s="226" t="s">
        <v>59</v>
      </c>
      <c r="E826" s="221" t="s">
        <v>67</v>
      </c>
      <c r="F826" s="221" t="s">
        <v>152</v>
      </c>
      <c r="G826" s="221" t="s">
        <v>65</v>
      </c>
      <c r="H826" s="229" t="s">
        <v>129</v>
      </c>
      <c r="I826" s="273" t="n">
        <v>11402.32</v>
      </c>
      <c r="J826" s="228" t="n">
        <v>20000</v>
      </c>
      <c r="K826" s="228" t="n">
        <v>11402.32</v>
      </c>
      <c r="L826" s="214" t="n">
        <v>8597.68</v>
      </c>
      <c r="M826" s="228" t="n">
        <v>20000</v>
      </c>
      <c r="N826" s="228"/>
      <c r="Q826" s="212"/>
      <c r="R826" s="212"/>
      <c r="S826" s="291"/>
    </row>
    <row r="827" customFormat="false" ht="15" hidden="true" customHeight="false" outlineLevel="0" collapsed="false">
      <c r="B827" s="208" t="n">
        <v>2023</v>
      </c>
      <c r="C827" s="209" t="n">
        <v>8</v>
      </c>
      <c r="D827" s="226" t="s">
        <v>59</v>
      </c>
      <c r="E827" s="221" t="s">
        <v>60</v>
      </c>
      <c r="F827" s="221" t="s">
        <v>61</v>
      </c>
      <c r="G827" s="221" t="n">
        <v>1</v>
      </c>
      <c r="H827" s="229" t="s">
        <v>133</v>
      </c>
      <c r="I827" s="273" t="n">
        <v>11402.32</v>
      </c>
      <c r="J827" s="228" t="n">
        <v>11402.32</v>
      </c>
      <c r="K827" s="228" t="n">
        <v>11402.32</v>
      </c>
      <c r="L827" s="214" t="n">
        <v>0</v>
      </c>
      <c r="M827" s="228" t="n">
        <v>11402.32</v>
      </c>
      <c r="N827" s="228"/>
      <c r="Q827" s="212"/>
      <c r="R827" s="212"/>
      <c r="S827" s="291"/>
    </row>
    <row r="828" customFormat="false" ht="15" hidden="true" customHeight="false" outlineLevel="0" collapsed="false">
      <c r="B828" s="208" t="n">
        <v>2023</v>
      </c>
      <c r="C828" s="209" t="n">
        <v>8</v>
      </c>
      <c r="D828" s="226" t="s">
        <v>59</v>
      </c>
      <c r="E828" s="221" t="n">
        <v>30148302742</v>
      </c>
      <c r="F828" s="221" t="n">
        <v>97726066</v>
      </c>
      <c r="G828" s="221" t="n">
        <v>1</v>
      </c>
      <c r="H828" s="229" t="s">
        <v>62</v>
      </c>
      <c r="I828" s="273" t="n">
        <v>11402.32</v>
      </c>
      <c r="J828" s="228" t="n">
        <v>11402.32</v>
      </c>
      <c r="K828" s="228" t="n">
        <v>11402.32</v>
      </c>
      <c r="L828" s="214" t="n">
        <v>0</v>
      </c>
      <c r="M828" s="228" t="n">
        <v>11402.32</v>
      </c>
      <c r="N828" s="228"/>
      <c r="Q828" s="212"/>
      <c r="R828" s="212"/>
      <c r="S828" s="291"/>
    </row>
    <row r="829" customFormat="false" ht="15" hidden="true" customHeight="false" outlineLevel="0" collapsed="false">
      <c r="B829" s="208" t="n">
        <v>2023</v>
      </c>
      <c r="C829" s="209" t="n">
        <v>8</v>
      </c>
      <c r="D829" s="226" t="s">
        <v>59</v>
      </c>
      <c r="E829" s="221" t="s">
        <v>57</v>
      </c>
      <c r="F829" s="221" t="s">
        <v>153</v>
      </c>
      <c r="G829" s="221" t="s">
        <v>65</v>
      </c>
      <c r="H829" s="227" t="s">
        <v>55</v>
      </c>
      <c r="I829" s="273" t="n">
        <v>11402.32</v>
      </c>
      <c r="J829" s="228" t="n">
        <v>11402.32</v>
      </c>
      <c r="K829" s="228" t="n">
        <v>11402.32</v>
      </c>
      <c r="L829" s="214" t="n">
        <v>0</v>
      </c>
      <c r="M829" s="228" t="n">
        <v>11402.32</v>
      </c>
      <c r="N829" s="228"/>
      <c r="Q829" s="212"/>
      <c r="R829" s="212"/>
      <c r="S829" s="291"/>
    </row>
    <row r="830" customFormat="false" ht="15" hidden="true" customHeight="false" outlineLevel="0" collapsed="false">
      <c r="B830" s="208" t="n">
        <v>2023</v>
      </c>
      <c r="C830" s="209" t="n">
        <v>8</v>
      </c>
      <c r="D830" s="226" t="s">
        <v>59</v>
      </c>
      <c r="E830" s="221" t="n">
        <v>0</v>
      </c>
      <c r="F830" s="221" t="n">
        <v>0</v>
      </c>
      <c r="G830" s="221" t="n">
        <v>0</v>
      </c>
      <c r="H830" s="229" t="s">
        <v>134</v>
      </c>
      <c r="I830" s="273" t="n">
        <v>0</v>
      </c>
      <c r="J830" s="228" t="n">
        <v>11000</v>
      </c>
      <c r="K830" s="228" t="n">
        <v>0</v>
      </c>
      <c r="L830" s="214" t="n">
        <v>11000</v>
      </c>
      <c r="M830" s="228" t="n">
        <v>11000</v>
      </c>
      <c r="N830" s="228"/>
      <c r="Q830" s="212"/>
      <c r="R830" s="212"/>
      <c r="S830" s="291"/>
    </row>
    <row r="831" customFormat="false" ht="15" hidden="true" customHeight="false" outlineLevel="0" collapsed="false">
      <c r="B831" s="208" t="n">
        <v>2023</v>
      </c>
      <c r="C831" s="209" t="n">
        <v>8</v>
      </c>
      <c r="D831" s="226" t="n">
        <v>0</v>
      </c>
      <c r="E831" s="221" t="n">
        <v>0</v>
      </c>
      <c r="F831" s="221" t="n">
        <v>0</v>
      </c>
      <c r="G831" s="221" t="n">
        <v>0</v>
      </c>
      <c r="H831" s="229" t="s">
        <v>312</v>
      </c>
      <c r="I831" s="273" t="n">
        <v>0</v>
      </c>
      <c r="J831" s="228" t="n">
        <v>4000</v>
      </c>
      <c r="K831" s="228" t="n">
        <v>0</v>
      </c>
      <c r="L831" s="214" t="n">
        <v>4000</v>
      </c>
      <c r="M831" s="228" t="n">
        <v>4000</v>
      </c>
      <c r="N831" s="228"/>
      <c r="Q831" s="212"/>
      <c r="R831" s="212"/>
      <c r="S831" s="291"/>
    </row>
    <row r="832" customFormat="false" ht="15" hidden="true" customHeight="false" outlineLevel="0" collapsed="false">
      <c r="B832" s="208" t="n">
        <v>2023</v>
      </c>
      <c r="C832" s="209" t="n">
        <v>8</v>
      </c>
      <c r="D832" s="226" t="s">
        <v>59</v>
      </c>
      <c r="E832" s="221" t="n">
        <v>0</v>
      </c>
      <c r="F832" s="221" t="n">
        <v>0</v>
      </c>
      <c r="G832" s="221" t="n">
        <v>0</v>
      </c>
      <c r="H832" s="229" t="s">
        <v>135</v>
      </c>
      <c r="I832" s="273" t="n">
        <v>0</v>
      </c>
      <c r="J832" s="228" t="n">
        <v>11000</v>
      </c>
      <c r="K832" s="228" t="n">
        <v>0</v>
      </c>
      <c r="L832" s="214" t="n">
        <v>11000</v>
      </c>
      <c r="M832" s="228" t="n">
        <v>11000</v>
      </c>
      <c r="N832" s="228"/>
      <c r="Q832" s="212"/>
      <c r="R832" s="212"/>
      <c r="S832" s="291"/>
    </row>
    <row r="833" customFormat="false" ht="15" hidden="true" customHeight="false" outlineLevel="0" collapsed="false">
      <c r="B833" s="208" t="n">
        <v>2023</v>
      </c>
      <c r="C833" s="209" t="n">
        <v>9</v>
      </c>
      <c r="D833" s="226" t="s">
        <v>56</v>
      </c>
      <c r="E833" s="221" t="n">
        <v>28699369338</v>
      </c>
      <c r="F833" s="221" t="n">
        <v>96358353</v>
      </c>
      <c r="G833" s="221" t="n">
        <v>1</v>
      </c>
      <c r="H833" s="227" t="s">
        <v>79</v>
      </c>
      <c r="I833" s="273" t="n">
        <v>12500</v>
      </c>
      <c r="J833" s="228" t="n">
        <v>25000</v>
      </c>
      <c r="K833" s="228" t="n">
        <v>12500</v>
      </c>
      <c r="L833" s="214" t="n">
        <v>12500</v>
      </c>
      <c r="M833" s="228" t="n">
        <v>25000</v>
      </c>
      <c r="Q833" s="212"/>
      <c r="R833" s="212"/>
      <c r="S833" s="291"/>
    </row>
    <row r="834" customFormat="false" ht="15" hidden="true" customHeight="false" outlineLevel="0" collapsed="false">
      <c r="B834" s="208" t="n">
        <v>2023</v>
      </c>
      <c r="C834" s="209" t="n">
        <v>9</v>
      </c>
      <c r="D834" s="226" t="s">
        <v>82</v>
      </c>
      <c r="E834" s="221" t="n">
        <v>36826974454</v>
      </c>
      <c r="F834" s="221" t="n">
        <v>95573006</v>
      </c>
      <c r="G834" s="221" t="n">
        <v>1</v>
      </c>
      <c r="H834" s="227" t="s">
        <v>188</v>
      </c>
      <c r="I834" s="273" t="n">
        <v>11402.32</v>
      </c>
      <c r="J834" s="228" t="n">
        <v>11402.32</v>
      </c>
      <c r="K834" s="228" t="n">
        <v>11402.32</v>
      </c>
      <c r="L834" s="214" t="n">
        <v>0</v>
      </c>
      <c r="M834" s="228" t="n">
        <v>11402.32</v>
      </c>
      <c r="N834" s="228"/>
      <c r="Q834" s="212"/>
      <c r="R834" s="212"/>
      <c r="S834" s="291"/>
    </row>
    <row r="835" customFormat="false" ht="15" hidden="true" customHeight="false" outlineLevel="0" collapsed="false">
      <c r="B835" s="208" t="n">
        <v>2023</v>
      </c>
      <c r="C835" s="209" t="n">
        <v>9</v>
      </c>
      <c r="D835" s="226" t="s">
        <v>82</v>
      </c>
      <c r="E835" s="221" t="n">
        <v>17630785580</v>
      </c>
      <c r="F835" s="221" t="n">
        <v>95529415</v>
      </c>
      <c r="G835" s="221" t="n">
        <v>1</v>
      </c>
      <c r="H835" s="227" t="s">
        <v>81</v>
      </c>
      <c r="I835" s="273" t="n">
        <v>12207.19</v>
      </c>
      <c r="J835" s="228" t="n">
        <v>57207.19</v>
      </c>
      <c r="K835" s="228" t="n">
        <v>12207.19</v>
      </c>
      <c r="L835" s="214" t="n">
        <v>45000</v>
      </c>
      <c r="M835" s="228" t="n">
        <v>57207.19</v>
      </c>
      <c r="N835" s="228"/>
      <c r="Q835" s="212"/>
      <c r="R835" s="212"/>
      <c r="S835" s="291"/>
    </row>
    <row r="836" customFormat="false" ht="15" hidden="true" customHeight="false" outlineLevel="0" collapsed="false">
      <c r="B836" s="208" t="n">
        <v>2023</v>
      </c>
      <c r="C836" s="209" t="n">
        <v>9</v>
      </c>
      <c r="D836" s="226" t="s">
        <v>56</v>
      </c>
      <c r="E836" s="221" t="n">
        <v>55186680706</v>
      </c>
      <c r="F836" s="221" t="n">
        <v>95787183</v>
      </c>
      <c r="G836" s="221" t="n">
        <v>1</v>
      </c>
      <c r="H836" s="227" t="s">
        <v>73</v>
      </c>
      <c r="I836" s="273" t="n">
        <v>6402.32</v>
      </c>
      <c r="J836" s="228" t="n">
        <v>6402.32</v>
      </c>
      <c r="K836" s="228" t="n">
        <v>6402.32</v>
      </c>
      <c r="L836" s="214" t="n">
        <v>0</v>
      </c>
      <c r="M836" s="228" t="n">
        <v>6402.32</v>
      </c>
      <c r="N836" s="228"/>
      <c r="Q836" s="212"/>
      <c r="R836" s="212"/>
      <c r="S836" s="291"/>
    </row>
    <row r="837" customFormat="false" ht="15" hidden="true" customHeight="false" outlineLevel="0" collapsed="false">
      <c r="B837" s="208" t="n">
        <v>2023</v>
      </c>
      <c r="C837" s="209" t="n">
        <v>9</v>
      </c>
      <c r="D837" s="226" t="s">
        <v>82</v>
      </c>
      <c r="E837" s="221" t="n">
        <v>21242693324</v>
      </c>
      <c r="F837" s="221" t="n">
        <v>95532064</v>
      </c>
      <c r="G837" s="221" t="n">
        <v>1</v>
      </c>
      <c r="H837" s="227" t="s">
        <v>85</v>
      </c>
      <c r="I837" s="273" t="n">
        <v>12257.5</v>
      </c>
      <c r="J837" s="228" t="n">
        <v>12207.19</v>
      </c>
      <c r="K837" s="228" t="n">
        <v>12207.19</v>
      </c>
      <c r="L837" s="214" t="n">
        <v>0</v>
      </c>
      <c r="M837" s="228" t="n">
        <v>12257.5</v>
      </c>
      <c r="N837" s="228"/>
      <c r="Q837" s="212"/>
      <c r="R837" s="212"/>
      <c r="S837" s="291"/>
    </row>
    <row r="838" customFormat="false" ht="15" hidden="true" customHeight="false" outlineLevel="0" collapsed="false">
      <c r="B838" s="208" t="n">
        <v>2023</v>
      </c>
      <c r="C838" s="209" t="n">
        <v>9</v>
      </c>
      <c r="D838" s="226" t="s">
        <v>82</v>
      </c>
      <c r="E838" s="221" t="n">
        <v>17159801204</v>
      </c>
      <c r="F838" s="221" t="n">
        <v>95532066</v>
      </c>
      <c r="G838" s="221" t="n">
        <v>1</v>
      </c>
      <c r="H838" s="227" t="s">
        <v>87</v>
      </c>
      <c r="I838" s="273" t="n">
        <v>12604.99</v>
      </c>
      <c r="J838" s="228" t="n">
        <v>12604.99</v>
      </c>
      <c r="K838" s="228" t="n">
        <v>12604.99</v>
      </c>
      <c r="L838" s="214" t="n">
        <v>0</v>
      </c>
      <c r="M838" s="228" t="n">
        <v>12604.99</v>
      </c>
      <c r="N838" s="228"/>
      <c r="Q838" s="212"/>
      <c r="R838" s="212"/>
      <c r="S838" s="291"/>
    </row>
    <row r="839" customFormat="false" ht="15" hidden="true" customHeight="false" outlineLevel="0" collapsed="false">
      <c r="B839" s="208" t="n">
        <v>2023</v>
      </c>
      <c r="C839" s="209" t="n">
        <v>9</v>
      </c>
      <c r="D839" s="226" t="s">
        <v>69</v>
      </c>
      <c r="E839" s="221" t="n">
        <v>23764482950</v>
      </c>
      <c r="F839" s="221" t="n">
        <v>95532077</v>
      </c>
      <c r="G839" s="221" t="n">
        <v>1</v>
      </c>
      <c r="H839" s="227" t="s">
        <v>93</v>
      </c>
      <c r="I839" s="273" t="n">
        <v>2068.07</v>
      </c>
      <c r="J839" s="228" t="n">
        <v>23000</v>
      </c>
      <c r="K839" s="228" t="n">
        <v>2068.07</v>
      </c>
      <c r="L839" s="214" t="n">
        <v>15931.93</v>
      </c>
      <c r="M839" s="228" t="n">
        <v>18000</v>
      </c>
      <c r="N839" s="228" t="n">
        <v>-5000</v>
      </c>
      <c r="O839" s="212" t="s">
        <v>159</v>
      </c>
      <c r="Q839" s="212"/>
      <c r="R839" s="212"/>
      <c r="S839" s="291"/>
    </row>
    <row r="840" customFormat="false" ht="15" hidden="true" customHeight="false" outlineLevel="0" collapsed="false">
      <c r="B840" s="208" t="n">
        <v>2023</v>
      </c>
      <c r="C840" s="209" t="n">
        <v>9</v>
      </c>
      <c r="D840" s="226" t="s">
        <v>34</v>
      </c>
      <c r="E840" s="221" t="n">
        <v>25672444846</v>
      </c>
      <c r="F840" s="221" t="n">
        <v>95693810</v>
      </c>
      <c r="G840" s="221" t="n">
        <v>1</v>
      </c>
      <c r="H840" s="227" t="s">
        <v>95</v>
      </c>
      <c r="I840" s="273" t="n">
        <v>10753.96</v>
      </c>
      <c r="J840" s="228" t="n">
        <v>20000</v>
      </c>
      <c r="K840" s="228" t="n">
        <v>10753.96</v>
      </c>
      <c r="L840" s="214" t="n">
        <v>6579.37</v>
      </c>
      <c r="M840" s="228" t="n">
        <v>17333.33</v>
      </c>
      <c r="N840" s="228" t="n">
        <v>-2666.67</v>
      </c>
      <c r="O840" s="212" t="s">
        <v>332</v>
      </c>
      <c r="Q840" s="212"/>
      <c r="R840" s="212"/>
      <c r="S840" s="291"/>
    </row>
    <row r="841" customFormat="false" ht="15" hidden="true" customHeight="false" outlineLevel="0" collapsed="false">
      <c r="B841" s="208" t="n">
        <v>2023</v>
      </c>
      <c r="C841" s="209" t="n">
        <v>9</v>
      </c>
      <c r="D841" s="226" t="s">
        <v>69</v>
      </c>
      <c r="E841" s="221" t="n">
        <v>33853146700</v>
      </c>
      <c r="F841" s="221" t="n">
        <v>96959868</v>
      </c>
      <c r="G841" s="221" t="n">
        <v>1</v>
      </c>
      <c r="H841" s="227" t="s">
        <v>103</v>
      </c>
      <c r="I841" s="273" t="n">
        <v>11876.3</v>
      </c>
      <c r="J841" s="228" t="n">
        <v>23000</v>
      </c>
      <c r="K841" s="228" t="n">
        <v>11876.3</v>
      </c>
      <c r="L841" s="214" t="n">
        <v>11123.7</v>
      </c>
      <c r="M841" s="228" t="n">
        <v>23000</v>
      </c>
      <c r="N841" s="228"/>
      <c r="Q841" s="212"/>
      <c r="R841" s="212"/>
      <c r="S841" s="291"/>
    </row>
    <row r="842" customFormat="false" ht="15" hidden="true" customHeight="false" outlineLevel="0" collapsed="false">
      <c r="B842" s="208" t="n">
        <v>2023</v>
      </c>
      <c r="C842" s="209" t="n">
        <v>9</v>
      </c>
      <c r="D842" s="226" t="s">
        <v>98</v>
      </c>
      <c r="E842" s="221" t="n">
        <v>51994540164</v>
      </c>
      <c r="F842" s="221" t="n">
        <v>96900867</v>
      </c>
      <c r="G842" s="221" t="n">
        <v>1</v>
      </c>
      <c r="H842" s="227" t="s">
        <v>97</v>
      </c>
      <c r="I842" s="273" t="n">
        <v>12207.19</v>
      </c>
      <c r="J842" s="228" t="n">
        <v>12207.19</v>
      </c>
      <c r="K842" s="228" t="n">
        <v>12207.19</v>
      </c>
      <c r="L842" s="214" t="n">
        <v>0</v>
      </c>
      <c r="M842" s="228" t="n">
        <v>12207.19</v>
      </c>
      <c r="N842" s="228"/>
      <c r="Q842" s="212"/>
      <c r="R842" s="212"/>
      <c r="S842" s="291"/>
    </row>
    <row r="843" customFormat="false" ht="15" hidden="true" customHeight="false" outlineLevel="0" collapsed="false">
      <c r="B843" s="208" t="n">
        <v>2023</v>
      </c>
      <c r="C843" s="209" t="n">
        <v>9</v>
      </c>
      <c r="D843" s="226" t="s">
        <v>51</v>
      </c>
      <c r="E843" s="221" t="n">
        <v>23713484608</v>
      </c>
      <c r="F843" s="221" t="n">
        <v>97189681</v>
      </c>
      <c r="G843" s="221" t="n">
        <v>1</v>
      </c>
      <c r="H843" s="227" t="s">
        <v>100</v>
      </c>
      <c r="I843" s="273" t="n">
        <v>12604.99</v>
      </c>
      <c r="J843" s="228" t="n">
        <v>20000</v>
      </c>
      <c r="K843" s="228" t="n">
        <v>12604.99</v>
      </c>
      <c r="L843" s="214" t="n">
        <v>7395.01</v>
      </c>
      <c r="M843" s="228" t="n">
        <v>20000</v>
      </c>
      <c r="N843" s="228"/>
      <c r="Q843" s="212"/>
      <c r="R843" s="212"/>
      <c r="S843" s="291"/>
    </row>
    <row r="844" customFormat="false" ht="15" hidden="true" customHeight="false" outlineLevel="0" collapsed="false">
      <c r="B844" s="208" t="n">
        <v>2023</v>
      </c>
      <c r="C844" s="209" t="n">
        <v>9</v>
      </c>
      <c r="D844" s="226" t="s">
        <v>82</v>
      </c>
      <c r="E844" s="221" t="n">
        <v>17891875174</v>
      </c>
      <c r="F844" s="221" t="n">
        <v>6214238</v>
      </c>
      <c r="G844" s="221" t="n">
        <v>1</v>
      </c>
      <c r="H844" s="227" t="s">
        <v>190</v>
      </c>
      <c r="I844" s="273" t="n">
        <v>11402.32</v>
      </c>
      <c r="J844" s="228" t="n">
        <v>11402.32</v>
      </c>
      <c r="K844" s="228" t="n">
        <v>11402.32</v>
      </c>
      <c r="L844" s="214" t="n">
        <v>0</v>
      </c>
      <c r="M844" s="228" t="n">
        <v>11402.32</v>
      </c>
      <c r="N844" s="228"/>
      <c r="Q844" s="212"/>
      <c r="R844" s="212"/>
      <c r="S844" s="291"/>
    </row>
    <row r="845" customFormat="false" ht="15" hidden="true" customHeight="false" outlineLevel="0" collapsed="false">
      <c r="B845" s="208" t="n">
        <v>2023</v>
      </c>
      <c r="C845" s="209" t="n">
        <v>9</v>
      </c>
      <c r="D845" s="226" t="s">
        <v>69</v>
      </c>
      <c r="E845" s="221" t="n">
        <v>38233125580</v>
      </c>
      <c r="F845" s="221" t="n">
        <v>95532065</v>
      </c>
      <c r="G845" s="221" t="n">
        <v>1</v>
      </c>
      <c r="H845" s="227" t="s">
        <v>191</v>
      </c>
      <c r="I845" s="273" t="n">
        <v>12604.99</v>
      </c>
      <c r="J845" s="228" t="n">
        <v>23000</v>
      </c>
      <c r="K845" s="228" t="n">
        <v>12604.99</v>
      </c>
      <c r="L845" s="214" t="n">
        <v>10395.01</v>
      </c>
      <c r="M845" s="228" t="n">
        <v>23000</v>
      </c>
      <c r="N845" s="228"/>
      <c r="Q845" s="212"/>
      <c r="R845" s="212"/>
      <c r="S845" s="291"/>
    </row>
    <row r="846" customFormat="false" ht="15" hidden="true" customHeight="false" outlineLevel="0" collapsed="false">
      <c r="B846" s="208" t="n">
        <v>2023</v>
      </c>
      <c r="C846" s="209" t="n">
        <v>9</v>
      </c>
      <c r="D846" s="226" t="s">
        <v>59</v>
      </c>
      <c r="E846" s="221" t="n">
        <v>18736701092</v>
      </c>
      <c r="F846" s="221" t="n">
        <v>95547779</v>
      </c>
      <c r="G846" s="221" t="n">
        <v>1</v>
      </c>
      <c r="H846" s="227" t="s">
        <v>127</v>
      </c>
      <c r="I846" s="273" t="n">
        <v>11402.32</v>
      </c>
      <c r="J846" s="228" t="n">
        <v>20000</v>
      </c>
      <c r="K846" s="228" t="n">
        <v>11402.32</v>
      </c>
      <c r="L846" s="214" t="n">
        <v>8597.68</v>
      </c>
      <c r="M846" s="228" t="n">
        <v>20000</v>
      </c>
      <c r="N846" s="228"/>
      <c r="Q846" s="212"/>
      <c r="R846" s="212"/>
      <c r="S846" s="291"/>
    </row>
    <row r="847" customFormat="false" ht="15" hidden="true" customHeight="false" outlineLevel="0" collapsed="false">
      <c r="B847" s="208" t="n">
        <v>2023</v>
      </c>
      <c r="C847" s="209" t="n">
        <v>9</v>
      </c>
      <c r="D847" s="226" t="s">
        <v>192</v>
      </c>
      <c r="E847" s="221" t="n">
        <v>0</v>
      </c>
      <c r="F847" s="221" t="n">
        <v>0</v>
      </c>
      <c r="G847" s="221" t="n">
        <v>0</v>
      </c>
      <c r="H847" s="227" t="s">
        <v>74</v>
      </c>
      <c r="I847" s="273" t="n">
        <v>0</v>
      </c>
      <c r="J847" s="228" t="n">
        <v>11402.32</v>
      </c>
      <c r="K847" s="228" t="n">
        <v>0</v>
      </c>
      <c r="L847" s="214" t="n">
        <v>11402.32</v>
      </c>
      <c r="M847" s="228" t="n">
        <v>11402.32</v>
      </c>
      <c r="N847" s="228"/>
      <c r="Q847" s="212"/>
      <c r="R847" s="212"/>
      <c r="S847" s="291"/>
    </row>
    <row r="848" customFormat="false" ht="15" hidden="true" customHeight="false" outlineLevel="0" collapsed="false">
      <c r="B848" s="208" t="n">
        <v>2023</v>
      </c>
      <c r="C848" s="209" t="n">
        <v>9</v>
      </c>
      <c r="D848" s="226" t="s">
        <v>34</v>
      </c>
      <c r="E848" s="221" t="n">
        <v>29107341298</v>
      </c>
      <c r="F848" s="221" t="n">
        <v>0</v>
      </c>
      <c r="G848" s="221" t="n">
        <v>0</v>
      </c>
      <c r="H848" s="227" t="s">
        <v>193</v>
      </c>
      <c r="I848" s="273" t="n">
        <v>0</v>
      </c>
      <c r="J848" s="228" t="n">
        <v>20000</v>
      </c>
      <c r="K848" s="228" t="n">
        <v>0</v>
      </c>
      <c r="L848" s="214" t="n">
        <v>20000</v>
      </c>
      <c r="M848" s="228" t="n">
        <v>20000</v>
      </c>
      <c r="N848" s="228"/>
      <c r="Q848" s="212"/>
      <c r="R848" s="212"/>
      <c r="S848" s="291"/>
    </row>
    <row r="849" customFormat="false" ht="15" hidden="true" customHeight="false" outlineLevel="0" collapsed="false">
      <c r="B849" s="208" t="n">
        <v>2023</v>
      </c>
      <c r="C849" s="209" t="n">
        <v>9</v>
      </c>
      <c r="D849" s="226" t="s">
        <v>34</v>
      </c>
      <c r="E849" s="221" t="n">
        <v>10459950610</v>
      </c>
      <c r="F849" s="221" t="n">
        <v>97226520</v>
      </c>
      <c r="G849" s="221" t="n">
        <v>1</v>
      </c>
      <c r="H849" s="229" t="s">
        <v>195</v>
      </c>
      <c r="I849" s="273" t="n">
        <v>12435.57</v>
      </c>
      <c r="J849" s="228" t="n">
        <v>20000</v>
      </c>
      <c r="K849" s="228" t="n">
        <v>12435.57</v>
      </c>
      <c r="L849" s="214" t="n">
        <v>6897.76</v>
      </c>
      <c r="M849" s="228" t="n">
        <v>19333.33</v>
      </c>
      <c r="N849" s="228" t="n">
        <v>-666.67</v>
      </c>
      <c r="O849" s="212" t="s">
        <v>333</v>
      </c>
      <c r="Q849" s="212"/>
      <c r="R849" s="212"/>
      <c r="S849" s="291"/>
    </row>
    <row r="850" customFormat="false" ht="15" hidden="true" customHeight="false" outlineLevel="0" collapsed="false">
      <c r="B850" s="208" t="n">
        <v>2023</v>
      </c>
      <c r="C850" s="209" t="n">
        <v>9</v>
      </c>
      <c r="D850" s="226" t="s">
        <v>43</v>
      </c>
      <c r="E850" s="221" t="n">
        <v>0</v>
      </c>
      <c r="F850" s="221" t="n">
        <v>0</v>
      </c>
      <c r="G850" s="221" t="n">
        <v>0</v>
      </c>
      <c r="H850" s="229" t="s">
        <v>196</v>
      </c>
      <c r="I850" s="273" t="n">
        <v>0</v>
      </c>
      <c r="J850" s="228" t="n">
        <v>11402</v>
      </c>
      <c r="K850" s="228" t="n">
        <v>0</v>
      </c>
      <c r="L850" s="214" t="n">
        <v>11402</v>
      </c>
      <c r="M850" s="228" t="n">
        <v>11402</v>
      </c>
      <c r="N850" s="228"/>
      <c r="Q850" s="212"/>
      <c r="R850" s="212"/>
      <c r="S850" s="291"/>
    </row>
    <row r="851" customFormat="false" ht="15" hidden="true" customHeight="false" outlineLevel="0" collapsed="false">
      <c r="B851" s="208" t="n">
        <v>2023</v>
      </c>
      <c r="C851" s="209" t="n">
        <v>9</v>
      </c>
      <c r="D851" s="226" t="s">
        <v>56</v>
      </c>
      <c r="E851" s="221" t="n">
        <v>18727701384</v>
      </c>
      <c r="F851" s="221" t="n">
        <v>98682849</v>
      </c>
      <c r="G851" s="221" t="n">
        <v>1</v>
      </c>
      <c r="H851" s="229" t="s">
        <v>198</v>
      </c>
      <c r="I851" s="273" t="n">
        <v>12233.48</v>
      </c>
      <c r="J851" s="228" t="n">
        <v>20000</v>
      </c>
      <c r="K851" s="228" t="n">
        <v>12233.48</v>
      </c>
      <c r="L851" s="214" t="n">
        <v>7766.52</v>
      </c>
      <c r="M851" s="228" t="n">
        <v>20000</v>
      </c>
      <c r="N851" s="228"/>
      <c r="Q851" s="212"/>
      <c r="R851" s="212"/>
      <c r="S851" s="291"/>
    </row>
    <row r="852" customFormat="false" ht="15" hidden="true" customHeight="false" outlineLevel="0" collapsed="false">
      <c r="B852" s="208" t="n">
        <v>2023</v>
      </c>
      <c r="C852" s="209" t="n">
        <v>9</v>
      </c>
      <c r="D852" s="226" t="s">
        <v>56</v>
      </c>
      <c r="E852" s="221" t="n">
        <v>24293051488</v>
      </c>
      <c r="F852" s="221" t="n">
        <v>98751426</v>
      </c>
      <c r="G852" s="221" t="n">
        <v>1</v>
      </c>
      <c r="H852" s="229" t="s">
        <v>199</v>
      </c>
      <c r="I852" s="273" t="n">
        <v>14000</v>
      </c>
      <c r="J852" s="228" t="n">
        <v>14000</v>
      </c>
      <c r="K852" s="228" t="n">
        <v>14000</v>
      </c>
      <c r="L852" s="214" t="n">
        <v>0</v>
      </c>
      <c r="M852" s="228" t="n">
        <v>14000</v>
      </c>
      <c r="N852" s="228"/>
      <c r="Q852" s="212"/>
      <c r="R852" s="212"/>
      <c r="S852" s="291"/>
    </row>
    <row r="853" customFormat="false" ht="15" hidden="true" customHeight="false" outlineLevel="0" collapsed="false">
      <c r="B853" s="208" t="n">
        <v>2023</v>
      </c>
      <c r="C853" s="209" t="n">
        <v>9</v>
      </c>
      <c r="D853" s="226" t="s">
        <v>34</v>
      </c>
      <c r="E853" s="221" t="n">
        <v>30865030904</v>
      </c>
      <c r="F853" s="221" t="n">
        <v>96958582</v>
      </c>
      <c r="G853" s="221" t="n">
        <v>1</v>
      </c>
      <c r="H853" s="229" t="s">
        <v>326</v>
      </c>
      <c r="I853" s="273" t="n">
        <v>9882.01</v>
      </c>
      <c r="J853" s="228" t="n">
        <v>20000</v>
      </c>
      <c r="K853" s="228" t="n">
        <v>9882.01</v>
      </c>
      <c r="L853" s="214" t="n">
        <v>7451.32</v>
      </c>
      <c r="M853" s="228" t="n">
        <v>17333.33</v>
      </c>
      <c r="N853" s="228" t="n">
        <v>-2666.67</v>
      </c>
      <c r="O853" s="212" t="s">
        <v>332</v>
      </c>
      <c r="Q853" s="212"/>
      <c r="R853" s="212"/>
      <c r="S853" s="291"/>
    </row>
    <row r="854" customFormat="false" ht="15" hidden="true" customHeight="false" outlineLevel="0" collapsed="false">
      <c r="B854" s="208" t="n">
        <v>2023</v>
      </c>
      <c r="C854" s="209" t="n">
        <v>9</v>
      </c>
      <c r="D854" s="226" t="s">
        <v>34</v>
      </c>
      <c r="E854" s="221" t="n">
        <v>0</v>
      </c>
      <c r="F854" s="221" t="n">
        <v>0</v>
      </c>
      <c r="G854" s="221" t="n">
        <v>0</v>
      </c>
      <c r="H854" s="229" t="s">
        <v>48</v>
      </c>
      <c r="I854" s="273" t="n">
        <v>0</v>
      </c>
      <c r="J854" s="228" t="n">
        <v>20000</v>
      </c>
      <c r="K854" s="228" t="n">
        <v>0</v>
      </c>
      <c r="L854" s="214" t="n">
        <v>20000</v>
      </c>
      <c r="M854" s="228" t="n">
        <v>20000</v>
      </c>
      <c r="N854" s="228"/>
      <c r="Q854" s="212"/>
      <c r="R854" s="212"/>
      <c r="S854" s="291"/>
    </row>
    <row r="855" customFormat="false" ht="15" hidden="true" customHeight="false" outlineLevel="0" collapsed="false">
      <c r="B855" s="208" t="n">
        <v>2023</v>
      </c>
      <c r="C855" s="209" t="n">
        <v>9</v>
      </c>
      <c r="D855" s="226" t="s">
        <v>105</v>
      </c>
      <c r="E855" s="221" t="n">
        <v>14188598600</v>
      </c>
      <c r="F855" s="221" t="n">
        <v>0</v>
      </c>
      <c r="G855" s="221" t="n">
        <v>0</v>
      </c>
      <c r="H855" s="229" t="s">
        <v>104</v>
      </c>
      <c r="I855" s="273" t="n">
        <v>0</v>
      </c>
      <c r="J855" s="228" t="n">
        <v>23000</v>
      </c>
      <c r="K855" s="228" t="n">
        <v>0</v>
      </c>
      <c r="L855" s="214" t="n">
        <v>20000</v>
      </c>
      <c r="M855" s="228" t="n">
        <v>20000</v>
      </c>
      <c r="N855" s="228" t="n">
        <v>-3000</v>
      </c>
      <c r="O855" s="212" t="s">
        <v>159</v>
      </c>
      <c r="Q855" s="212"/>
      <c r="R855" s="212"/>
      <c r="S855" s="291"/>
    </row>
    <row r="856" customFormat="false" ht="15" hidden="true" customHeight="false" outlineLevel="0" collapsed="false">
      <c r="B856" s="208" t="n">
        <v>2023</v>
      </c>
      <c r="C856" s="209" t="n">
        <v>9</v>
      </c>
      <c r="D856" s="226" t="s">
        <v>59</v>
      </c>
      <c r="E856" s="221" t="n">
        <v>74524099696</v>
      </c>
      <c r="F856" s="221" t="n">
        <v>98127163</v>
      </c>
      <c r="G856" s="221" t="n">
        <v>1</v>
      </c>
      <c r="H856" s="229" t="s">
        <v>129</v>
      </c>
      <c r="I856" s="273" t="n">
        <v>11402.32</v>
      </c>
      <c r="J856" s="228" t="n">
        <v>20000</v>
      </c>
      <c r="K856" s="228" t="n">
        <v>11402.32</v>
      </c>
      <c r="L856" s="214" t="n">
        <v>8597.68</v>
      </c>
      <c r="M856" s="228" t="n">
        <v>20000</v>
      </c>
      <c r="N856" s="228"/>
      <c r="Q856" s="212"/>
      <c r="R856" s="212"/>
      <c r="S856" s="291"/>
    </row>
    <row r="857" customFormat="false" ht="15" hidden="true" customHeight="false" outlineLevel="0" collapsed="false">
      <c r="B857" s="208" t="n">
        <v>2023</v>
      </c>
      <c r="C857" s="209" t="n">
        <v>9</v>
      </c>
      <c r="D857" s="226" t="s">
        <v>59</v>
      </c>
      <c r="E857" s="221" t="n">
        <v>22093575890</v>
      </c>
      <c r="F857" s="221" t="n">
        <v>96260905</v>
      </c>
      <c r="G857" s="221" t="n">
        <v>1</v>
      </c>
      <c r="H857" s="229" t="s">
        <v>133</v>
      </c>
      <c r="I857" s="273" t="n">
        <v>11402.32</v>
      </c>
      <c r="J857" s="228" t="n">
        <v>11402.32</v>
      </c>
      <c r="K857" s="228" t="n">
        <v>11402.32</v>
      </c>
      <c r="L857" s="214" t="n">
        <v>0</v>
      </c>
      <c r="M857" s="228" t="n">
        <v>11402.32</v>
      </c>
      <c r="N857" s="228"/>
      <c r="Q857" s="212"/>
      <c r="R857" s="212"/>
      <c r="S857" s="291"/>
    </row>
    <row r="858" customFormat="false" ht="15" hidden="true" customHeight="false" outlineLevel="0" collapsed="false">
      <c r="B858" s="208" t="n">
        <v>2023</v>
      </c>
      <c r="C858" s="209" t="n">
        <v>9</v>
      </c>
      <c r="D858" s="226" t="s">
        <v>59</v>
      </c>
      <c r="E858" s="221" t="n">
        <v>30148302742</v>
      </c>
      <c r="F858" s="221" t="n">
        <v>97726066</v>
      </c>
      <c r="G858" s="221" t="n">
        <v>1</v>
      </c>
      <c r="H858" s="229" t="s">
        <v>62</v>
      </c>
      <c r="I858" s="273" t="n">
        <v>11402.32</v>
      </c>
      <c r="J858" s="228" t="n">
        <v>11402.32</v>
      </c>
      <c r="K858" s="228" t="n">
        <v>11402.32</v>
      </c>
      <c r="L858" s="214" t="n">
        <v>0</v>
      </c>
      <c r="M858" s="228" t="n">
        <v>11402.32</v>
      </c>
      <c r="N858" s="228"/>
      <c r="Q858" s="212"/>
      <c r="R858" s="212"/>
      <c r="S858" s="291"/>
    </row>
    <row r="859" customFormat="false" ht="15" hidden="true" customHeight="false" outlineLevel="0" collapsed="false">
      <c r="B859" s="208" t="n">
        <v>2023</v>
      </c>
      <c r="C859" s="209" t="n">
        <v>9</v>
      </c>
      <c r="D859" s="226" t="s">
        <v>59</v>
      </c>
      <c r="E859" s="221" t="n">
        <v>64996156028</v>
      </c>
      <c r="F859" s="221" t="n">
        <v>95539771</v>
      </c>
      <c r="G859" s="221" t="n">
        <v>1</v>
      </c>
      <c r="H859" s="227" t="s">
        <v>55</v>
      </c>
      <c r="I859" s="273" t="n">
        <v>11402.32</v>
      </c>
      <c r="J859" s="228" t="n">
        <v>11402.32</v>
      </c>
      <c r="K859" s="228" t="n">
        <v>11402.32</v>
      </c>
      <c r="L859" s="214" t="n">
        <v>0</v>
      </c>
      <c r="M859" s="228" t="n">
        <v>11402.32</v>
      </c>
      <c r="N859" s="228"/>
      <c r="Q859" s="212"/>
      <c r="R859" s="212"/>
      <c r="S859" s="291"/>
    </row>
    <row r="860" customFormat="false" ht="15" hidden="true" customHeight="false" outlineLevel="0" collapsed="false">
      <c r="B860" s="208" t="n">
        <v>2023</v>
      </c>
      <c r="C860" s="209" t="n">
        <v>9</v>
      </c>
      <c r="D860" s="226" t="s">
        <v>59</v>
      </c>
      <c r="E860" s="221" t="n">
        <v>0</v>
      </c>
      <c r="F860" s="221" t="n">
        <v>0</v>
      </c>
      <c r="G860" s="221" t="n">
        <v>0</v>
      </c>
      <c r="H860" s="229" t="s">
        <v>134</v>
      </c>
      <c r="I860" s="273" t="n">
        <v>0</v>
      </c>
      <c r="J860" s="228" t="n">
        <v>11000</v>
      </c>
      <c r="K860" s="228" t="n">
        <v>0</v>
      </c>
      <c r="L860" s="214" t="n">
        <v>11000</v>
      </c>
      <c r="M860" s="228" t="n">
        <v>11000</v>
      </c>
      <c r="N860" s="228"/>
      <c r="Q860" s="212"/>
      <c r="R860" s="212"/>
      <c r="S860" s="291"/>
    </row>
    <row r="861" customFormat="false" ht="15" hidden="true" customHeight="false" outlineLevel="0" collapsed="false">
      <c r="B861" s="208" t="n">
        <v>2023</v>
      </c>
      <c r="C861" s="209" t="n">
        <v>9</v>
      </c>
      <c r="D861" s="226" t="n">
        <v>0</v>
      </c>
      <c r="E861" s="221" t="n">
        <v>0</v>
      </c>
      <c r="F861" s="221" t="n">
        <v>0</v>
      </c>
      <c r="G861" s="221" t="n">
        <v>0</v>
      </c>
      <c r="H861" s="229" t="s">
        <v>312</v>
      </c>
      <c r="I861" s="273" t="n">
        <v>0</v>
      </c>
      <c r="J861" s="228" t="n">
        <v>4000</v>
      </c>
      <c r="K861" s="228" t="n">
        <v>0</v>
      </c>
      <c r="L861" s="214" t="n">
        <v>4000</v>
      </c>
      <c r="M861" s="228" t="n">
        <v>4000</v>
      </c>
      <c r="N861" s="228"/>
      <c r="Q861" s="212"/>
      <c r="R861" s="212"/>
      <c r="S861" s="291"/>
    </row>
    <row r="862" customFormat="false" ht="15" hidden="true" customHeight="false" outlineLevel="0" collapsed="false">
      <c r="B862" s="208" t="n">
        <v>2023</v>
      </c>
      <c r="C862" s="209" t="n">
        <v>9</v>
      </c>
      <c r="D862" s="226" t="s">
        <v>59</v>
      </c>
      <c r="E862" s="221" t="n">
        <v>0</v>
      </c>
      <c r="F862" s="221" t="n">
        <v>0</v>
      </c>
      <c r="G862" s="221" t="n">
        <v>0</v>
      </c>
      <c r="H862" s="229" t="s">
        <v>135</v>
      </c>
      <c r="I862" s="273" t="n">
        <v>0</v>
      </c>
      <c r="J862" s="228" t="n">
        <v>11000</v>
      </c>
      <c r="K862" s="228" t="n">
        <v>0</v>
      </c>
      <c r="L862" s="214" t="n">
        <v>11000</v>
      </c>
      <c r="M862" s="228" t="n">
        <v>11000</v>
      </c>
      <c r="N862" s="228"/>
      <c r="Q862" s="212"/>
      <c r="R862" s="212"/>
      <c r="S862" s="291"/>
    </row>
    <row r="863" customFormat="false" ht="15" hidden="true" customHeight="false" outlineLevel="0" collapsed="false">
      <c r="B863" s="208" t="n">
        <v>2023</v>
      </c>
      <c r="C863" s="209" t="n">
        <v>10</v>
      </c>
      <c r="D863" s="226" t="s">
        <v>56</v>
      </c>
      <c r="E863" s="221" t="s">
        <v>80</v>
      </c>
      <c r="F863" s="221" t="n">
        <v>96358353</v>
      </c>
      <c r="G863" s="221" t="n">
        <v>1</v>
      </c>
      <c r="H863" s="227" t="s">
        <v>79</v>
      </c>
      <c r="I863" s="273" t="n">
        <v>12500</v>
      </c>
      <c r="J863" s="228" t="n">
        <v>27500</v>
      </c>
      <c r="K863" s="228" t="n">
        <v>12500</v>
      </c>
      <c r="L863" s="214" t="n">
        <v>15000</v>
      </c>
      <c r="M863" s="228" t="n">
        <v>27500</v>
      </c>
      <c r="Q863" s="212"/>
      <c r="R863" s="212"/>
      <c r="S863" s="291"/>
    </row>
    <row r="864" customFormat="false" ht="15" hidden="true" customHeight="false" outlineLevel="0" collapsed="false">
      <c r="B864" s="208" t="n">
        <v>2023</v>
      </c>
      <c r="C864" s="209" t="n">
        <v>10</v>
      </c>
      <c r="D864" s="226" t="s">
        <v>82</v>
      </c>
      <c r="E864" s="221" t="s">
        <v>204</v>
      </c>
      <c r="F864" s="221" t="n">
        <v>95573006</v>
      </c>
      <c r="G864" s="221" t="n">
        <v>1</v>
      </c>
      <c r="H864" s="227" t="s">
        <v>188</v>
      </c>
      <c r="I864" s="273" t="n">
        <v>11402</v>
      </c>
      <c r="J864" s="228" t="n">
        <v>11402.32</v>
      </c>
      <c r="K864" s="228" t="n">
        <v>11402</v>
      </c>
      <c r="L864" s="214" t="n">
        <v>0</v>
      </c>
      <c r="M864" s="228" t="n">
        <v>11402</v>
      </c>
      <c r="Q864" s="212"/>
      <c r="R864" s="212"/>
      <c r="S864" s="291"/>
    </row>
    <row r="865" customFormat="false" ht="15" hidden="true" customHeight="false" outlineLevel="0" collapsed="false">
      <c r="B865" s="208" t="n">
        <v>2023</v>
      </c>
      <c r="C865" s="209" t="n">
        <v>10</v>
      </c>
      <c r="D865" s="226" t="s">
        <v>82</v>
      </c>
      <c r="E865" s="221" t="s">
        <v>83</v>
      </c>
      <c r="F865" s="221" t="n">
        <v>95529415</v>
      </c>
      <c r="G865" s="221" t="n">
        <v>1</v>
      </c>
      <c r="H865" s="227" t="s">
        <v>81</v>
      </c>
      <c r="I865" s="273" t="n">
        <v>12207.19</v>
      </c>
      <c r="J865" s="228" t="n">
        <v>67207.19</v>
      </c>
      <c r="K865" s="228" t="n">
        <v>12207.19</v>
      </c>
      <c r="L865" s="214" t="n">
        <v>55000</v>
      </c>
      <c r="M865" s="228" t="n">
        <v>67207.19</v>
      </c>
      <c r="Q865" s="212"/>
      <c r="R865" s="212"/>
      <c r="S865" s="291"/>
    </row>
    <row r="866" customFormat="false" ht="15" hidden="true" customHeight="false" outlineLevel="0" collapsed="false">
      <c r="B866" s="208" t="n">
        <v>2023</v>
      </c>
      <c r="C866" s="209" t="n">
        <v>10</v>
      </c>
      <c r="D866" s="226" t="s">
        <v>56</v>
      </c>
      <c r="E866" s="221" t="s">
        <v>84</v>
      </c>
      <c r="F866" s="221" t="n">
        <v>95787183</v>
      </c>
      <c r="G866" s="221" t="n">
        <v>1</v>
      </c>
      <c r="H866" s="227" t="s">
        <v>73</v>
      </c>
      <c r="I866" s="273" t="n">
        <v>6402.32</v>
      </c>
      <c r="J866" s="228" t="n">
        <v>6402.32</v>
      </c>
      <c r="K866" s="228" t="n">
        <v>6402.32</v>
      </c>
      <c r="L866" s="214" t="n">
        <v>0</v>
      </c>
      <c r="M866" s="228" t="n">
        <v>6402.32</v>
      </c>
      <c r="O866" s="212" t="s">
        <v>334</v>
      </c>
      <c r="Q866" s="212"/>
      <c r="R866" s="212"/>
      <c r="S866" s="291"/>
    </row>
    <row r="867" customFormat="false" ht="15" hidden="true" customHeight="false" outlineLevel="0" collapsed="false">
      <c r="B867" s="208" t="n">
        <v>2023</v>
      </c>
      <c r="C867" s="209" t="n">
        <v>10</v>
      </c>
      <c r="D867" s="226" t="s">
        <v>82</v>
      </c>
      <c r="E867" s="221" t="s">
        <v>86</v>
      </c>
      <c r="F867" s="221" t="n">
        <v>95532064</v>
      </c>
      <c r="G867" s="221" t="n">
        <v>1</v>
      </c>
      <c r="H867" s="227" t="s">
        <v>85</v>
      </c>
      <c r="I867" s="273" t="n">
        <v>12207.19</v>
      </c>
      <c r="J867" s="228" t="n">
        <v>12207.19</v>
      </c>
      <c r="K867" s="228" t="n">
        <v>12207.19</v>
      </c>
      <c r="L867" s="214" t="n">
        <v>0</v>
      </c>
      <c r="M867" s="228" t="n">
        <v>12207.19</v>
      </c>
      <c r="Q867" s="212"/>
      <c r="R867" s="212"/>
      <c r="S867" s="291"/>
    </row>
    <row r="868" customFormat="false" ht="15" hidden="true" customHeight="false" outlineLevel="0" collapsed="false">
      <c r="B868" s="208" t="n">
        <v>2023</v>
      </c>
      <c r="C868" s="209" t="n">
        <v>10</v>
      </c>
      <c r="D868" s="226" t="s">
        <v>82</v>
      </c>
      <c r="E868" s="221" t="s">
        <v>88</v>
      </c>
      <c r="F868" s="221" t="n">
        <v>95532066</v>
      </c>
      <c r="G868" s="221" t="n">
        <v>1</v>
      </c>
      <c r="H868" s="227" t="s">
        <v>87</v>
      </c>
      <c r="I868" s="273" t="n">
        <v>12604.99</v>
      </c>
      <c r="J868" s="228" t="n">
        <v>12604.99</v>
      </c>
      <c r="K868" s="228" t="n">
        <v>12604.99</v>
      </c>
      <c r="L868" s="214" t="n">
        <v>0</v>
      </c>
      <c r="M868" s="228" t="n">
        <v>12604.99</v>
      </c>
      <c r="Q868" s="212"/>
      <c r="R868" s="212"/>
      <c r="S868" s="291"/>
    </row>
    <row r="869" customFormat="false" ht="15" hidden="true" customHeight="false" outlineLevel="0" collapsed="false">
      <c r="B869" s="208" t="n">
        <v>2023</v>
      </c>
      <c r="C869" s="209" t="n">
        <v>10</v>
      </c>
      <c r="D869" s="226" t="s">
        <v>69</v>
      </c>
      <c r="E869" s="221" t="s">
        <v>94</v>
      </c>
      <c r="F869" s="221" t="n">
        <v>95532077</v>
      </c>
      <c r="G869" s="221" t="n">
        <v>1</v>
      </c>
      <c r="H869" s="227" t="s">
        <v>93</v>
      </c>
      <c r="I869" s="273" t="n">
        <v>2068.07</v>
      </c>
      <c r="J869" s="228" t="n">
        <v>25300</v>
      </c>
      <c r="K869" s="228" t="n">
        <v>2068.07</v>
      </c>
      <c r="L869" s="214" t="n">
        <v>23231.93</v>
      </c>
      <c r="M869" s="228" t="n">
        <v>25300</v>
      </c>
      <c r="Q869" s="212"/>
      <c r="R869" s="212"/>
      <c r="S869" s="291"/>
    </row>
    <row r="870" customFormat="false" ht="15" hidden="true" customHeight="false" outlineLevel="0" collapsed="false">
      <c r="B870" s="208" t="n">
        <v>2023</v>
      </c>
      <c r="C870" s="209" t="n">
        <v>10</v>
      </c>
      <c r="D870" s="226" t="s">
        <v>34</v>
      </c>
      <c r="E870" s="221" t="s">
        <v>96</v>
      </c>
      <c r="F870" s="221" t="n">
        <v>95693810</v>
      </c>
      <c r="G870" s="221" t="n">
        <v>1</v>
      </c>
      <c r="H870" s="227" t="s">
        <v>95</v>
      </c>
      <c r="I870" s="273" t="n">
        <v>12207</v>
      </c>
      <c r="J870" s="228" t="n">
        <v>22000</v>
      </c>
      <c r="K870" s="228" t="n">
        <v>12207</v>
      </c>
      <c r="L870" s="214" t="n">
        <v>9793</v>
      </c>
      <c r="M870" s="228" t="n">
        <v>22000</v>
      </c>
      <c r="Q870" s="212"/>
      <c r="R870" s="212"/>
      <c r="S870" s="291"/>
    </row>
    <row r="871" customFormat="false" ht="15" hidden="true" customHeight="false" outlineLevel="0" collapsed="false">
      <c r="B871" s="208" t="n">
        <v>2023</v>
      </c>
      <c r="C871" s="209" t="n">
        <v>10</v>
      </c>
      <c r="D871" s="226" t="s">
        <v>69</v>
      </c>
      <c r="E871" s="221" t="s">
        <v>206</v>
      </c>
      <c r="F871" s="221" t="s">
        <v>207</v>
      </c>
      <c r="G871" s="221" t="s">
        <v>65</v>
      </c>
      <c r="H871" s="227" t="s">
        <v>103</v>
      </c>
      <c r="I871" s="273" t="n">
        <v>11876.3</v>
      </c>
      <c r="J871" s="228" t="n">
        <v>25300</v>
      </c>
      <c r="K871" s="228" t="n">
        <v>11876.3</v>
      </c>
      <c r="L871" s="214" t="n">
        <v>12580.3666666667</v>
      </c>
      <c r="M871" s="228" t="n">
        <v>24456.6666666667</v>
      </c>
      <c r="Q871" s="212"/>
      <c r="R871" s="212"/>
      <c r="S871" s="291"/>
    </row>
    <row r="872" customFormat="false" ht="15" hidden="true" customHeight="false" outlineLevel="0" collapsed="false">
      <c r="B872" s="208" t="n">
        <v>2023</v>
      </c>
      <c r="C872" s="209" t="n">
        <v>10</v>
      </c>
      <c r="D872" s="226" t="s">
        <v>98</v>
      </c>
      <c r="E872" s="221" t="s">
        <v>99</v>
      </c>
      <c r="F872" s="221" t="s">
        <v>148</v>
      </c>
      <c r="G872" s="221" t="s">
        <v>65</v>
      </c>
      <c r="H872" s="227" t="s">
        <v>97</v>
      </c>
      <c r="I872" s="273" t="n">
        <v>12207.19</v>
      </c>
      <c r="J872" s="228" t="n">
        <v>12207.19</v>
      </c>
      <c r="K872" s="228" t="n">
        <v>12207.19</v>
      </c>
      <c r="L872" s="214" t="n">
        <v>0</v>
      </c>
      <c r="M872" s="228" t="n">
        <v>12207.19</v>
      </c>
      <c r="Q872" s="212"/>
      <c r="R872" s="212"/>
      <c r="S872" s="291"/>
    </row>
    <row r="873" customFormat="false" ht="15" hidden="true" customHeight="false" outlineLevel="0" collapsed="false">
      <c r="B873" s="208" t="n">
        <v>2023</v>
      </c>
      <c r="C873" s="209" t="n">
        <v>10</v>
      </c>
      <c r="D873" s="226" t="s">
        <v>51</v>
      </c>
      <c r="E873" s="221" t="n">
        <v>23713484608</v>
      </c>
      <c r="F873" s="221" t="n">
        <v>97189681</v>
      </c>
      <c r="G873" s="221" t="n">
        <v>1</v>
      </c>
      <c r="H873" s="227" t="s">
        <v>100</v>
      </c>
      <c r="I873" s="273" t="n">
        <v>12604</v>
      </c>
      <c r="J873" s="228" t="n">
        <v>22000</v>
      </c>
      <c r="K873" s="228" t="n">
        <v>12604</v>
      </c>
      <c r="L873" s="214" t="n">
        <v>9396</v>
      </c>
      <c r="M873" s="228" t="n">
        <v>22000</v>
      </c>
      <c r="Q873" s="212"/>
      <c r="R873" s="212"/>
      <c r="S873" s="291"/>
    </row>
    <row r="874" customFormat="false" ht="15" hidden="true" customHeight="false" outlineLevel="0" collapsed="false">
      <c r="B874" s="208" t="n">
        <v>2023</v>
      </c>
      <c r="C874" s="209" t="n">
        <v>10</v>
      </c>
      <c r="D874" s="226" t="s">
        <v>82</v>
      </c>
      <c r="E874" s="221" t="n">
        <v>17891875174</v>
      </c>
      <c r="F874" s="221" t="n">
        <v>6214238</v>
      </c>
      <c r="G874" s="221" t="n">
        <v>1</v>
      </c>
      <c r="H874" s="227" t="s">
        <v>190</v>
      </c>
      <c r="I874" s="273" t="n">
        <v>11402.32</v>
      </c>
      <c r="J874" s="228" t="n">
        <v>11402.32</v>
      </c>
      <c r="K874" s="228" t="n">
        <v>11402.32</v>
      </c>
      <c r="L874" s="214" t="n">
        <v>0</v>
      </c>
      <c r="M874" s="228" t="n">
        <v>11402.32</v>
      </c>
      <c r="Q874" s="212"/>
      <c r="R874" s="212"/>
      <c r="S874" s="291"/>
    </row>
    <row r="875" customFormat="false" ht="15" hidden="true" customHeight="false" outlineLevel="0" collapsed="false">
      <c r="B875" s="208" t="n">
        <v>2023</v>
      </c>
      <c r="C875" s="209" t="n">
        <v>10</v>
      </c>
      <c r="D875" s="226" t="s">
        <v>69</v>
      </c>
      <c r="E875" s="221" t="s">
        <v>210</v>
      </c>
      <c r="F875" s="221" t="s">
        <v>211</v>
      </c>
      <c r="G875" s="221" t="s">
        <v>65</v>
      </c>
      <c r="H875" s="227" t="s">
        <v>191</v>
      </c>
      <c r="I875" s="273" t="n">
        <v>12604.99</v>
      </c>
      <c r="J875" s="228" t="n">
        <v>25300</v>
      </c>
      <c r="K875" s="228" t="n">
        <v>12604.99</v>
      </c>
      <c r="L875" s="214" t="n">
        <v>12695.01</v>
      </c>
      <c r="M875" s="228" t="n">
        <v>25300</v>
      </c>
      <c r="Q875" s="212"/>
      <c r="R875" s="212"/>
      <c r="S875" s="291"/>
    </row>
    <row r="876" customFormat="false" ht="15" hidden="true" customHeight="false" outlineLevel="0" collapsed="false">
      <c r="B876" s="208" t="n">
        <v>2023</v>
      </c>
      <c r="C876" s="209" t="n">
        <v>10</v>
      </c>
      <c r="D876" s="226" t="s">
        <v>59</v>
      </c>
      <c r="E876" s="221" t="s">
        <v>132</v>
      </c>
      <c r="F876" s="221" t="s">
        <v>151</v>
      </c>
      <c r="G876" s="221" t="s">
        <v>65</v>
      </c>
      <c r="H876" s="227" t="s">
        <v>127</v>
      </c>
      <c r="I876" s="273" t="n">
        <v>11402.32</v>
      </c>
      <c r="J876" s="228" t="n">
        <v>22000</v>
      </c>
      <c r="K876" s="228" t="n">
        <v>11402.32</v>
      </c>
      <c r="L876" s="214" t="n">
        <v>10597.68</v>
      </c>
      <c r="M876" s="228" t="n">
        <v>22000</v>
      </c>
      <c r="Q876" s="212"/>
      <c r="R876" s="212"/>
      <c r="S876" s="291"/>
    </row>
    <row r="877" customFormat="false" ht="15" hidden="true" customHeight="false" outlineLevel="0" collapsed="false">
      <c r="B877" s="208" t="n">
        <v>2023</v>
      </c>
      <c r="C877" s="209" t="n">
        <v>10</v>
      </c>
      <c r="D877" s="226" t="s">
        <v>192</v>
      </c>
      <c r="E877" s="221" t="n">
        <v>0</v>
      </c>
      <c r="F877" s="221" t="n">
        <v>0</v>
      </c>
      <c r="G877" s="221" t="n">
        <v>0</v>
      </c>
      <c r="H877" s="227" t="s">
        <v>74</v>
      </c>
      <c r="I877" s="273" t="n">
        <v>0</v>
      </c>
      <c r="J877" s="228" t="n">
        <v>12540</v>
      </c>
      <c r="K877" s="228" t="n">
        <v>0</v>
      </c>
      <c r="L877" s="214" t="n">
        <v>12040</v>
      </c>
      <c r="M877" s="228" t="n">
        <v>12040</v>
      </c>
      <c r="Q877" s="212"/>
      <c r="R877" s="212"/>
      <c r="S877" s="291"/>
    </row>
    <row r="878" customFormat="false" ht="15" hidden="true" customHeight="false" outlineLevel="0" collapsed="false">
      <c r="B878" s="208" t="n">
        <v>2023</v>
      </c>
      <c r="C878" s="209" t="n">
        <v>10</v>
      </c>
      <c r="D878" s="226" t="s">
        <v>34</v>
      </c>
      <c r="E878" s="221" t="s">
        <v>212</v>
      </c>
      <c r="F878" s="221" t="n">
        <v>0</v>
      </c>
      <c r="G878" s="221" t="n">
        <v>0</v>
      </c>
      <c r="H878" s="227" t="s">
        <v>193</v>
      </c>
      <c r="I878" s="273" t="n">
        <v>0</v>
      </c>
      <c r="J878" s="228" t="n">
        <v>22000</v>
      </c>
      <c r="K878" s="228" t="n">
        <v>0</v>
      </c>
      <c r="L878" s="214" t="n">
        <v>22000</v>
      </c>
      <c r="M878" s="228" t="n">
        <v>22000</v>
      </c>
      <c r="Q878" s="212"/>
      <c r="R878" s="212"/>
      <c r="S878" s="291"/>
    </row>
    <row r="879" customFormat="false" ht="15" hidden="true" customHeight="false" outlineLevel="0" collapsed="false">
      <c r="B879" s="208" t="n">
        <v>2023</v>
      </c>
      <c r="C879" s="209" t="n">
        <v>10</v>
      </c>
      <c r="D879" s="226" t="s">
        <v>34</v>
      </c>
      <c r="E879" s="221" t="n">
        <v>10459950610</v>
      </c>
      <c r="F879" s="221" t="n">
        <v>97226520</v>
      </c>
      <c r="G879" s="221" t="n">
        <v>1</v>
      </c>
      <c r="H879" s="229" t="s">
        <v>195</v>
      </c>
      <c r="I879" s="273" t="n">
        <v>11022</v>
      </c>
      <c r="J879" s="228" t="n">
        <v>22000</v>
      </c>
      <c r="K879" s="228" t="n">
        <v>11022</v>
      </c>
      <c r="L879" s="214" t="n">
        <v>10244.6666666667</v>
      </c>
      <c r="M879" s="228" t="n">
        <v>21266.6666666667</v>
      </c>
      <c r="Q879" s="212"/>
      <c r="R879" s="212"/>
      <c r="S879" s="291"/>
    </row>
    <row r="880" customFormat="false" ht="15" hidden="true" customHeight="false" outlineLevel="0" collapsed="false">
      <c r="B880" s="208" t="n">
        <v>2023</v>
      </c>
      <c r="C880" s="209" t="n">
        <v>10</v>
      </c>
      <c r="D880" s="226" t="s">
        <v>69</v>
      </c>
      <c r="E880" s="221" t="s">
        <v>214</v>
      </c>
      <c r="F880" s="221" t="s">
        <v>215</v>
      </c>
      <c r="G880" s="221" t="s">
        <v>65</v>
      </c>
      <c r="H880" s="229" t="s">
        <v>122</v>
      </c>
      <c r="I880" s="273" t="n">
        <v>12207</v>
      </c>
      <c r="J880" s="228" t="n">
        <v>25300</v>
      </c>
      <c r="K880" s="228" t="n">
        <v>12207</v>
      </c>
      <c r="L880" s="214" t="n">
        <v>13093</v>
      </c>
      <c r="M880" s="228" t="n">
        <v>25300</v>
      </c>
      <c r="Q880" s="212"/>
      <c r="R880" s="212"/>
      <c r="S880" s="291"/>
    </row>
    <row r="881" customFormat="false" ht="15" hidden="true" customHeight="false" outlineLevel="0" collapsed="false">
      <c r="B881" s="208" t="n">
        <v>2023</v>
      </c>
      <c r="C881" s="209" t="n">
        <v>10</v>
      </c>
      <c r="D881" s="226" t="s">
        <v>43</v>
      </c>
      <c r="E881" s="221" t="n">
        <v>0</v>
      </c>
      <c r="F881" s="221" t="n">
        <v>0</v>
      </c>
      <c r="G881" s="221" t="n">
        <v>0</v>
      </c>
      <c r="H881" s="229" t="s">
        <v>196</v>
      </c>
      <c r="I881" s="273" t="n">
        <v>0</v>
      </c>
      <c r="J881" s="228" t="n">
        <v>12540</v>
      </c>
      <c r="K881" s="228" t="n">
        <v>0</v>
      </c>
      <c r="L881" s="214" t="n">
        <v>7540</v>
      </c>
      <c r="M881" s="228" t="n">
        <v>7540</v>
      </c>
      <c r="Q881" s="212"/>
      <c r="R881" s="212"/>
      <c r="S881" s="291"/>
    </row>
    <row r="882" customFormat="false" ht="15" hidden="true" customHeight="false" outlineLevel="0" collapsed="false">
      <c r="B882" s="208" t="n">
        <v>2023</v>
      </c>
      <c r="C882" s="209" t="n">
        <v>10</v>
      </c>
      <c r="D882" s="226" t="s">
        <v>56</v>
      </c>
      <c r="E882" s="221" t="s">
        <v>216</v>
      </c>
      <c r="F882" s="221" t="s">
        <v>217</v>
      </c>
      <c r="G882" s="221" t="s">
        <v>65</v>
      </c>
      <c r="H882" s="229" t="s">
        <v>198</v>
      </c>
      <c r="I882" s="273" t="n">
        <v>11402</v>
      </c>
      <c r="J882" s="228" t="n">
        <v>22000</v>
      </c>
      <c r="K882" s="228" t="n">
        <v>11402</v>
      </c>
      <c r="L882" s="214" t="n">
        <v>10598</v>
      </c>
      <c r="M882" s="228" t="n">
        <v>22000</v>
      </c>
      <c r="Q882" s="212"/>
      <c r="R882" s="212"/>
      <c r="S882" s="291"/>
    </row>
    <row r="883" customFormat="false" ht="15" hidden="true" customHeight="false" outlineLevel="0" collapsed="false">
      <c r="B883" s="208" t="n">
        <v>2023</v>
      </c>
      <c r="C883" s="209" t="n">
        <v>10</v>
      </c>
      <c r="D883" s="226" t="s">
        <v>56</v>
      </c>
      <c r="E883" s="221" t="s">
        <v>329</v>
      </c>
      <c r="F883" s="221" t="s">
        <v>330</v>
      </c>
      <c r="G883" s="221" t="s">
        <v>65</v>
      </c>
      <c r="H883" s="229" t="s">
        <v>199</v>
      </c>
      <c r="I883" s="273" t="n">
        <v>13533</v>
      </c>
      <c r="J883" s="228" t="n">
        <v>14000</v>
      </c>
      <c r="K883" s="228" t="n">
        <v>13533</v>
      </c>
      <c r="L883" s="214" t="n">
        <v>0.333333333333314</v>
      </c>
      <c r="M883" s="228" t="n">
        <v>13533.3333333333</v>
      </c>
      <c r="Q883" s="212"/>
      <c r="R883" s="212"/>
      <c r="S883" s="291"/>
    </row>
    <row r="884" customFormat="false" ht="15" hidden="true" customHeight="false" outlineLevel="0" collapsed="false">
      <c r="B884" s="208" t="n">
        <v>2023</v>
      </c>
      <c r="C884" s="209" t="n">
        <v>10</v>
      </c>
      <c r="D884" s="226" t="s">
        <v>34</v>
      </c>
      <c r="E884" s="221" t="s">
        <v>324</v>
      </c>
      <c r="F884" s="221" t="s">
        <v>325</v>
      </c>
      <c r="G884" s="221" t="s">
        <v>65</v>
      </c>
      <c r="H884" s="229" t="s">
        <v>326</v>
      </c>
      <c r="I884" s="273" t="n">
        <v>11022</v>
      </c>
      <c r="J884" s="228" t="n">
        <v>22000</v>
      </c>
      <c r="K884" s="228" t="n">
        <v>11022</v>
      </c>
      <c r="L884" s="214" t="n">
        <v>10244.67</v>
      </c>
      <c r="M884" s="228" t="n">
        <v>21266.67</v>
      </c>
      <c r="Q884" s="212"/>
      <c r="R884" s="212"/>
      <c r="S884" s="291"/>
    </row>
    <row r="885" customFormat="false" ht="15" hidden="true" customHeight="false" outlineLevel="0" collapsed="false">
      <c r="B885" s="208" t="n">
        <v>2023</v>
      </c>
      <c r="C885" s="209" t="n">
        <v>10</v>
      </c>
      <c r="D885" s="226" t="s">
        <v>34</v>
      </c>
      <c r="E885" s="221" t="n">
        <v>0</v>
      </c>
      <c r="F885" s="221" t="n">
        <v>0</v>
      </c>
      <c r="G885" s="221" t="n">
        <v>0</v>
      </c>
      <c r="H885" s="229" t="s">
        <v>48</v>
      </c>
      <c r="I885" s="273" t="n">
        <v>0</v>
      </c>
      <c r="J885" s="228" t="n">
        <v>22000</v>
      </c>
      <c r="K885" s="228" t="n">
        <v>0</v>
      </c>
      <c r="L885" s="214" t="n">
        <v>21266.67</v>
      </c>
      <c r="M885" s="228" t="n">
        <v>21266.67</v>
      </c>
      <c r="Q885" s="212"/>
      <c r="R885" s="212"/>
      <c r="S885" s="291"/>
    </row>
    <row r="886" customFormat="false" ht="15" hidden="true" customHeight="false" outlineLevel="0" collapsed="false">
      <c r="B886" s="208" t="n">
        <v>2023</v>
      </c>
      <c r="C886" s="209" t="n">
        <v>10</v>
      </c>
      <c r="D886" s="226" t="s">
        <v>105</v>
      </c>
      <c r="E886" s="221" t="s">
        <v>106</v>
      </c>
      <c r="F886" s="221" t="n">
        <v>0</v>
      </c>
      <c r="G886" s="221" t="n">
        <v>0</v>
      </c>
      <c r="H886" s="229" t="s">
        <v>104</v>
      </c>
      <c r="I886" s="273" t="n">
        <v>0</v>
      </c>
      <c r="J886" s="228" t="n">
        <v>25300</v>
      </c>
      <c r="K886" s="228" t="n">
        <v>0</v>
      </c>
      <c r="L886" s="214" t="n">
        <v>19456.67</v>
      </c>
      <c r="M886" s="228" t="n">
        <v>19456.67</v>
      </c>
      <c r="Q886" s="212"/>
      <c r="R886" s="212"/>
      <c r="S886" s="291"/>
    </row>
    <row r="887" customFormat="false" ht="15" hidden="true" customHeight="false" outlineLevel="0" collapsed="false">
      <c r="B887" s="208" t="n">
        <v>2023</v>
      </c>
      <c r="C887" s="209" t="n">
        <v>10</v>
      </c>
      <c r="D887" s="226" t="s">
        <v>59</v>
      </c>
      <c r="E887" s="221" t="s">
        <v>67</v>
      </c>
      <c r="F887" s="221" t="s">
        <v>152</v>
      </c>
      <c r="G887" s="221" t="s">
        <v>65</v>
      </c>
      <c r="H887" s="229" t="s">
        <v>129</v>
      </c>
      <c r="I887" s="273" t="n">
        <v>10642</v>
      </c>
      <c r="J887" s="228" t="n">
        <v>22000</v>
      </c>
      <c r="K887" s="228" t="n">
        <v>10642</v>
      </c>
      <c r="L887" s="214" t="n">
        <v>11358</v>
      </c>
      <c r="M887" s="228" t="n">
        <v>22000</v>
      </c>
      <c r="Q887" s="212"/>
      <c r="R887" s="212"/>
      <c r="S887" s="291"/>
    </row>
    <row r="888" customFormat="false" ht="15" hidden="true" customHeight="false" outlineLevel="0" collapsed="false">
      <c r="B888" s="208" t="n">
        <v>2023</v>
      </c>
      <c r="C888" s="209" t="n">
        <v>10</v>
      </c>
      <c r="D888" s="226" t="s">
        <v>59</v>
      </c>
      <c r="E888" s="221" t="s">
        <v>60</v>
      </c>
      <c r="F888" s="221" t="s">
        <v>61</v>
      </c>
      <c r="G888" s="221" t="n">
        <v>1</v>
      </c>
      <c r="H888" s="229" t="s">
        <v>133</v>
      </c>
      <c r="I888" s="273" t="n">
        <v>11402.32</v>
      </c>
      <c r="J888" s="228" t="n">
        <v>11402.32</v>
      </c>
      <c r="K888" s="228" t="n">
        <v>11402.32</v>
      </c>
      <c r="L888" s="214" t="n">
        <v>0</v>
      </c>
      <c r="M888" s="228" t="n">
        <v>11402.32</v>
      </c>
      <c r="Q888" s="212"/>
      <c r="R888" s="212"/>
      <c r="S888" s="291"/>
    </row>
    <row r="889" customFormat="false" ht="15" hidden="true" customHeight="false" outlineLevel="0" collapsed="false">
      <c r="B889" s="208" t="n">
        <v>2023</v>
      </c>
      <c r="C889" s="209" t="n">
        <v>10</v>
      </c>
      <c r="D889" s="226" t="s">
        <v>59</v>
      </c>
      <c r="E889" s="221" t="n">
        <v>30148302742</v>
      </c>
      <c r="F889" s="221" t="n">
        <v>97726066</v>
      </c>
      <c r="G889" s="221" t="n">
        <v>1</v>
      </c>
      <c r="H889" s="229" t="s">
        <v>62</v>
      </c>
      <c r="I889" s="273" t="n">
        <v>11402.32</v>
      </c>
      <c r="J889" s="228" t="n">
        <v>11402.32</v>
      </c>
      <c r="K889" s="228" t="n">
        <v>11402.32</v>
      </c>
      <c r="L889" s="214" t="n">
        <v>0</v>
      </c>
      <c r="M889" s="228" t="n">
        <v>11402.32</v>
      </c>
      <c r="Q889" s="212"/>
      <c r="R889" s="212"/>
      <c r="S889" s="291"/>
    </row>
    <row r="890" customFormat="false" ht="15" hidden="true" customHeight="false" outlineLevel="0" collapsed="false">
      <c r="B890" s="208" t="n">
        <v>2023</v>
      </c>
      <c r="C890" s="209" t="n">
        <v>10</v>
      </c>
      <c r="D890" s="226" t="s">
        <v>59</v>
      </c>
      <c r="E890" s="221" t="s">
        <v>57</v>
      </c>
      <c r="F890" s="221" t="s">
        <v>153</v>
      </c>
      <c r="G890" s="221" t="s">
        <v>65</v>
      </c>
      <c r="H890" s="227" t="s">
        <v>55</v>
      </c>
      <c r="I890" s="273" t="n">
        <v>11402.32</v>
      </c>
      <c r="J890" s="228" t="n">
        <v>11402.32</v>
      </c>
      <c r="K890" s="228" t="n">
        <v>11402.32</v>
      </c>
      <c r="L890" s="214" t="n">
        <v>0</v>
      </c>
      <c r="M890" s="228" t="n">
        <v>11402.32</v>
      </c>
      <c r="N890" s="228"/>
      <c r="Q890" s="212"/>
      <c r="R890" s="212"/>
      <c r="S890" s="291"/>
    </row>
    <row r="891" customFormat="false" ht="15" hidden="true" customHeight="false" outlineLevel="0" collapsed="false">
      <c r="B891" s="208" t="n">
        <v>2023</v>
      </c>
      <c r="C891" s="209" t="n">
        <v>10</v>
      </c>
      <c r="D891" s="226" t="s">
        <v>59</v>
      </c>
      <c r="E891" s="221" t="n">
        <v>0</v>
      </c>
      <c r="F891" s="221" t="n">
        <v>0</v>
      </c>
      <c r="G891" s="221" t="n">
        <v>0</v>
      </c>
      <c r="H891" s="229" t="s">
        <v>134</v>
      </c>
      <c r="I891" s="273" t="n">
        <v>0</v>
      </c>
      <c r="J891" s="228" t="n">
        <v>11000</v>
      </c>
      <c r="K891" s="228" t="n">
        <v>0</v>
      </c>
      <c r="L891" s="214" t="n">
        <v>11000</v>
      </c>
      <c r="M891" s="228" t="n">
        <v>11000</v>
      </c>
      <c r="N891" s="228"/>
      <c r="Q891" s="212"/>
      <c r="R891" s="212"/>
      <c r="S891" s="291"/>
    </row>
    <row r="892" customFormat="false" ht="15" hidden="true" customHeight="false" outlineLevel="0" collapsed="false">
      <c r="B892" s="208" t="n">
        <v>2023</v>
      </c>
      <c r="C892" s="209" t="n">
        <v>10</v>
      </c>
      <c r="D892" s="226" t="s">
        <v>59</v>
      </c>
      <c r="E892" s="221" t="n">
        <v>0</v>
      </c>
      <c r="F892" s="221" t="n">
        <v>0</v>
      </c>
      <c r="G892" s="221" t="n">
        <v>0</v>
      </c>
      <c r="H892" s="229" t="s">
        <v>312</v>
      </c>
      <c r="I892" s="273" t="n">
        <v>0</v>
      </c>
      <c r="J892" s="228" t="n">
        <v>4000</v>
      </c>
      <c r="K892" s="228" t="n">
        <v>0</v>
      </c>
      <c r="L892" s="214" t="n">
        <v>4000</v>
      </c>
      <c r="M892" s="228" t="n">
        <v>4000</v>
      </c>
      <c r="N892" s="228"/>
      <c r="Q892" s="212"/>
      <c r="R892" s="212"/>
      <c r="S892" s="291"/>
    </row>
    <row r="893" customFormat="false" ht="15" hidden="true" customHeight="false" outlineLevel="0" collapsed="false">
      <c r="B893" s="208" t="n">
        <v>2023</v>
      </c>
      <c r="C893" s="209" t="n">
        <v>10</v>
      </c>
      <c r="D893" s="230" t="s">
        <v>59</v>
      </c>
      <c r="E893" s="231" t="n">
        <v>0</v>
      </c>
      <c r="F893" s="231" t="n">
        <v>0</v>
      </c>
      <c r="G893" s="232" t="n">
        <v>0</v>
      </c>
      <c r="H893" s="229" t="s">
        <v>135</v>
      </c>
      <c r="I893" s="237" t="n">
        <v>0</v>
      </c>
      <c r="J893" s="228" t="n">
        <v>11000</v>
      </c>
      <c r="K893" s="228" t="n">
        <v>0</v>
      </c>
      <c r="L893" s="214" t="n">
        <v>11000</v>
      </c>
      <c r="M893" s="228" t="n">
        <v>11000</v>
      </c>
      <c r="N893" s="228"/>
      <c r="Q893" s="212"/>
      <c r="R893" s="212"/>
      <c r="S893" s="291"/>
    </row>
    <row r="894" customFormat="false" ht="15" hidden="true" customHeight="false" outlineLevel="0" collapsed="false">
      <c r="B894" s="208" t="n">
        <v>2023</v>
      </c>
      <c r="C894" s="209" t="n">
        <v>10</v>
      </c>
      <c r="D894" s="226" t="s">
        <v>59</v>
      </c>
      <c r="E894" s="221" t="n">
        <v>0</v>
      </c>
      <c r="F894" s="221" t="n">
        <v>0</v>
      </c>
      <c r="G894" s="221" t="n">
        <v>0</v>
      </c>
      <c r="H894" s="229" t="s">
        <v>335</v>
      </c>
      <c r="I894" s="273" t="n">
        <v>0</v>
      </c>
      <c r="J894" s="228" t="n">
        <v>7000</v>
      </c>
      <c r="K894" s="228" t="n">
        <v>0</v>
      </c>
      <c r="L894" s="214" t="n">
        <v>7000</v>
      </c>
      <c r="M894" s="228" t="n">
        <v>7000</v>
      </c>
      <c r="N894" s="228"/>
      <c r="Q894" s="212"/>
      <c r="R894" s="212"/>
      <c r="S894" s="291"/>
    </row>
    <row r="895" customFormat="false" ht="15" hidden="true" customHeight="false" outlineLevel="0" collapsed="false">
      <c r="B895" s="208" t="n">
        <v>2023</v>
      </c>
      <c r="C895" s="209" t="n">
        <v>11</v>
      </c>
      <c r="D895" s="226" t="s">
        <v>56</v>
      </c>
      <c r="E895" s="221" t="s">
        <v>80</v>
      </c>
      <c r="F895" s="221" t="n">
        <v>96358353</v>
      </c>
      <c r="G895" s="221" t="n">
        <v>1</v>
      </c>
      <c r="H895" s="227" t="s">
        <v>79</v>
      </c>
      <c r="I895" s="273" t="n">
        <v>12500</v>
      </c>
      <c r="J895" s="228" t="n">
        <v>27500</v>
      </c>
      <c r="K895" s="228" t="n">
        <v>12500</v>
      </c>
      <c r="L895" s="214" t="n">
        <v>15000</v>
      </c>
      <c r="M895" s="228" t="n">
        <v>27500</v>
      </c>
      <c r="Q895" s="212"/>
      <c r="R895" s="212"/>
      <c r="S895" s="291"/>
    </row>
    <row r="896" customFormat="false" ht="15" hidden="true" customHeight="false" outlineLevel="0" collapsed="false">
      <c r="B896" s="208" t="n">
        <v>2023</v>
      </c>
      <c r="C896" s="209" t="n">
        <v>11</v>
      </c>
      <c r="D896" s="226" t="s">
        <v>82</v>
      </c>
      <c r="E896" s="221" t="s">
        <v>204</v>
      </c>
      <c r="F896" s="221" t="n">
        <v>95573006</v>
      </c>
      <c r="G896" s="221" t="n">
        <v>1</v>
      </c>
      <c r="H896" s="227" t="s">
        <v>188</v>
      </c>
      <c r="I896" s="273" t="n">
        <v>11402</v>
      </c>
      <c r="J896" s="228" t="n">
        <v>11402.32</v>
      </c>
      <c r="K896" s="228" t="n">
        <v>11402</v>
      </c>
      <c r="L896" s="214" t="n">
        <v>0</v>
      </c>
      <c r="M896" s="228" t="n">
        <v>11402</v>
      </c>
      <c r="Q896" s="212"/>
      <c r="R896" s="212"/>
      <c r="S896" s="291"/>
    </row>
    <row r="897" customFormat="false" ht="15" hidden="true" customHeight="false" outlineLevel="0" collapsed="false">
      <c r="B897" s="208" t="n">
        <v>2023</v>
      </c>
      <c r="C897" s="209" t="n">
        <v>11</v>
      </c>
      <c r="D897" s="226" t="s">
        <v>82</v>
      </c>
      <c r="E897" s="221" t="s">
        <v>83</v>
      </c>
      <c r="F897" s="221" t="n">
        <v>95529415</v>
      </c>
      <c r="G897" s="221" t="n">
        <v>1</v>
      </c>
      <c r="H897" s="227" t="s">
        <v>81</v>
      </c>
      <c r="I897" s="273" t="n">
        <v>12207.19</v>
      </c>
      <c r="J897" s="228" t="n">
        <v>67207.19</v>
      </c>
      <c r="K897" s="228" t="n">
        <v>12207.19</v>
      </c>
      <c r="L897" s="214" t="n">
        <v>55000</v>
      </c>
      <c r="M897" s="228" t="n">
        <v>67207.19</v>
      </c>
      <c r="Q897" s="212"/>
      <c r="R897" s="212"/>
      <c r="S897" s="291"/>
    </row>
    <row r="898" customFormat="false" ht="15" hidden="true" customHeight="false" outlineLevel="0" collapsed="false">
      <c r="B898" s="208" t="n">
        <v>2023</v>
      </c>
      <c r="C898" s="209" t="n">
        <v>11</v>
      </c>
      <c r="D898" s="226" t="s">
        <v>56</v>
      </c>
      <c r="E898" s="221" t="s">
        <v>84</v>
      </c>
      <c r="F898" s="221" t="n">
        <v>95787183</v>
      </c>
      <c r="G898" s="221" t="n">
        <v>1</v>
      </c>
      <c r="H898" s="227" t="s">
        <v>73</v>
      </c>
      <c r="I898" s="273" t="n">
        <v>6402.32</v>
      </c>
      <c r="J898" s="228" t="n">
        <v>6402.32</v>
      </c>
      <c r="K898" s="228" t="n">
        <v>6402.32</v>
      </c>
      <c r="L898" s="214" t="n">
        <v>0</v>
      </c>
      <c r="M898" s="228" t="n">
        <v>6402.32</v>
      </c>
      <c r="O898" s="212" t="s">
        <v>336</v>
      </c>
      <c r="Q898" s="212"/>
      <c r="R898" s="212"/>
      <c r="S898" s="291"/>
    </row>
    <row r="899" customFormat="false" ht="15" hidden="true" customHeight="false" outlineLevel="0" collapsed="false">
      <c r="B899" s="208" t="n">
        <v>2023</v>
      </c>
      <c r="C899" s="209" t="n">
        <v>11</v>
      </c>
      <c r="D899" s="226" t="s">
        <v>82</v>
      </c>
      <c r="E899" s="221" t="s">
        <v>86</v>
      </c>
      <c r="F899" s="221" t="n">
        <v>95532064</v>
      </c>
      <c r="G899" s="221" t="n">
        <v>1</v>
      </c>
      <c r="H899" s="227" t="s">
        <v>85</v>
      </c>
      <c r="I899" s="273" t="n">
        <v>12207.19</v>
      </c>
      <c r="J899" s="228" t="n">
        <v>12207.19</v>
      </c>
      <c r="K899" s="228" t="n">
        <v>12207.19</v>
      </c>
      <c r="L899" s="214" t="n">
        <v>0</v>
      </c>
      <c r="M899" s="228" t="n">
        <v>12207.19</v>
      </c>
      <c r="Q899" s="212"/>
      <c r="R899" s="212"/>
      <c r="S899" s="291"/>
    </row>
    <row r="900" customFormat="false" ht="15" hidden="true" customHeight="false" outlineLevel="0" collapsed="false">
      <c r="B900" s="208" t="n">
        <v>2023</v>
      </c>
      <c r="C900" s="209" t="n">
        <v>11</v>
      </c>
      <c r="D900" s="226" t="s">
        <v>82</v>
      </c>
      <c r="E900" s="221" t="s">
        <v>88</v>
      </c>
      <c r="F900" s="221" t="n">
        <v>95532066</v>
      </c>
      <c r="G900" s="221" t="n">
        <v>1</v>
      </c>
      <c r="H900" s="227" t="s">
        <v>87</v>
      </c>
      <c r="I900" s="273" t="n">
        <v>12604.99</v>
      </c>
      <c r="J900" s="228" t="n">
        <v>12604.99</v>
      </c>
      <c r="K900" s="228" t="n">
        <v>12604.99</v>
      </c>
      <c r="L900" s="214" t="n">
        <v>0</v>
      </c>
      <c r="M900" s="228" t="n">
        <v>12604.99</v>
      </c>
      <c r="Q900" s="212"/>
      <c r="R900" s="212"/>
      <c r="S900" s="291"/>
    </row>
    <row r="901" customFormat="false" ht="15" hidden="true" customHeight="false" outlineLevel="0" collapsed="false">
      <c r="B901" s="208" t="n">
        <v>2023</v>
      </c>
      <c r="C901" s="209" t="n">
        <v>11</v>
      </c>
      <c r="D901" s="226" t="s">
        <v>69</v>
      </c>
      <c r="E901" s="221" t="s">
        <v>94</v>
      </c>
      <c r="F901" s="221" t="n">
        <v>95532077</v>
      </c>
      <c r="G901" s="221" t="n">
        <v>1</v>
      </c>
      <c r="H901" s="227" t="s">
        <v>93</v>
      </c>
      <c r="I901" s="273" t="n">
        <v>2068.07</v>
      </c>
      <c r="J901" s="228" t="n">
        <v>25300</v>
      </c>
      <c r="K901" s="228" t="n">
        <v>2068.07</v>
      </c>
      <c r="L901" s="214" t="n">
        <v>23231.93</v>
      </c>
      <c r="M901" s="228" t="n">
        <v>25300</v>
      </c>
      <c r="Q901" s="212"/>
      <c r="R901" s="212"/>
      <c r="S901" s="291"/>
    </row>
    <row r="902" customFormat="false" ht="15" hidden="true" customHeight="false" outlineLevel="0" collapsed="false">
      <c r="B902" s="208" t="n">
        <v>2023</v>
      </c>
      <c r="C902" s="209" t="n">
        <v>11</v>
      </c>
      <c r="D902" s="226" t="s">
        <v>34</v>
      </c>
      <c r="E902" s="221" t="s">
        <v>96</v>
      </c>
      <c r="F902" s="221" t="n">
        <v>95693810</v>
      </c>
      <c r="G902" s="221" t="n">
        <v>1</v>
      </c>
      <c r="H902" s="227" t="s">
        <v>95</v>
      </c>
      <c r="I902" s="273" t="n">
        <v>12207</v>
      </c>
      <c r="J902" s="228" t="n">
        <v>22000</v>
      </c>
      <c r="K902" s="228" t="n">
        <v>12207</v>
      </c>
      <c r="L902" s="214" t="n">
        <v>7593</v>
      </c>
      <c r="M902" s="228" t="n">
        <v>19800</v>
      </c>
      <c r="N902" s="213" t="n">
        <v>-2200</v>
      </c>
      <c r="O902" s="212" t="s">
        <v>337</v>
      </c>
      <c r="Q902" s="212"/>
      <c r="R902" s="212"/>
      <c r="S902" s="291"/>
    </row>
    <row r="903" customFormat="false" ht="15" hidden="true" customHeight="false" outlineLevel="0" collapsed="false">
      <c r="B903" s="208" t="n">
        <v>2023</v>
      </c>
      <c r="C903" s="209" t="n">
        <v>11</v>
      </c>
      <c r="D903" s="226" t="s">
        <v>69</v>
      </c>
      <c r="E903" s="221" t="s">
        <v>206</v>
      </c>
      <c r="F903" s="221" t="s">
        <v>207</v>
      </c>
      <c r="G903" s="221" t="s">
        <v>65</v>
      </c>
      <c r="H903" s="227" t="s">
        <v>103</v>
      </c>
      <c r="I903" s="273" t="n">
        <v>12207</v>
      </c>
      <c r="J903" s="228" t="n">
        <v>25300</v>
      </c>
      <c r="K903" s="228" t="n">
        <v>12207</v>
      </c>
      <c r="L903" s="214" t="n">
        <v>13093</v>
      </c>
      <c r="M903" s="228" t="n">
        <v>25300</v>
      </c>
      <c r="Q903" s="212"/>
      <c r="R903" s="212"/>
      <c r="S903" s="291"/>
    </row>
    <row r="904" customFormat="false" ht="15" hidden="true" customHeight="false" outlineLevel="0" collapsed="false">
      <c r="B904" s="208" t="n">
        <v>2023</v>
      </c>
      <c r="C904" s="209" t="n">
        <v>11</v>
      </c>
      <c r="D904" s="226" t="s">
        <v>98</v>
      </c>
      <c r="E904" s="221" t="s">
        <v>99</v>
      </c>
      <c r="F904" s="221" t="s">
        <v>148</v>
      </c>
      <c r="G904" s="221" t="s">
        <v>65</v>
      </c>
      <c r="H904" s="227" t="s">
        <v>97</v>
      </c>
      <c r="I904" s="273" t="n">
        <v>12207.19</v>
      </c>
      <c r="J904" s="228" t="n">
        <v>12207.19</v>
      </c>
      <c r="K904" s="228" t="n">
        <v>12207.19</v>
      </c>
      <c r="L904" s="214" t="n">
        <v>0</v>
      </c>
      <c r="M904" s="228" t="n">
        <v>12207.19</v>
      </c>
      <c r="Q904" s="212"/>
      <c r="R904" s="212"/>
      <c r="S904" s="291"/>
    </row>
    <row r="905" customFormat="false" ht="15" hidden="true" customHeight="false" outlineLevel="0" collapsed="false">
      <c r="B905" s="208" t="n">
        <v>2023</v>
      </c>
      <c r="C905" s="209" t="n">
        <v>11</v>
      </c>
      <c r="D905" s="226" t="s">
        <v>51</v>
      </c>
      <c r="E905" s="221" t="n">
        <v>23713484608</v>
      </c>
      <c r="F905" s="221" t="n">
        <v>97189681</v>
      </c>
      <c r="G905" s="221" t="n">
        <v>1</v>
      </c>
      <c r="H905" s="227" t="s">
        <v>100</v>
      </c>
      <c r="I905" s="273" t="n">
        <v>12604</v>
      </c>
      <c r="J905" s="228" t="n">
        <v>22000</v>
      </c>
      <c r="K905" s="228" t="n">
        <v>12604</v>
      </c>
      <c r="L905" s="214" t="n">
        <v>9396</v>
      </c>
      <c r="M905" s="228" t="n">
        <v>22000</v>
      </c>
      <c r="O905" s="212" t="s">
        <v>338</v>
      </c>
      <c r="Q905" s="212"/>
      <c r="R905" s="212"/>
      <c r="S905" s="291"/>
    </row>
    <row r="906" customFormat="false" ht="15" hidden="true" customHeight="false" outlineLevel="0" collapsed="false">
      <c r="B906" s="208" t="n">
        <v>2023</v>
      </c>
      <c r="C906" s="209" t="n">
        <v>11</v>
      </c>
      <c r="D906" s="226" t="s">
        <v>82</v>
      </c>
      <c r="E906" s="221" t="n">
        <v>17891875174</v>
      </c>
      <c r="F906" s="221" t="n">
        <v>6214238</v>
      </c>
      <c r="G906" s="221" t="n">
        <v>1</v>
      </c>
      <c r="H906" s="227" t="s">
        <v>190</v>
      </c>
      <c r="I906" s="273" t="n">
        <v>11402.32</v>
      </c>
      <c r="J906" s="228" t="n">
        <v>11402.32</v>
      </c>
      <c r="K906" s="228" t="n">
        <v>11402.32</v>
      </c>
      <c r="L906" s="214" t="n">
        <v>0</v>
      </c>
      <c r="M906" s="228" t="n">
        <v>11402.32</v>
      </c>
      <c r="Q906" s="212"/>
      <c r="R906" s="212"/>
      <c r="S906" s="291"/>
    </row>
    <row r="907" customFormat="false" ht="15" hidden="true" customHeight="false" outlineLevel="0" collapsed="false">
      <c r="B907" s="208" t="n">
        <v>2023</v>
      </c>
      <c r="C907" s="209" t="n">
        <v>11</v>
      </c>
      <c r="D907" s="226" t="s">
        <v>69</v>
      </c>
      <c r="E907" s="221" t="s">
        <v>210</v>
      </c>
      <c r="F907" s="221" t="s">
        <v>211</v>
      </c>
      <c r="G907" s="221" t="s">
        <v>65</v>
      </c>
      <c r="H907" s="227" t="s">
        <v>191</v>
      </c>
      <c r="I907" s="273" t="n">
        <v>12604.99</v>
      </c>
      <c r="J907" s="228" t="n">
        <v>25300</v>
      </c>
      <c r="K907" s="228" t="n">
        <v>12604.99</v>
      </c>
      <c r="L907" s="214" t="n">
        <v>12695.01</v>
      </c>
      <c r="M907" s="228" t="n">
        <v>25300</v>
      </c>
      <c r="Q907" s="212"/>
      <c r="R907" s="212"/>
      <c r="S907" s="291"/>
    </row>
    <row r="908" customFormat="false" ht="15" hidden="true" customHeight="false" outlineLevel="0" collapsed="false">
      <c r="B908" s="208" t="n">
        <v>2023</v>
      </c>
      <c r="C908" s="209" t="n">
        <v>11</v>
      </c>
      <c r="D908" s="226" t="s">
        <v>59</v>
      </c>
      <c r="E908" s="221" t="s">
        <v>132</v>
      </c>
      <c r="F908" s="221" t="s">
        <v>151</v>
      </c>
      <c r="G908" s="221" t="s">
        <v>65</v>
      </c>
      <c r="H908" s="227" t="s">
        <v>127</v>
      </c>
      <c r="I908" s="273" t="n">
        <v>11402.32</v>
      </c>
      <c r="J908" s="228" t="n">
        <v>22000</v>
      </c>
      <c r="K908" s="228" t="n">
        <v>11402.32</v>
      </c>
      <c r="L908" s="214" t="n">
        <v>10597.68</v>
      </c>
      <c r="M908" s="228" t="n">
        <v>22000</v>
      </c>
      <c r="Q908" s="212"/>
      <c r="R908" s="212"/>
      <c r="S908" s="291"/>
    </row>
    <row r="909" customFormat="false" ht="15" hidden="true" customHeight="false" outlineLevel="0" collapsed="false">
      <c r="B909" s="208" t="n">
        <v>2023</v>
      </c>
      <c r="C909" s="209" t="n">
        <v>11</v>
      </c>
      <c r="D909" s="226" t="s">
        <v>192</v>
      </c>
      <c r="E909" s="221" t="n">
        <v>0</v>
      </c>
      <c r="F909" s="221" t="n">
        <v>0</v>
      </c>
      <c r="G909" s="221" t="n">
        <v>0</v>
      </c>
      <c r="H909" s="227" t="s">
        <v>74</v>
      </c>
      <c r="I909" s="273" t="n">
        <v>0</v>
      </c>
      <c r="J909" s="228" t="n">
        <v>12540</v>
      </c>
      <c r="K909" s="228" t="n">
        <v>0</v>
      </c>
      <c r="L909" s="214" t="n">
        <v>12540</v>
      </c>
      <c r="M909" s="228" t="n">
        <v>12540</v>
      </c>
      <c r="O909" s="212" t="s">
        <v>339</v>
      </c>
      <c r="Q909" s="212"/>
      <c r="R909" s="212"/>
      <c r="S909" s="291"/>
    </row>
    <row r="910" customFormat="false" ht="15" hidden="true" customHeight="false" outlineLevel="0" collapsed="false">
      <c r="B910" s="208" t="n">
        <v>2023</v>
      </c>
      <c r="C910" s="209" t="n">
        <v>11</v>
      </c>
      <c r="D910" s="226" t="s">
        <v>34</v>
      </c>
      <c r="E910" s="221" t="s">
        <v>212</v>
      </c>
      <c r="F910" s="221" t="n">
        <v>0</v>
      </c>
      <c r="G910" s="221" t="n">
        <v>0</v>
      </c>
      <c r="H910" s="227" t="s">
        <v>193</v>
      </c>
      <c r="I910" s="273" t="n">
        <v>0</v>
      </c>
      <c r="J910" s="228" t="n">
        <v>22000</v>
      </c>
      <c r="K910" s="228" t="n">
        <v>0</v>
      </c>
      <c r="L910" s="214" t="n">
        <v>22000</v>
      </c>
      <c r="M910" s="228" t="n">
        <v>22000</v>
      </c>
      <c r="Q910" s="212"/>
      <c r="R910" s="212"/>
      <c r="S910" s="291"/>
    </row>
    <row r="911" customFormat="false" ht="15" hidden="true" customHeight="false" outlineLevel="0" collapsed="false">
      <c r="B911" s="208" t="n">
        <v>2023</v>
      </c>
      <c r="C911" s="209" t="n">
        <v>11</v>
      </c>
      <c r="D911" s="226" t="s">
        <v>34</v>
      </c>
      <c r="E911" s="221" t="n">
        <v>10459950610</v>
      </c>
      <c r="F911" s="221" t="n">
        <v>97226520</v>
      </c>
      <c r="G911" s="221" t="n">
        <v>1</v>
      </c>
      <c r="H911" s="229" t="s">
        <v>195</v>
      </c>
      <c r="I911" s="273" t="n">
        <v>12604</v>
      </c>
      <c r="J911" s="228" t="n">
        <v>22000</v>
      </c>
      <c r="K911" s="228" t="n">
        <v>12604</v>
      </c>
      <c r="L911" s="214" t="n">
        <v>9396</v>
      </c>
      <c r="M911" s="228" t="n">
        <v>22000</v>
      </c>
      <c r="Q911" s="212"/>
      <c r="R911" s="212"/>
      <c r="S911" s="291"/>
    </row>
    <row r="912" customFormat="false" ht="15" hidden="true" customHeight="false" outlineLevel="0" collapsed="false">
      <c r="B912" s="208" t="n">
        <v>2023</v>
      </c>
      <c r="C912" s="209" t="n">
        <v>11</v>
      </c>
      <c r="D912" s="226" t="s">
        <v>69</v>
      </c>
      <c r="E912" s="221" t="s">
        <v>214</v>
      </c>
      <c r="F912" s="221" t="s">
        <v>215</v>
      </c>
      <c r="G912" s="221" t="s">
        <v>65</v>
      </c>
      <c r="H912" s="229" t="s">
        <v>122</v>
      </c>
      <c r="I912" s="273" t="n">
        <v>12207</v>
      </c>
      <c r="J912" s="228" t="n">
        <v>25300</v>
      </c>
      <c r="K912" s="228" t="n">
        <v>12207</v>
      </c>
      <c r="L912" s="214" t="n">
        <v>13093</v>
      </c>
      <c r="M912" s="228" t="n">
        <v>25300</v>
      </c>
      <c r="Q912" s="212"/>
      <c r="R912" s="212"/>
      <c r="S912" s="291"/>
    </row>
    <row r="913" customFormat="false" ht="15" hidden="true" customHeight="false" outlineLevel="0" collapsed="false">
      <c r="B913" s="208" t="n">
        <v>2023</v>
      </c>
      <c r="C913" s="209" t="n">
        <v>11</v>
      </c>
      <c r="D913" s="226" t="s">
        <v>43</v>
      </c>
      <c r="E913" s="221" t="n">
        <v>0</v>
      </c>
      <c r="F913" s="221" t="n">
        <v>0</v>
      </c>
      <c r="G913" s="221" t="n">
        <v>0</v>
      </c>
      <c r="H913" s="229" t="s">
        <v>196</v>
      </c>
      <c r="I913" s="273" t="n">
        <v>0</v>
      </c>
      <c r="J913" s="228" t="n">
        <v>12540</v>
      </c>
      <c r="K913" s="228" t="n">
        <v>0</v>
      </c>
      <c r="L913" s="214" t="n">
        <v>11540</v>
      </c>
      <c r="M913" s="228" t="n">
        <v>11540</v>
      </c>
      <c r="N913" s="213" t="n">
        <v>-1000</v>
      </c>
      <c r="Q913" s="212"/>
      <c r="R913" s="212"/>
      <c r="S913" s="291"/>
    </row>
    <row r="914" customFormat="false" ht="15" hidden="true" customHeight="false" outlineLevel="0" collapsed="false">
      <c r="B914" s="208" t="n">
        <v>2023</v>
      </c>
      <c r="C914" s="209" t="n">
        <v>11</v>
      </c>
      <c r="D914" s="226" t="s">
        <v>56</v>
      </c>
      <c r="E914" s="221" t="s">
        <v>216</v>
      </c>
      <c r="F914" s="221" t="s">
        <v>217</v>
      </c>
      <c r="G914" s="221" t="s">
        <v>65</v>
      </c>
      <c r="H914" s="229" t="s">
        <v>198</v>
      </c>
      <c r="I914" s="273" t="n">
        <v>12681</v>
      </c>
      <c r="J914" s="228" t="n">
        <v>22000</v>
      </c>
      <c r="K914" s="228" t="n">
        <v>12681</v>
      </c>
      <c r="L914" s="214" t="n">
        <v>9319</v>
      </c>
      <c r="M914" s="228" t="n">
        <v>22000</v>
      </c>
      <c r="Q914" s="212"/>
      <c r="R914" s="212"/>
      <c r="S914" s="291"/>
    </row>
    <row r="915" customFormat="false" ht="15" hidden="true" customHeight="false" outlineLevel="0" collapsed="false">
      <c r="B915" s="208" t="n">
        <v>2023</v>
      </c>
      <c r="C915" s="209" t="n">
        <v>11</v>
      </c>
      <c r="D915" s="226" t="s">
        <v>56</v>
      </c>
      <c r="E915" s="221" t="s">
        <v>329</v>
      </c>
      <c r="F915" s="221" t="s">
        <v>330</v>
      </c>
      <c r="G915" s="221" t="s">
        <v>65</v>
      </c>
      <c r="H915" s="229" t="s">
        <v>199</v>
      </c>
      <c r="I915" s="273" t="n">
        <v>14000</v>
      </c>
      <c r="J915" s="228" t="n">
        <v>14000</v>
      </c>
      <c r="K915" s="228" t="n">
        <v>14000</v>
      </c>
      <c r="L915" s="214" t="n">
        <v>0</v>
      </c>
      <c r="M915" s="228" t="n">
        <v>14000</v>
      </c>
      <c r="Q915" s="212"/>
      <c r="R915" s="212"/>
      <c r="S915" s="291"/>
    </row>
    <row r="916" customFormat="false" ht="15" hidden="true" customHeight="false" outlineLevel="0" collapsed="false">
      <c r="B916" s="208" t="n">
        <v>2023</v>
      </c>
      <c r="C916" s="209" t="n">
        <v>11</v>
      </c>
      <c r="D916" s="226" t="e">
        <f aca="false">#N/A</f>
        <v>#N/A</v>
      </c>
      <c r="E916" s="221" t="e">
        <f aca="false">#N/A</f>
        <v>#N/A</v>
      </c>
      <c r="F916" s="221" t="e">
        <f aca="false">#N/A</f>
        <v>#N/A</v>
      </c>
      <c r="G916" s="221" t="e">
        <f aca="false">#N/A</f>
        <v>#N/A</v>
      </c>
      <c r="H916" s="229" t="s">
        <v>326</v>
      </c>
      <c r="I916" s="273" t="e">
        <f aca="false">#N/A</f>
        <v>#N/A</v>
      </c>
      <c r="J916" s="228" t="e">
        <f aca="false">#N/A</f>
        <v>#N/A</v>
      </c>
      <c r="K916" s="228" t="e">
        <f aca="false">#N/A</f>
        <v>#N/A</v>
      </c>
      <c r="L916" s="214" t="e">
        <f aca="false">#N/A</f>
        <v>#N/A</v>
      </c>
      <c r="M916" s="228" t="e">
        <f aca="false">#N/A</f>
        <v>#N/A</v>
      </c>
      <c r="O916" s="212" t="s">
        <v>340</v>
      </c>
      <c r="Q916" s="212"/>
      <c r="R916" s="212"/>
      <c r="S916" s="291"/>
    </row>
    <row r="917" customFormat="false" ht="15" hidden="true" customHeight="false" outlineLevel="0" collapsed="false">
      <c r="B917" s="208" t="n">
        <v>2023</v>
      </c>
      <c r="C917" s="209" t="n">
        <v>11</v>
      </c>
      <c r="D917" s="226" t="s">
        <v>34</v>
      </c>
      <c r="E917" s="221" t="n">
        <v>0</v>
      </c>
      <c r="F917" s="221" t="n">
        <v>0</v>
      </c>
      <c r="G917" s="221" t="n">
        <v>0</v>
      </c>
      <c r="H917" s="229" t="s">
        <v>102</v>
      </c>
      <c r="I917" s="273" t="n">
        <v>0</v>
      </c>
      <c r="J917" s="228" t="n">
        <v>22000</v>
      </c>
      <c r="K917" s="228" t="n">
        <v>0</v>
      </c>
      <c r="L917" s="214" t="n">
        <v>13200</v>
      </c>
      <c r="M917" s="228" t="n">
        <v>13200</v>
      </c>
      <c r="N917" s="213" t="n">
        <v>-8800</v>
      </c>
      <c r="O917" s="212" t="s">
        <v>341</v>
      </c>
      <c r="Q917" s="212"/>
      <c r="R917" s="212"/>
      <c r="S917" s="291"/>
    </row>
    <row r="918" customFormat="false" ht="15" hidden="true" customHeight="false" outlineLevel="0" collapsed="false">
      <c r="B918" s="208" t="n">
        <v>2023</v>
      </c>
      <c r="C918" s="209" t="n">
        <v>11</v>
      </c>
      <c r="D918" s="226" t="s">
        <v>34</v>
      </c>
      <c r="E918" s="221" t="n">
        <v>0</v>
      </c>
      <c r="F918" s="221" t="n">
        <v>0</v>
      </c>
      <c r="G918" s="221" t="n">
        <v>0</v>
      </c>
      <c r="H918" s="229" t="s">
        <v>48</v>
      </c>
      <c r="I918" s="273" t="n">
        <v>0</v>
      </c>
      <c r="J918" s="228" t="n">
        <v>22000</v>
      </c>
      <c r="K918" s="228" t="n">
        <v>0</v>
      </c>
      <c r="L918" s="214" t="n">
        <v>23000</v>
      </c>
      <c r="M918" s="228" t="n">
        <v>23000</v>
      </c>
      <c r="N918" s="213" t="n">
        <v>1000</v>
      </c>
      <c r="O918" s="212" t="s">
        <v>342</v>
      </c>
      <c r="Q918" s="212"/>
      <c r="R918" s="212"/>
      <c r="S918" s="291"/>
    </row>
    <row r="919" customFormat="false" ht="15" hidden="true" customHeight="false" outlineLevel="0" collapsed="false">
      <c r="B919" s="208" t="n">
        <v>2023</v>
      </c>
      <c r="C919" s="209" t="n">
        <v>11</v>
      </c>
      <c r="D919" s="226" t="s">
        <v>105</v>
      </c>
      <c r="E919" s="221" t="s">
        <v>106</v>
      </c>
      <c r="F919" s="221" t="n">
        <v>0</v>
      </c>
      <c r="G919" s="221" t="n">
        <v>0</v>
      </c>
      <c r="H919" s="229" t="s">
        <v>104</v>
      </c>
      <c r="I919" s="273" t="n">
        <v>0</v>
      </c>
      <c r="J919" s="228" t="n">
        <v>25300</v>
      </c>
      <c r="K919" s="228" t="n">
        <v>0</v>
      </c>
      <c r="L919" s="214" t="n">
        <v>25300</v>
      </c>
      <c r="M919" s="228" t="n">
        <v>25300</v>
      </c>
      <c r="O919" s="212" t="s">
        <v>343</v>
      </c>
      <c r="Q919" s="212"/>
      <c r="R919" s="212"/>
      <c r="S919" s="291"/>
    </row>
    <row r="920" customFormat="false" ht="15" hidden="true" customHeight="false" outlineLevel="0" collapsed="false">
      <c r="B920" s="208" t="n">
        <v>2023</v>
      </c>
      <c r="C920" s="209" t="n">
        <v>11</v>
      </c>
      <c r="D920" s="226" t="s">
        <v>59</v>
      </c>
      <c r="E920" s="221" t="s">
        <v>67</v>
      </c>
      <c r="F920" s="221" t="s">
        <v>152</v>
      </c>
      <c r="G920" s="221" t="s">
        <v>65</v>
      </c>
      <c r="H920" s="229" t="s">
        <v>129</v>
      </c>
      <c r="I920" s="273" t="n">
        <v>11402</v>
      </c>
      <c r="J920" s="228" t="n">
        <v>22000</v>
      </c>
      <c r="K920" s="228" t="n">
        <v>11402</v>
      </c>
      <c r="L920" s="214" t="n">
        <v>10598</v>
      </c>
      <c r="M920" s="228" t="n">
        <v>22000</v>
      </c>
      <c r="Q920" s="212"/>
      <c r="R920" s="212"/>
      <c r="S920" s="291"/>
    </row>
    <row r="921" customFormat="false" ht="15" hidden="true" customHeight="false" outlineLevel="0" collapsed="false">
      <c r="B921" s="208" t="n">
        <v>2023</v>
      </c>
      <c r="C921" s="209" t="n">
        <v>11</v>
      </c>
      <c r="D921" s="226" t="s">
        <v>59</v>
      </c>
      <c r="E921" s="221" t="s">
        <v>60</v>
      </c>
      <c r="F921" s="221" t="s">
        <v>61</v>
      </c>
      <c r="G921" s="221" t="n">
        <v>1</v>
      </c>
      <c r="H921" s="229" t="s">
        <v>133</v>
      </c>
      <c r="I921" s="273" t="n">
        <v>11402.32</v>
      </c>
      <c r="J921" s="228" t="n">
        <v>11402.32</v>
      </c>
      <c r="K921" s="228" t="n">
        <v>11402.32</v>
      </c>
      <c r="L921" s="214" t="n">
        <v>0</v>
      </c>
      <c r="M921" s="228" t="n">
        <v>11402.32</v>
      </c>
      <c r="Q921" s="212"/>
      <c r="R921" s="212"/>
      <c r="S921" s="291"/>
    </row>
    <row r="922" customFormat="false" ht="15" hidden="true" customHeight="false" outlineLevel="0" collapsed="false">
      <c r="B922" s="208" t="n">
        <v>2023</v>
      </c>
      <c r="C922" s="209" t="n">
        <v>11</v>
      </c>
      <c r="D922" s="226" t="s">
        <v>59</v>
      </c>
      <c r="E922" s="221" t="n">
        <v>30148302742</v>
      </c>
      <c r="F922" s="221" t="n">
        <v>97726066</v>
      </c>
      <c r="G922" s="221" t="n">
        <v>1</v>
      </c>
      <c r="H922" s="229" t="s">
        <v>62</v>
      </c>
      <c r="I922" s="273" t="n">
        <v>11402.32</v>
      </c>
      <c r="J922" s="228" t="n">
        <v>11402.32</v>
      </c>
      <c r="K922" s="228" t="n">
        <v>11402.32</v>
      </c>
      <c r="L922" s="214" t="n">
        <v>0</v>
      </c>
      <c r="M922" s="228" t="n">
        <v>11402.32</v>
      </c>
      <c r="Q922" s="212"/>
      <c r="R922" s="212"/>
      <c r="S922" s="291"/>
    </row>
    <row r="923" customFormat="false" ht="15" hidden="true" customHeight="false" outlineLevel="0" collapsed="false">
      <c r="B923" s="208" t="n">
        <v>2023</v>
      </c>
      <c r="C923" s="209" t="n">
        <v>11</v>
      </c>
      <c r="D923" s="226" t="s">
        <v>59</v>
      </c>
      <c r="E923" s="221" t="s">
        <v>57</v>
      </c>
      <c r="F923" s="221" t="s">
        <v>153</v>
      </c>
      <c r="G923" s="221" t="s">
        <v>65</v>
      </c>
      <c r="H923" s="227" t="s">
        <v>55</v>
      </c>
      <c r="I923" s="273" t="n">
        <v>11402.32</v>
      </c>
      <c r="J923" s="228" t="n">
        <v>11402.32</v>
      </c>
      <c r="K923" s="228" t="n">
        <v>11402.32</v>
      </c>
      <c r="L923" s="214" t="n">
        <v>0</v>
      </c>
      <c r="M923" s="228" t="n">
        <v>11402.32</v>
      </c>
      <c r="N923" s="228"/>
      <c r="Q923" s="212"/>
      <c r="R923" s="212"/>
      <c r="S923" s="291"/>
    </row>
    <row r="924" customFormat="false" ht="15" hidden="true" customHeight="false" outlineLevel="0" collapsed="false">
      <c r="B924" s="208" t="n">
        <v>2023</v>
      </c>
      <c r="C924" s="209" t="n">
        <v>11</v>
      </c>
      <c r="D924" s="226" t="s">
        <v>59</v>
      </c>
      <c r="E924" s="221" t="n">
        <v>0</v>
      </c>
      <c r="F924" s="221" t="n">
        <v>0</v>
      </c>
      <c r="G924" s="221" t="n">
        <v>0</v>
      </c>
      <c r="H924" s="229" t="s">
        <v>134</v>
      </c>
      <c r="I924" s="273" t="n">
        <v>0</v>
      </c>
      <c r="J924" s="228" t="n">
        <v>11000</v>
      </c>
      <c r="K924" s="228" t="n">
        <v>0</v>
      </c>
      <c r="L924" s="214" t="n">
        <v>11000</v>
      </c>
      <c r="M924" s="228" t="n">
        <v>11000</v>
      </c>
      <c r="N924" s="228"/>
      <c r="Q924" s="212"/>
      <c r="R924" s="212"/>
      <c r="S924" s="291"/>
    </row>
    <row r="925" customFormat="false" ht="15" hidden="true" customHeight="false" outlineLevel="0" collapsed="false">
      <c r="B925" s="208" t="n">
        <v>2023</v>
      </c>
      <c r="C925" s="209" t="n">
        <v>11</v>
      </c>
      <c r="D925" s="226" t="s">
        <v>59</v>
      </c>
      <c r="E925" s="221" t="n">
        <v>0</v>
      </c>
      <c r="F925" s="221" t="n">
        <v>0</v>
      </c>
      <c r="G925" s="221" t="n">
        <v>0</v>
      </c>
      <c r="H925" s="229" t="s">
        <v>312</v>
      </c>
      <c r="I925" s="273" t="n">
        <v>0</v>
      </c>
      <c r="J925" s="228" t="n">
        <v>4000</v>
      </c>
      <c r="K925" s="228" t="n">
        <v>0</v>
      </c>
      <c r="L925" s="214" t="n">
        <v>4000</v>
      </c>
      <c r="M925" s="228" t="n">
        <v>4000</v>
      </c>
      <c r="N925" s="228"/>
      <c r="Q925" s="212"/>
      <c r="R925" s="212"/>
      <c r="S925" s="291"/>
    </row>
    <row r="926" customFormat="false" ht="15" hidden="true" customHeight="false" outlineLevel="0" collapsed="false">
      <c r="B926" s="208" t="n">
        <v>2023</v>
      </c>
      <c r="C926" s="209" t="n">
        <v>11</v>
      </c>
      <c r="D926" s="230" t="s">
        <v>59</v>
      </c>
      <c r="E926" s="231" t="n">
        <v>0</v>
      </c>
      <c r="F926" s="231" t="n">
        <v>0</v>
      </c>
      <c r="G926" s="232" t="n">
        <v>0</v>
      </c>
      <c r="H926" s="229" t="s">
        <v>135</v>
      </c>
      <c r="I926" s="237" t="n">
        <v>0</v>
      </c>
      <c r="J926" s="228" t="n">
        <v>11000</v>
      </c>
      <c r="K926" s="228" t="n">
        <v>0</v>
      </c>
      <c r="L926" s="214" t="n">
        <v>11000</v>
      </c>
      <c r="M926" s="228" t="n">
        <v>11000</v>
      </c>
      <c r="N926" s="228"/>
      <c r="Q926" s="212"/>
      <c r="R926" s="212"/>
      <c r="S926" s="291"/>
    </row>
    <row r="927" customFormat="false" ht="15" hidden="true" customHeight="false" outlineLevel="0" collapsed="false">
      <c r="B927" s="208" t="n">
        <v>2023</v>
      </c>
      <c r="C927" s="209" t="n">
        <v>11</v>
      </c>
      <c r="D927" s="226" t="s">
        <v>59</v>
      </c>
      <c r="E927" s="221" t="n">
        <v>0</v>
      </c>
      <c r="F927" s="221" t="n">
        <v>0</v>
      </c>
      <c r="G927" s="221" t="n">
        <v>0</v>
      </c>
      <c r="H927" s="229" t="s">
        <v>335</v>
      </c>
      <c r="I927" s="273" t="n">
        <v>0</v>
      </c>
      <c r="J927" s="228" t="n">
        <v>7000</v>
      </c>
      <c r="K927" s="228" t="n">
        <v>0</v>
      </c>
      <c r="L927" s="214" t="n">
        <v>7000</v>
      </c>
      <c r="M927" s="228" t="n">
        <v>7000</v>
      </c>
      <c r="N927" s="228"/>
      <c r="Q927" s="212"/>
      <c r="R927" s="212"/>
      <c r="S927" s="291"/>
    </row>
    <row r="928" customFormat="false" ht="15" hidden="true" customHeight="false" outlineLevel="0" collapsed="false">
      <c r="B928" s="208" t="n">
        <v>2023</v>
      </c>
      <c r="C928" s="209" t="n">
        <v>11</v>
      </c>
      <c r="D928" s="226" t="s">
        <v>59</v>
      </c>
      <c r="E928" s="221" t="n">
        <v>0</v>
      </c>
      <c r="F928" s="221" t="n">
        <v>0</v>
      </c>
      <c r="G928" s="221" t="n">
        <v>0</v>
      </c>
      <c r="H928" s="13" t="s">
        <v>344</v>
      </c>
      <c r="I928" s="273" t="n">
        <v>0</v>
      </c>
      <c r="J928" s="228" t="n">
        <v>6500</v>
      </c>
      <c r="K928" s="228" t="n">
        <v>0</v>
      </c>
      <c r="L928" s="214" t="n">
        <v>6500</v>
      </c>
      <c r="M928" s="228" t="n">
        <v>6500</v>
      </c>
      <c r="N928" s="228"/>
      <c r="Q928" s="212"/>
      <c r="R928" s="212"/>
      <c r="S928" s="291"/>
    </row>
    <row r="929" customFormat="false" ht="15" hidden="true" customHeight="false" outlineLevel="0" collapsed="false">
      <c r="B929" s="208" t="n">
        <v>2023</v>
      </c>
      <c r="C929" s="209" t="n">
        <v>11</v>
      </c>
      <c r="D929" s="226" t="s">
        <v>59</v>
      </c>
      <c r="E929" s="221" t="n">
        <v>0</v>
      </c>
      <c r="F929" s="221" t="n">
        <v>0</v>
      </c>
      <c r="G929" s="221" t="n">
        <v>0</v>
      </c>
      <c r="H929" s="13" t="s">
        <v>345</v>
      </c>
      <c r="I929" s="273" t="n">
        <v>0</v>
      </c>
      <c r="J929" s="228" t="n">
        <v>5000</v>
      </c>
      <c r="K929" s="228" t="n">
        <v>0</v>
      </c>
      <c r="L929" s="214" t="n">
        <v>5000</v>
      </c>
      <c r="M929" s="228" t="n">
        <v>5000</v>
      </c>
      <c r="N929" s="228"/>
      <c r="Q929" s="212"/>
      <c r="R929" s="212"/>
      <c r="S929" s="291"/>
    </row>
    <row r="930" customFormat="false" ht="15" hidden="true" customHeight="false" outlineLevel="0" collapsed="false">
      <c r="B930" s="208" t="n">
        <v>2023</v>
      </c>
      <c r="C930" s="209" t="n">
        <v>11</v>
      </c>
      <c r="D930" s="226" t="s">
        <v>59</v>
      </c>
      <c r="E930" s="221" t="n">
        <v>0</v>
      </c>
      <c r="F930" s="221" t="n">
        <v>0</v>
      </c>
      <c r="G930" s="221" t="n">
        <v>0</v>
      </c>
      <c r="H930" s="13" t="s">
        <v>346</v>
      </c>
      <c r="I930" s="273" t="n">
        <v>0</v>
      </c>
      <c r="J930" s="228" t="n">
        <v>11000</v>
      </c>
      <c r="K930" s="228" t="n">
        <v>0</v>
      </c>
      <c r="L930" s="214" t="n">
        <v>11000</v>
      </c>
      <c r="M930" s="228" t="n">
        <v>11000</v>
      </c>
      <c r="N930" s="228"/>
      <c r="Q930" s="212"/>
      <c r="R930" s="212"/>
      <c r="S930" s="291"/>
    </row>
    <row r="931" customFormat="false" ht="15" hidden="true" customHeight="false" outlineLevel="0" collapsed="false">
      <c r="B931" s="208" t="n">
        <v>2023</v>
      </c>
      <c r="C931" s="209" t="n">
        <v>12</v>
      </c>
      <c r="D931" s="226" t="str">
        <f aca="false">VLOOKUP(H931,PersonelListesi!A$1:K$46,4,FALSE())</f>
        <v>_MUHASEBE</v>
      </c>
      <c r="E931" s="221" t="e">
        <f aca="false">VLOOKUP(H931,PersonelListesi!A$1:K$46,13,FALSE())</f>
        <v>#VALUE!</v>
      </c>
      <c r="F931" s="221" t="e">
        <f aca="false">VLOOKUP(H931,PersonelListesi!A$1:K$46,14,FALSE())</f>
        <v>#VALUE!</v>
      </c>
      <c r="G931" s="221" t="e">
        <f aca="false">VLOOKUP(H931,PersonelListesi!A$1:K$46,15,FALSE())</f>
        <v>#VALUE!</v>
      </c>
      <c r="H931" s="227" t="s">
        <v>79</v>
      </c>
      <c r="I931" s="273" t="e">
        <f aca="false">VLOOKUP(H931,PersonelListesi!A$1:G$42,2,FALSE())+#REF!</f>
        <v>#REF!</v>
      </c>
      <c r="J931" s="228" t="e">
        <f aca="false">VLOOKUP(H931,PersonelListesi!A$1:G$42,6,FALSE())+#REF!</f>
        <v>#REF!</v>
      </c>
      <c r="K931" s="228" t="n">
        <f aca="false">VLOOKUP(H931,PersonelListesi!A$1:G$42,7,FALSE())</f>
        <v>40000</v>
      </c>
      <c r="L931" s="214" t="n">
        <v>10000</v>
      </c>
      <c r="M931" s="228" t="e">
        <f aca="false">#REF!+#REF!</f>
        <v>#REF!</v>
      </c>
      <c r="Q931" s="212"/>
      <c r="R931" s="212"/>
      <c r="S931" s="291"/>
    </row>
    <row r="932" customFormat="false" ht="15" hidden="true" customHeight="false" outlineLevel="0" collapsed="false">
      <c r="B932" s="208" t="n">
        <v>2023</v>
      </c>
      <c r="C932" s="209" t="n">
        <v>12</v>
      </c>
      <c r="D932" s="226" t="e">
        <f aca="false">VLOOKUP(H932,PersonelListesi!A$1:K$46,4,FALSE())</f>
        <v>#N/A</v>
      </c>
      <c r="E932" s="221" t="e">
        <f aca="false">VLOOKUP(H932,PersonelListesi!A$1:K$46,13,FALSE())</f>
        <v>#VALUE!</v>
      </c>
      <c r="F932" s="221" t="e">
        <f aca="false">VLOOKUP(H932,PersonelListesi!A$1:K$46,14,FALSE())</f>
        <v>#VALUE!</v>
      </c>
      <c r="G932" s="221" t="e">
        <f aca="false">VLOOKUP(H932,PersonelListesi!A$1:K$46,15,FALSE())</f>
        <v>#VALUE!</v>
      </c>
      <c r="H932" s="227" t="s">
        <v>188</v>
      </c>
      <c r="I932" s="273" t="e">
        <f aca="false">VLOOKUP(H932,PersonelListesi!A$1:G$42,2,FALSE())+#REF!</f>
        <v>#N/A</v>
      </c>
      <c r="J932" s="228" t="e">
        <f aca="false">VLOOKUP(H932,PersonelListesi!A$1:G$42,6,FALSE())+#REF!</f>
        <v>#N/A</v>
      </c>
      <c r="K932" s="228" t="e">
        <f aca="false">VLOOKUP(H932,PersonelListesi!A$1:G$42,7,FALSE())</f>
        <v>#N/A</v>
      </c>
      <c r="L932" s="214" t="n">
        <v>0</v>
      </c>
      <c r="M932" s="228" t="e">
        <f aca="false">#REF!+#REF!</f>
        <v>#REF!</v>
      </c>
      <c r="Q932" s="212"/>
      <c r="R932" s="212"/>
      <c r="S932" s="291"/>
    </row>
    <row r="933" customFormat="false" ht="15" hidden="true" customHeight="false" outlineLevel="0" collapsed="false">
      <c r="B933" s="208" t="n">
        <v>2023</v>
      </c>
      <c r="C933" s="209" t="n">
        <v>12</v>
      </c>
      <c r="D933" s="226" t="str">
        <f aca="false">VLOOKUP(H933,PersonelListesi!A$1:K$46,4,FALSE())</f>
        <v>_D.ELEMAN</v>
      </c>
      <c r="E933" s="221" t="e">
        <f aca="false">VLOOKUP(H933,PersonelListesi!A$1:K$46,13,FALSE())</f>
        <v>#VALUE!</v>
      </c>
      <c r="F933" s="221" t="e">
        <f aca="false">VLOOKUP(H933,PersonelListesi!A$1:K$46,14,FALSE())</f>
        <v>#VALUE!</v>
      </c>
      <c r="G933" s="221" t="e">
        <f aca="false">VLOOKUP(H933,PersonelListesi!A$1:K$46,15,FALSE())</f>
        <v>#VALUE!</v>
      </c>
      <c r="H933" s="227" t="s">
        <v>81</v>
      </c>
      <c r="I933" s="273" t="e">
        <f aca="false">VLOOKUP(H933,PersonelListesi!A$1:G$42,2,FALSE())+#REF!</f>
        <v>#REF!</v>
      </c>
      <c r="J933" s="228" t="e">
        <f aca="false">VLOOKUP(H933,PersonelListesi!A$1:G$42,6,FALSE())+#REF!</f>
        <v>#REF!</v>
      </c>
      <c r="K933" s="228" t="n">
        <f aca="false">VLOOKUP(H933,PersonelListesi!A$1:G$42,7,FALSE())</f>
        <v>2670</v>
      </c>
      <c r="L933" s="214" t="n">
        <v>47000</v>
      </c>
      <c r="M933" s="228" t="e">
        <f aca="false">#REF!+#REF!</f>
        <v>#REF!</v>
      </c>
      <c r="Q933" s="212"/>
      <c r="R933" s="212"/>
      <c r="S933" s="291"/>
    </row>
    <row r="934" customFormat="false" ht="15" hidden="true" customHeight="false" outlineLevel="0" collapsed="false">
      <c r="B934" s="208" t="n">
        <v>2023</v>
      </c>
      <c r="C934" s="209" t="n">
        <v>12</v>
      </c>
      <c r="D934" s="226" t="str">
        <f aca="false">VLOOKUP(H934,PersonelListesi!A$1:K$46,4,FALSE())</f>
        <v>_MUHASEBE</v>
      </c>
      <c r="E934" s="221" t="e">
        <f aca="false">VLOOKUP(H934,PersonelListesi!A$1:K$46,13,FALSE())</f>
        <v>#VALUE!</v>
      </c>
      <c r="F934" s="221" t="e">
        <f aca="false">VLOOKUP(H934,PersonelListesi!A$1:K$46,14,FALSE())</f>
        <v>#VALUE!</v>
      </c>
      <c r="G934" s="221" t="e">
        <f aca="false">VLOOKUP(H934,PersonelListesi!A$1:K$46,15,FALSE())</f>
        <v>#VALUE!</v>
      </c>
      <c r="H934" s="227" t="s">
        <v>73</v>
      </c>
      <c r="I934" s="273" t="e">
        <f aca="false">VLOOKUP(H934,PersonelListesi!A$1:G$42,2,FALSE())+#REF!</f>
        <v>#REF!</v>
      </c>
      <c r="J934" s="228" t="e">
        <f aca="false">VLOOKUP(H934,PersonelListesi!A$1:G$42,6,FALSE())+#REF!</f>
        <v>#REF!</v>
      </c>
      <c r="K934" s="228" t="n">
        <f aca="false">VLOOKUP(H934,PersonelListesi!A$1:G$42,7,FALSE())</f>
        <v>22104</v>
      </c>
      <c r="L934" s="214" t="n">
        <v>0</v>
      </c>
      <c r="M934" s="228" t="e">
        <f aca="false">#REF!+#REF!</f>
        <v>#REF!</v>
      </c>
      <c r="Q934" s="212"/>
      <c r="R934" s="212"/>
      <c r="S934" s="291"/>
    </row>
    <row r="935" customFormat="false" ht="15" hidden="true" customHeight="false" outlineLevel="0" collapsed="false">
      <c r="B935" s="208" t="n">
        <v>2023</v>
      </c>
      <c r="C935" s="209" t="n">
        <v>12</v>
      </c>
      <c r="D935" s="226" t="str">
        <f aca="false">VLOOKUP(H935,PersonelListesi!A$1:K$46,4,FALSE())</f>
        <v>_D.ELEMAN</v>
      </c>
      <c r="E935" s="221" t="e">
        <f aca="false">VLOOKUP(H935,PersonelListesi!A$1:K$46,13,FALSE())</f>
        <v>#VALUE!</v>
      </c>
      <c r="F935" s="221" t="e">
        <f aca="false">VLOOKUP(H935,PersonelListesi!A$1:K$46,14,FALSE())</f>
        <v>#VALUE!</v>
      </c>
      <c r="G935" s="221" t="e">
        <f aca="false">VLOOKUP(H935,PersonelListesi!A$1:K$46,15,FALSE())</f>
        <v>#VALUE!</v>
      </c>
      <c r="H935" s="227" t="s">
        <v>85</v>
      </c>
      <c r="I935" s="273" t="e">
        <f aca="false">VLOOKUP(H935,PersonelListesi!A$1:G$42,2,FALSE())+#REF!</f>
        <v>#REF!</v>
      </c>
      <c r="J935" s="228" t="e">
        <f aca="false">VLOOKUP(H935,PersonelListesi!A$1:G$42,6,FALSE())+#REF!</f>
        <v>#REF!</v>
      </c>
      <c r="K935" s="228" t="n">
        <f aca="false">VLOOKUP(H935,PersonelListesi!A$1:G$42,7,FALSE())</f>
        <v>1670</v>
      </c>
      <c r="L935" s="214" t="n">
        <v>38330</v>
      </c>
      <c r="M935" s="228" t="e">
        <f aca="false">#REF!+#REF!</f>
        <v>#REF!</v>
      </c>
      <c r="Q935" s="212"/>
      <c r="R935" s="212"/>
      <c r="S935" s="291"/>
    </row>
    <row r="936" customFormat="false" ht="15" hidden="true" customHeight="false" outlineLevel="0" collapsed="false">
      <c r="B936" s="208" t="n">
        <v>2023</v>
      </c>
      <c r="C936" s="209" t="n">
        <v>12</v>
      </c>
      <c r="D936" s="226" t="str">
        <f aca="false">VLOOKUP(H936,PersonelListesi!A$1:K$46,4,FALSE())</f>
        <v>_D.ELEMAN</v>
      </c>
      <c r="E936" s="221" t="e">
        <f aca="false">VLOOKUP(H936,PersonelListesi!A$1:K$46,13,FALSE())</f>
        <v>#VALUE!</v>
      </c>
      <c r="F936" s="221" t="e">
        <f aca="false">VLOOKUP(H936,PersonelListesi!A$1:K$46,14,FALSE())</f>
        <v>#VALUE!</v>
      </c>
      <c r="G936" s="221" t="e">
        <f aca="false">VLOOKUP(H936,PersonelListesi!A$1:K$46,15,FALSE())</f>
        <v>#VALUE!</v>
      </c>
      <c r="H936" s="227" t="s">
        <v>87</v>
      </c>
      <c r="I936" s="273" t="e">
        <f aca="false">VLOOKUP(H936,PersonelListesi!A$1:G$42,2,FALSE())+#REF!</f>
        <v>#REF!</v>
      </c>
      <c r="J936" s="228" t="e">
        <f aca="false">VLOOKUP(H936,PersonelListesi!A$1:G$42,6,FALSE())+#REF!</f>
        <v>#REF!</v>
      </c>
      <c r="K936" s="228" t="n">
        <f aca="false">VLOOKUP(H936,PersonelListesi!A$1:G$42,7,FALSE())</f>
        <v>40000</v>
      </c>
      <c r="L936" s="214" t="n">
        <v>5000</v>
      </c>
      <c r="M936" s="228" t="e">
        <f aca="false">#REF!+#REF!</f>
        <v>#REF!</v>
      </c>
      <c r="Q936" s="212"/>
      <c r="R936" s="212"/>
      <c r="S936" s="291"/>
    </row>
    <row r="937" customFormat="false" ht="15" hidden="true" customHeight="false" outlineLevel="0" collapsed="false">
      <c r="B937" s="208" t="n">
        <v>2023</v>
      </c>
      <c r="C937" s="209" t="n">
        <v>12</v>
      </c>
      <c r="D937" s="226" t="str">
        <f aca="false">VLOOKUP(H937,PersonelListesi!A$1:K$46,4,FALSE())</f>
        <v>_OPERATÖR</v>
      </c>
      <c r="E937" s="221" t="e">
        <f aca="false">VLOOKUP(H937,PersonelListesi!A$1:K$46,13,FALSE())</f>
        <v>#VALUE!</v>
      </c>
      <c r="F937" s="221" t="e">
        <f aca="false">VLOOKUP(H937,PersonelListesi!A$1:K$46,14,FALSE())</f>
        <v>#VALUE!</v>
      </c>
      <c r="G937" s="221" t="e">
        <f aca="false">VLOOKUP(H937,PersonelListesi!A$1:K$46,15,FALSE())</f>
        <v>#VALUE!</v>
      </c>
      <c r="H937" s="227" t="s">
        <v>93</v>
      </c>
      <c r="I937" s="273" t="e">
        <f aca="false">VLOOKUP(H937,PersonelListesi!A$1:G$42,2,FALSE())+#REF!</f>
        <v>#REF!</v>
      </c>
      <c r="J937" s="228" t="e">
        <f aca="false">VLOOKUP(H937,PersonelListesi!A$1:G$42,6,FALSE())+#REF!</f>
        <v>#REF!</v>
      </c>
      <c r="K937" s="228" t="n">
        <f aca="false">VLOOKUP(H937,PersonelListesi!A$1:G$42,7,FALSE())</f>
        <v>2335</v>
      </c>
      <c r="L937" s="214" t="n">
        <v>27665</v>
      </c>
      <c r="M937" s="228" t="e">
        <f aca="false">#REF!+#REF!</f>
        <v>#REF!</v>
      </c>
      <c r="N937" s="213" t="n">
        <v>-10000</v>
      </c>
      <c r="O937" s="212" t="s">
        <v>197</v>
      </c>
      <c r="Q937" s="212"/>
      <c r="R937" s="212"/>
      <c r="S937" s="291"/>
    </row>
    <row r="938" customFormat="false" ht="15" hidden="true" customHeight="false" outlineLevel="0" collapsed="false">
      <c r="B938" s="208" t="n">
        <v>2023</v>
      </c>
      <c r="C938" s="209" t="n">
        <v>12</v>
      </c>
      <c r="D938" s="226" t="str">
        <f aca="false">VLOOKUP(H938,PersonelListesi!A$1:K$46,4,FALSE())</f>
        <v>_ŞOFÖR</v>
      </c>
      <c r="E938" s="221" t="e">
        <f aca="false">VLOOKUP(H938,PersonelListesi!A$1:K$46,13,FALSE())</f>
        <v>#VALUE!</v>
      </c>
      <c r="F938" s="221" t="e">
        <f aca="false">VLOOKUP(H938,PersonelListesi!A$1:K$46,14,FALSE())</f>
        <v>#VALUE!</v>
      </c>
      <c r="G938" s="221" t="e">
        <f aca="false">VLOOKUP(H938,PersonelListesi!A$1:K$46,15,FALSE())</f>
        <v>#VALUE!</v>
      </c>
      <c r="H938" s="227" t="s">
        <v>95</v>
      </c>
      <c r="I938" s="273" t="e">
        <f aca="false">VLOOKUP(H938,PersonelListesi!A$1:G$42,2,FALSE())+#REF!</f>
        <v>#REF!</v>
      </c>
      <c r="J938" s="228" t="e">
        <f aca="false">VLOOKUP(H938,PersonelListesi!A$1:G$42,6,FALSE())+#REF!</f>
        <v>#REF!</v>
      </c>
      <c r="K938" s="228" t="n">
        <f aca="false">VLOOKUP(H938,PersonelListesi!A$1:G$42,7,FALSE())</f>
        <v>2000</v>
      </c>
      <c r="L938" s="214" t="n">
        <v>35499.9</v>
      </c>
      <c r="M938" s="228" t="e">
        <f aca="false">#REF!+#REF!</f>
        <v>#REF!</v>
      </c>
      <c r="Q938" s="212"/>
      <c r="R938" s="212"/>
      <c r="S938" s="291"/>
    </row>
    <row r="939" customFormat="false" ht="15" hidden="true" customHeight="false" outlineLevel="0" collapsed="false">
      <c r="B939" s="208" t="n">
        <v>2023</v>
      </c>
      <c r="C939" s="209" t="n">
        <v>12</v>
      </c>
      <c r="D939" s="226" t="str">
        <f aca="false">VLOOKUP(H939,PersonelListesi!A$1:K$46,4,FALSE())</f>
        <v>_OPERATÖR</v>
      </c>
      <c r="E939" s="221" t="e">
        <f aca="false">VLOOKUP(H939,PersonelListesi!A$1:K$46,13,FALSE())</f>
        <v>#VALUE!</v>
      </c>
      <c r="F939" s="221" t="e">
        <f aca="false">VLOOKUP(H939,PersonelListesi!A$1:K$46,14,FALSE())</f>
        <v>#VALUE!</v>
      </c>
      <c r="G939" s="221" t="e">
        <f aca="false">VLOOKUP(H939,PersonelListesi!A$1:K$46,15,FALSE())</f>
        <v>#VALUE!</v>
      </c>
      <c r="H939" s="227" t="s">
        <v>103</v>
      </c>
      <c r="I939" s="273" t="e">
        <f aca="false">VLOOKUP(H939,PersonelListesi!A$1:G$42,2,FALSE())+#REF!</f>
        <v>#REF!</v>
      </c>
      <c r="J939" s="228" t="e">
        <f aca="false">VLOOKUP(H939,PersonelListesi!A$1:G$42,6,FALSE())+#REF!</f>
        <v>#REF!</v>
      </c>
      <c r="K939" s="228" t="n">
        <f aca="false">VLOOKUP(H939,PersonelListesi!A$1:G$42,7,FALSE())</f>
        <v>2335</v>
      </c>
      <c r="L939" s="214" t="n">
        <v>40165</v>
      </c>
      <c r="M939" s="228" t="e">
        <f aca="false">#REF!+#REF!</f>
        <v>#REF!</v>
      </c>
      <c r="Q939" s="212"/>
      <c r="R939" s="212"/>
      <c r="S939" s="291"/>
    </row>
    <row r="940" customFormat="false" ht="15" hidden="true" customHeight="false" outlineLevel="0" collapsed="false">
      <c r="B940" s="208" t="n">
        <v>2023</v>
      </c>
      <c r="C940" s="209" t="n">
        <v>12</v>
      </c>
      <c r="D940" s="226" t="str">
        <f aca="false">VLOOKUP(H940,PersonelListesi!A$1:K$46,4,FALSE())</f>
        <v>_MÜHNEDİS</v>
      </c>
      <c r="E940" s="221" t="e">
        <f aca="false">VLOOKUP(H940,PersonelListesi!A$1:K$46,13,FALSE())</f>
        <v>#VALUE!</v>
      </c>
      <c r="F940" s="221" t="e">
        <f aca="false">VLOOKUP(H940,PersonelListesi!A$1:K$46,14,FALSE())</f>
        <v>#VALUE!</v>
      </c>
      <c r="G940" s="221" t="e">
        <f aca="false">VLOOKUP(H940,PersonelListesi!A$1:K$46,15,FALSE())</f>
        <v>#VALUE!</v>
      </c>
      <c r="H940" s="227" t="s">
        <v>97</v>
      </c>
      <c r="I940" s="273" t="e">
        <f aca="false">VLOOKUP(H940,PersonelListesi!A$1:G$42,2,FALSE())+#REF!</f>
        <v>#REF!</v>
      </c>
      <c r="J940" s="228" t="e">
        <f aca="false">VLOOKUP(H940,PersonelListesi!A$1:G$42,6,FALSE())+#REF!</f>
        <v>#REF!</v>
      </c>
      <c r="K940" s="228" t="n">
        <f aca="false">VLOOKUP(H940,PersonelListesi!A$1:G$42,7,FALSE())</f>
        <v>35000</v>
      </c>
      <c r="L940" s="214" t="n">
        <v>15000</v>
      </c>
      <c r="M940" s="228" t="e">
        <f aca="false">#REF!+#REF!</f>
        <v>#REF!</v>
      </c>
      <c r="Q940" s="212"/>
      <c r="R940" s="212"/>
      <c r="S940" s="291"/>
    </row>
    <row r="941" customFormat="false" ht="15" hidden="true" customHeight="false" outlineLevel="0" collapsed="false">
      <c r="B941" s="208" t="n">
        <v>2023</v>
      </c>
      <c r="C941" s="209" t="n">
        <v>12</v>
      </c>
      <c r="D941" s="226" t="str">
        <f aca="false">VLOOKUP(H941,PersonelListesi!A$1:K$46,4,FALSE())</f>
        <v>_KANTAR</v>
      </c>
      <c r="E941" s="221" t="e">
        <f aca="false">VLOOKUP(H941,PersonelListesi!A$1:K$46,13,FALSE())</f>
        <v>#VALUE!</v>
      </c>
      <c r="F941" s="221" t="e">
        <f aca="false">VLOOKUP(H941,PersonelListesi!A$1:K$46,14,FALSE())</f>
        <v>#VALUE!</v>
      </c>
      <c r="G941" s="221" t="e">
        <f aca="false">VLOOKUP(H941,PersonelListesi!A$1:K$46,15,FALSE())</f>
        <v>#VALUE!</v>
      </c>
      <c r="H941" s="227" t="s">
        <v>100</v>
      </c>
      <c r="I941" s="273" t="e">
        <f aca="false">VLOOKUP(H941,PersonelListesi!A$1:G$42,2,FALSE())+#REF!</f>
        <v>#REF!</v>
      </c>
      <c r="J941" s="228" t="e">
        <f aca="false">VLOOKUP(H941,PersonelListesi!A$1:G$42,6,FALSE())+#REF!</f>
        <v>#REF!</v>
      </c>
      <c r="K941" s="228" t="n">
        <f aca="false">VLOOKUP(H941,PersonelListesi!A$1:G$42,7,FALSE())</f>
        <v>33000</v>
      </c>
      <c r="L941" s="214" t="n">
        <v>0</v>
      </c>
      <c r="M941" s="228" t="e">
        <f aca="false">#REF!+#REF!</f>
        <v>#REF!</v>
      </c>
      <c r="Q941" s="212"/>
      <c r="R941" s="212"/>
      <c r="S941" s="291"/>
    </row>
    <row r="942" customFormat="false" ht="15" hidden="true" customHeight="false" outlineLevel="0" collapsed="false">
      <c r="B942" s="208" t="n">
        <v>2023</v>
      </c>
      <c r="C942" s="209" t="n">
        <v>12</v>
      </c>
      <c r="D942" s="226" t="e">
        <f aca="false">VLOOKUP(H942,PersonelListesi!A$1:K$46,4,FALSE())</f>
        <v>#N/A</v>
      </c>
      <c r="E942" s="221" t="e">
        <f aca="false">VLOOKUP(H942,PersonelListesi!A$1:K$46,13,FALSE())</f>
        <v>#VALUE!</v>
      </c>
      <c r="F942" s="221" t="e">
        <f aca="false">VLOOKUP(H942,PersonelListesi!A$1:K$46,14,FALSE())</f>
        <v>#VALUE!</v>
      </c>
      <c r="G942" s="221" t="e">
        <f aca="false">VLOOKUP(H942,PersonelListesi!A$1:K$46,15,FALSE())</f>
        <v>#VALUE!</v>
      </c>
      <c r="H942" s="227" t="s">
        <v>190</v>
      </c>
      <c r="I942" s="273" t="e">
        <f aca="false">VLOOKUP(H942,PersonelListesi!A$1:G$42,2,FALSE())+#REF!</f>
        <v>#N/A</v>
      </c>
      <c r="J942" s="228" t="e">
        <f aca="false">VLOOKUP(H942,PersonelListesi!A$1:G$42,6,FALSE())+#REF!</f>
        <v>#N/A</v>
      </c>
      <c r="K942" s="228" t="e">
        <f aca="false">VLOOKUP(H942,PersonelListesi!A$1:G$42,7,FALSE())</f>
        <v>#N/A</v>
      </c>
      <c r="L942" s="214" t="e">
        <f aca="false">#N/A</f>
        <v>#N/A</v>
      </c>
      <c r="M942" s="228" t="e">
        <f aca="false">#REF!+#REF!</f>
        <v>#REF!</v>
      </c>
      <c r="Q942" s="212"/>
      <c r="R942" s="212"/>
      <c r="S942" s="291"/>
    </row>
    <row r="943" customFormat="false" ht="15" hidden="true" customHeight="false" outlineLevel="0" collapsed="false">
      <c r="B943" s="208" t="n">
        <v>2023</v>
      </c>
      <c r="C943" s="209" t="n">
        <v>12</v>
      </c>
      <c r="D943" s="226" t="e">
        <f aca="false">VLOOKUP(H943,PersonelListesi!A$1:K$46,4,FALSE())</f>
        <v>#N/A</v>
      </c>
      <c r="E943" s="221" t="e">
        <f aca="false">VLOOKUP(H943,PersonelListesi!A$1:K$46,13,FALSE())</f>
        <v>#VALUE!</v>
      </c>
      <c r="F943" s="221" t="e">
        <f aca="false">VLOOKUP(H943,PersonelListesi!A$1:K$46,14,FALSE())</f>
        <v>#VALUE!</v>
      </c>
      <c r="G943" s="221" t="e">
        <f aca="false">VLOOKUP(H943,PersonelListesi!A$1:K$46,15,FALSE())</f>
        <v>#VALUE!</v>
      </c>
      <c r="H943" s="227" t="s">
        <v>191</v>
      </c>
      <c r="I943" s="273" t="e">
        <f aca="false">VLOOKUP(H943,PersonelListesi!A$1:G$42,2,FALSE())+#REF!</f>
        <v>#N/A</v>
      </c>
      <c r="J943" s="228" t="e">
        <f aca="false">VLOOKUP(H943,PersonelListesi!A$1:G$42,6,FALSE())+#REF!</f>
        <v>#N/A</v>
      </c>
      <c r="K943" s="228" t="e">
        <f aca="false">VLOOKUP(H943,PersonelListesi!A$1:G$42,7,FALSE())</f>
        <v>#N/A</v>
      </c>
      <c r="L943" s="214" t="n">
        <v>0</v>
      </c>
      <c r="M943" s="228" t="e">
        <f aca="false">#REF!+#REF!</f>
        <v>#REF!</v>
      </c>
      <c r="Q943" s="212"/>
      <c r="R943" s="212"/>
      <c r="S943" s="291"/>
    </row>
    <row r="944" customFormat="false" ht="15" hidden="true" customHeight="false" outlineLevel="0" collapsed="false">
      <c r="B944" s="208" t="n">
        <v>2023</v>
      </c>
      <c r="C944" s="209" t="n">
        <v>12</v>
      </c>
      <c r="D944" s="226" t="str">
        <f aca="false">VLOOKUP(H944,PersonelListesi!A$1:K$46,4,FALSE())</f>
        <v>_AİLE</v>
      </c>
      <c r="E944" s="221" t="e">
        <f aca="false">VLOOKUP(H944,PersonelListesi!A$1:K$46,13,FALSE())</f>
        <v>#VALUE!</v>
      </c>
      <c r="F944" s="221" t="e">
        <f aca="false">VLOOKUP(H944,PersonelListesi!A$1:K$46,14,FALSE())</f>
        <v>#VALUE!</v>
      </c>
      <c r="G944" s="221" t="e">
        <f aca="false">VLOOKUP(H944,PersonelListesi!A$1:K$46,15,FALSE())</f>
        <v>#VALUE!</v>
      </c>
      <c r="H944" s="227" t="s">
        <v>127</v>
      </c>
      <c r="I944" s="273" t="e">
        <f aca="false">VLOOKUP(H944,PersonelListesi!A$1:G$42,2,FALSE())+#REF!</f>
        <v>#REF!</v>
      </c>
      <c r="J944" s="228" t="e">
        <f aca="false">VLOOKUP(H944,PersonelListesi!A$1:G$42,6,FALSE())+#REF!</f>
        <v>#REF!</v>
      </c>
      <c r="K944" s="228" t="n">
        <f aca="false">VLOOKUP(H944,PersonelListesi!A$1:G$42,7,FALSE())</f>
        <v>0</v>
      </c>
      <c r="L944" s="214" t="e">
        <f aca="false">#N/A</f>
        <v>#N/A</v>
      </c>
      <c r="M944" s="228" t="e">
        <f aca="false">#REF!+#REF!</f>
        <v>#REF!</v>
      </c>
      <c r="Q944" s="212"/>
      <c r="R944" s="212"/>
      <c r="S944" s="291"/>
    </row>
    <row r="945" customFormat="false" ht="15" hidden="true" customHeight="false" outlineLevel="0" collapsed="false">
      <c r="B945" s="208" t="n">
        <v>2023</v>
      </c>
      <c r="C945" s="209" t="n">
        <v>12</v>
      </c>
      <c r="D945" s="226" t="e">
        <f aca="false">VLOOKUP(H945,PersonelListesi!A$1:K$46,4,FALSE())</f>
        <v>#N/A</v>
      </c>
      <c r="E945" s="221" t="e">
        <f aca="false">VLOOKUP(H945,PersonelListesi!A$1:K$46,13,FALSE())</f>
        <v>#VALUE!</v>
      </c>
      <c r="F945" s="221" t="e">
        <f aca="false">VLOOKUP(H945,PersonelListesi!A$1:K$46,14,FALSE())</f>
        <v>#VALUE!</v>
      </c>
      <c r="G945" s="221" t="e">
        <f aca="false">VLOOKUP(H945,PersonelListesi!A$1:K$46,15,FALSE())</f>
        <v>#VALUE!</v>
      </c>
      <c r="H945" s="227" t="s">
        <v>74</v>
      </c>
      <c r="I945" s="273" t="e">
        <f aca="false">VLOOKUP(H945,PersonelListesi!A$1:G$42,2,FALSE())+#REF!</f>
        <v>#N/A</v>
      </c>
      <c r="J945" s="228" t="e">
        <f aca="false">VLOOKUP(H945,PersonelListesi!A$1:G$42,6,FALSE())+#REF!</f>
        <v>#N/A</v>
      </c>
      <c r="K945" s="228" t="e">
        <f aca="false">VLOOKUP(H945,PersonelListesi!A$1:G$42,7,FALSE())</f>
        <v>#N/A</v>
      </c>
      <c r="L945" s="214" t="e">
        <f aca="false">#N/A</f>
        <v>#N/A</v>
      </c>
      <c r="M945" s="228" t="e">
        <f aca="false">#REF!+#REF!</f>
        <v>#REF!</v>
      </c>
      <c r="Q945" s="212"/>
      <c r="R945" s="212"/>
      <c r="S945" s="291"/>
    </row>
    <row r="946" customFormat="false" ht="15" hidden="true" customHeight="false" outlineLevel="0" collapsed="false">
      <c r="B946" s="208" t="n">
        <v>2023</v>
      </c>
      <c r="C946" s="209" t="n">
        <v>12</v>
      </c>
      <c r="D946" s="226" t="e">
        <f aca="false">VLOOKUP(H946,PersonelListesi!A$1:K$46,4,FALSE())</f>
        <v>#N/A</v>
      </c>
      <c r="E946" s="221" t="e">
        <f aca="false">VLOOKUP(H946,PersonelListesi!A$1:K$46,13,FALSE())</f>
        <v>#VALUE!</v>
      </c>
      <c r="F946" s="221" t="e">
        <f aca="false">VLOOKUP(H946,PersonelListesi!A$1:K$46,14,FALSE())</f>
        <v>#VALUE!</v>
      </c>
      <c r="G946" s="221" t="e">
        <f aca="false">VLOOKUP(H946,PersonelListesi!A$1:K$46,15,FALSE())</f>
        <v>#VALUE!</v>
      </c>
      <c r="H946" s="227" t="s">
        <v>193</v>
      </c>
      <c r="I946" s="273" t="e">
        <f aca="false">VLOOKUP(H946,PersonelListesi!A$1:G$42,2,FALSE())+#REF!</f>
        <v>#N/A</v>
      </c>
      <c r="J946" s="228" t="e">
        <f aca="false">VLOOKUP(H946,PersonelListesi!A$1:G$42,6,FALSE())+#REF!</f>
        <v>#N/A</v>
      </c>
      <c r="K946" s="228" t="e">
        <f aca="false">VLOOKUP(H946,PersonelListesi!A$1:G$42,7,FALSE())</f>
        <v>#N/A</v>
      </c>
      <c r="L946" s="214" t="e">
        <f aca="false">#N/A</f>
        <v>#N/A</v>
      </c>
      <c r="M946" s="228" t="e">
        <f aca="false">#REF!+#REF!</f>
        <v>#REF!</v>
      </c>
      <c r="O946" s="212" t="s">
        <v>194</v>
      </c>
      <c r="Q946" s="212"/>
      <c r="R946" s="212"/>
      <c r="S946" s="291"/>
    </row>
    <row r="947" customFormat="false" ht="15" hidden="true" customHeight="false" outlineLevel="0" collapsed="false">
      <c r="B947" s="208" t="n">
        <v>2023</v>
      </c>
      <c r="C947" s="209" t="n">
        <v>12</v>
      </c>
      <c r="D947" s="226" t="e">
        <f aca="false">VLOOKUP(H947,PersonelListesi!A$1:K$46,4,FALSE())</f>
        <v>#N/A</v>
      </c>
      <c r="E947" s="221" t="e">
        <f aca="false">VLOOKUP(H947,PersonelListesi!A$1:K$46,13,FALSE())</f>
        <v>#VALUE!</v>
      </c>
      <c r="F947" s="221" t="e">
        <f aca="false">VLOOKUP(H947,PersonelListesi!A$1:K$46,14,FALSE())</f>
        <v>#VALUE!</v>
      </c>
      <c r="G947" s="221" t="e">
        <f aca="false">VLOOKUP(H947,PersonelListesi!A$1:K$46,15,FALSE())</f>
        <v>#VALUE!</v>
      </c>
      <c r="H947" s="229" t="s">
        <v>195</v>
      </c>
      <c r="I947" s="273" t="e">
        <f aca="false">VLOOKUP(H947,PersonelListesi!A$1:G$42,2,FALSE())+#REF!</f>
        <v>#N/A</v>
      </c>
      <c r="J947" s="228" t="e">
        <f aca="false">VLOOKUP(H947,PersonelListesi!A$1:G$42,6,FALSE())+#REF!</f>
        <v>#N/A</v>
      </c>
      <c r="K947" s="228" t="e">
        <f aca="false">VLOOKUP(H947,PersonelListesi!A$1:G$42,7,FALSE())</f>
        <v>#N/A</v>
      </c>
      <c r="L947" s="214" t="e">
        <f aca="false">#N/A</f>
        <v>#N/A</v>
      </c>
      <c r="M947" s="228" t="e">
        <f aca="false">#REF!+#REF!</f>
        <v>#REF!</v>
      </c>
      <c r="Q947" s="212"/>
      <c r="R947" s="212"/>
      <c r="S947" s="291"/>
    </row>
    <row r="948" customFormat="false" ht="15" hidden="true" customHeight="false" outlineLevel="0" collapsed="false">
      <c r="B948" s="208" t="n">
        <v>2023</v>
      </c>
      <c r="C948" s="209" t="n">
        <v>12</v>
      </c>
      <c r="D948" s="226" t="str">
        <f aca="false">VLOOKUP(H948,PersonelListesi!A$1:K$46,4,FALSE())</f>
        <v>_OPERATÖR</v>
      </c>
      <c r="E948" s="221" t="e">
        <f aca="false">VLOOKUP(H948,PersonelListesi!A$1:K$46,13,FALSE())</f>
        <v>#VALUE!</v>
      </c>
      <c r="F948" s="221" t="e">
        <f aca="false">VLOOKUP(H948,PersonelListesi!A$1:K$46,14,FALSE())</f>
        <v>#VALUE!</v>
      </c>
      <c r="G948" s="221" t="e">
        <f aca="false">VLOOKUP(H948,PersonelListesi!A$1:K$46,15,FALSE())</f>
        <v>#VALUE!</v>
      </c>
      <c r="H948" s="229" t="s">
        <v>122</v>
      </c>
      <c r="I948" s="273" t="e">
        <f aca="false">VLOOKUP(H948,PersonelListesi!A$1:G$42,2,FALSE())+#REF!</f>
        <v>#REF!</v>
      </c>
      <c r="J948" s="228" t="e">
        <f aca="false">VLOOKUP(H948,PersonelListesi!A$1:G$42,6,FALSE())+#REF!</f>
        <v>#REF!</v>
      </c>
      <c r="K948" s="228" t="n">
        <f aca="false">VLOOKUP(H948,PersonelListesi!A$1:G$42,7,FALSE())</f>
        <v>2335</v>
      </c>
      <c r="L948" s="214" t="e">
        <f aca="false">#N/A</f>
        <v>#N/A</v>
      </c>
      <c r="M948" s="228" t="e">
        <f aca="false">#REF!+#REF!</f>
        <v>#REF!</v>
      </c>
      <c r="Q948" s="212"/>
      <c r="R948" s="212"/>
      <c r="S948" s="291"/>
    </row>
    <row r="949" customFormat="false" ht="15" hidden="true" customHeight="false" outlineLevel="0" collapsed="false">
      <c r="B949" s="208" t="n">
        <v>2023</v>
      </c>
      <c r="C949" s="209" t="n">
        <v>12</v>
      </c>
      <c r="D949" s="226" t="e">
        <f aca="false">VLOOKUP(H949,PersonelListesi!A$1:K$46,4,FALSE())</f>
        <v>#N/A</v>
      </c>
      <c r="E949" s="221" t="e">
        <f aca="false">VLOOKUP(H949,PersonelListesi!A$1:K$46,13,FALSE())</f>
        <v>#VALUE!</v>
      </c>
      <c r="F949" s="221" t="e">
        <f aca="false">VLOOKUP(H949,PersonelListesi!A$1:K$46,14,FALSE())</f>
        <v>#VALUE!</v>
      </c>
      <c r="G949" s="221" t="e">
        <f aca="false">VLOOKUP(H949,PersonelListesi!A$1:K$46,15,FALSE())</f>
        <v>#VALUE!</v>
      </c>
      <c r="H949" s="229" t="s">
        <v>196</v>
      </c>
      <c r="I949" s="273" t="e">
        <f aca="false">VLOOKUP(H949,PersonelListesi!A$1:G$42,2,FALSE())+#REF!</f>
        <v>#N/A</v>
      </c>
      <c r="J949" s="228" t="e">
        <f aca="false">VLOOKUP(H949,PersonelListesi!A$1:G$42,6,FALSE())+#REF!</f>
        <v>#N/A</v>
      </c>
      <c r="K949" s="228" t="e">
        <f aca="false">VLOOKUP(H949,PersonelListesi!A$1:G$42,7,FALSE())</f>
        <v>#N/A</v>
      </c>
      <c r="L949" s="214" t="e">
        <f aca="false">#N/A</f>
        <v>#N/A</v>
      </c>
      <c r="M949" s="228" t="e">
        <f aca="false">#REF!+#REF!</f>
        <v>#REF!</v>
      </c>
      <c r="N949" s="213" t="n">
        <v>-5000</v>
      </c>
      <c r="O949" s="212" t="s">
        <v>197</v>
      </c>
      <c r="Q949" s="212"/>
      <c r="R949" s="212"/>
      <c r="S949" s="291"/>
    </row>
    <row r="950" customFormat="false" ht="15" hidden="true" customHeight="false" outlineLevel="0" collapsed="false">
      <c r="B950" s="208" t="n">
        <v>2023</v>
      </c>
      <c r="C950" s="209" t="n">
        <v>12</v>
      </c>
      <c r="D950" s="226" t="e">
        <f aca="false">VLOOKUP(H950,PersonelListesi!A$1:K$46,4,FALSE())</f>
        <v>#N/A</v>
      </c>
      <c r="E950" s="221" t="e">
        <f aca="false">VLOOKUP(H950,PersonelListesi!A$1:K$46,13,FALSE())</f>
        <v>#VALUE!</v>
      </c>
      <c r="F950" s="221" t="e">
        <f aca="false">VLOOKUP(H950,PersonelListesi!A$1:K$46,14,FALSE())</f>
        <v>#VALUE!</v>
      </c>
      <c r="G950" s="221" t="e">
        <f aca="false">VLOOKUP(H950,PersonelListesi!A$1:K$46,15,FALSE())</f>
        <v>#VALUE!</v>
      </c>
      <c r="H950" s="229" t="s">
        <v>198</v>
      </c>
      <c r="I950" s="273" t="e">
        <f aca="false">VLOOKUP(H950,PersonelListesi!A$1:G$42,2,FALSE())+#REF!</f>
        <v>#N/A</v>
      </c>
      <c r="J950" s="228" t="e">
        <f aca="false">VLOOKUP(H950,PersonelListesi!A$1:G$42,6,FALSE())+#REF!</f>
        <v>#N/A</v>
      </c>
      <c r="K950" s="228" t="e">
        <f aca="false">VLOOKUP(H950,PersonelListesi!A$1:G$42,7,FALSE())</f>
        <v>#N/A</v>
      </c>
      <c r="L950" s="214" t="e">
        <f aca="false">#N/A</f>
        <v>#N/A</v>
      </c>
      <c r="M950" s="228" t="e">
        <f aca="false">#REF!+#REF!</f>
        <v>#REF!</v>
      </c>
      <c r="Q950" s="212"/>
      <c r="R950" s="212"/>
      <c r="S950" s="291"/>
    </row>
    <row r="951" customFormat="false" ht="15" hidden="true" customHeight="false" outlineLevel="0" collapsed="false">
      <c r="B951" s="208" t="n">
        <v>2023</v>
      </c>
      <c r="C951" s="209" t="n">
        <v>12</v>
      </c>
      <c r="D951" s="226" t="e">
        <f aca="false">VLOOKUP(H951,PersonelListesi!A$1:K$46,4,FALSE())</f>
        <v>#N/A</v>
      </c>
      <c r="E951" s="221" t="e">
        <f aca="false">VLOOKUP(H951,PersonelListesi!A$1:K$46,13,FALSE())</f>
        <v>#VALUE!</v>
      </c>
      <c r="F951" s="221" t="e">
        <f aca="false">VLOOKUP(H951,PersonelListesi!A$1:K$46,14,FALSE())</f>
        <v>#VALUE!</v>
      </c>
      <c r="G951" s="221" t="e">
        <f aca="false">VLOOKUP(H951,PersonelListesi!A$1:K$46,15,FALSE())</f>
        <v>#VALUE!</v>
      </c>
      <c r="H951" s="229" t="s">
        <v>199</v>
      </c>
      <c r="I951" s="273" t="e">
        <f aca="false">VLOOKUP(H951,PersonelListesi!A$1:G$42,2,FALSE())+#REF!</f>
        <v>#N/A</v>
      </c>
      <c r="J951" s="228" t="e">
        <f aca="false">VLOOKUP(H951,PersonelListesi!A$1:G$42,6,FALSE())+#REF!</f>
        <v>#N/A</v>
      </c>
      <c r="K951" s="228" t="e">
        <f aca="false">VLOOKUP(H951,PersonelListesi!A$1:G$42,7,FALSE())</f>
        <v>#N/A</v>
      </c>
      <c r="L951" s="214" t="e">
        <f aca="false">#N/A</f>
        <v>#N/A</v>
      </c>
      <c r="M951" s="228" t="e">
        <f aca="false">#REF!+#REF!</f>
        <v>#REF!</v>
      </c>
      <c r="Q951" s="212"/>
      <c r="R951" s="212"/>
      <c r="S951" s="291"/>
    </row>
    <row r="952" customFormat="false" ht="15" hidden="true" customHeight="false" outlineLevel="0" collapsed="false">
      <c r="B952" s="208" t="n">
        <v>2023</v>
      </c>
      <c r="C952" s="209" t="n">
        <v>12</v>
      </c>
      <c r="D952" s="226" t="str">
        <f aca="false">VLOOKUP(H952,PersonelListesi!A$1:K$46,4,FALSE())</f>
        <v>_ŞOFÖR</v>
      </c>
      <c r="E952" s="221" t="e">
        <f aca="false">VLOOKUP(H952,PersonelListesi!A$1:K$46,13,FALSE())</f>
        <v>#VALUE!</v>
      </c>
      <c r="F952" s="221" t="e">
        <f aca="false">VLOOKUP(H952,PersonelListesi!A$1:K$46,14,FALSE())</f>
        <v>#VALUE!</v>
      </c>
      <c r="G952" s="221" t="e">
        <f aca="false">VLOOKUP(H952,PersonelListesi!A$1:K$46,15,FALSE())</f>
        <v>#VALUE!</v>
      </c>
      <c r="H952" s="229" t="s">
        <v>102</v>
      </c>
      <c r="I952" s="273" t="e">
        <f aca="false">VLOOKUP(H952,PersonelListesi!A$1:G$42,2,FALSE())+#REF!</f>
        <v>#REF!</v>
      </c>
      <c r="J952" s="228" t="e">
        <f aca="false">VLOOKUP(H952,PersonelListesi!A$1:G$42,6,FALSE())+#REF!</f>
        <v>#REF!</v>
      </c>
      <c r="K952" s="228" t="n">
        <f aca="false">VLOOKUP(H952,PersonelListesi!A$1:G$42,7,FALSE())</f>
        <v>0</v>
      </c>
      <c r="L952" s="214" t="n">
        <v>33000</v>
      </c>
      <c r="M952" s="228" t="e">
        <f aca="false">#REF!+#REF!</f>
        <v>#REF!</v>
      </c>
      <c r="Q952" s="212"/>
      <c r="R952" s="212"/>
      <c r="S952" s="291"/>
    </row>
    <row r="953" customFormat="false" ht="15" hidden="true" customHeight="false" outlineLevel="0" collapsed="false">
      <c r="B953" s="208" t="n">
        <v>2023</v>
      </c>
      <c r="C953" s="209" t="n">
        <v>12</v>
      </c>
      <c r="D953" s="226" t="str">
        <f aca="false">VLOOKUP(H953,PersonelListesi!A$1:K$46,4,FALSE())</f>
        <v>_ŞOFÖR</v>
      </c>
      <c r="E953" s="221" t="e">
        <f aca="false">VLOOKUP(H953,PersonelListesi!A$1:K$46,13,FALSE())</f>
        <v>#VALUE!</v>
      </c>
      <c r="F953" s="221" t="e">
        <f aca="false">VLOOKUP(H953,PersonelListesi!A$1:K$46,14,FALSE())</f>
        <v>#VALUE!</v>
      </c>
      <c r="G953" s="221" t="e">
        <f aca="false">VLOOKUP(H953,PersonelListesi!A$1:K$46,15,FALSE())</f>
        <v>#VALUE!</v>
      </c>
      <c r="H953" s="229" t="s">
        <v>48</v>
      </c>
      <c r="I953" s="273" t="e">
        <f aca="false">VLOOKUP(H953,PersonelListesi!A$1:G$42,2,FALSE())+#REF!</f>
        <v>#REF!</v>
      </c>
      <c r="J953" s="228" t="e">
        <f aca="false">VLOOKUP(H953,PersonelListesi!A$1:G$42,6,FALSE())+#REF!</f>
        <v>#REF!</v>
      </c>
      <c r="K953" s="228" t="n">
        <f aca="false">VLOOKUP(H953,PersonelListesi!A$1:G$42,7,FALSE())</f>
        <v>0</v>
      </c>
      <c r="L953" s="214" t="n">
        <v>31999.9</v>
      </c>
      <c r="M953" s="228" t="e">
        <f aca="false">#REF!+#REF!</f>
        <v>#REF!</v>
      </c>
      <c r="N953" s="213" t="n">
        <v>1000</v>
      </c>
      <c r="O953" s="212" t="s">
        <v>200</v>
      </c>
      <c r="Q953" s="212"/>
      <c r="R953" s="212"/>
      <c r="S953" s="291"/>
    </row>
    <row r="954" customFormat="false" ht="15" hidden="true" customHeight="false" outlineLevel="0" collapsed="false">
      <c r="B954" s="208" t="n">
        <v>2023</v>
      </c>
      <c r="C954" s="209" t="n">
        <v>12</v>
      </c>
      <c r="D954" s="226" t="str">
        <f aca="false">VLOOKUP(H954,PersonelListesi!A$1:K$46,4,FALSE())</f>
        <v>_TAMİR</v>
      </c>
      <c r="E954" s="221" t="e">
        <f aca="false">VLOOKUP(H954,PersonelListesi!A$1:K$46,13,FALSE())</f>
        <v>#VALUE!</v>
      </c>
      <c r="F954" s="221" t="e">
        <f aca="false">VLOOKUP(H954,PersonelListesi!A$1:K$46,14,FALSE())</f>
        <v>#VALUE!</v>
      </c>
      <c r="G954" s="221" t="e">
        <f aca="false">VLOOKUP(H954,PersonelListesi!A$1:K$46,15,FALSE())</f>
        <v>#VALUE!</v>
      </c>
      <c r="H954" s="229" t="s">
        <v>104</v>
      </c>
      <c r="I954" s="273" t="e">
        <f aca="false">VLOOKUP(H954,PersonelListesi!A$1:G$42,2,FALSE())+#REF!</f>
        <v>#REF!</v>
      </c>
      <c r="J954" s="228" t="e">
        <f aca="false">VLOOKUP(H954,PersonelListesi!A$1:G$42,6,FALSE())+#REF!</f>
        <v>#REF!</v>
      </c>
      <c r="K954" s="228" t="n">
        <f aca="false">VLOOKUP(H954,PersonelListesi!A$1:G$42,7,FALSE())</f>
        <v>15000</v>
      </c>
      <c r="L954" s="214" t="n">
        <v>0</v>
      </c>
      <c r="M954" s="228" t="e">
        <f aca="false">#REF!+#REF!</f>
        <v>#REF!</v>
      </c>
      <c r="Q954" s="212"/>
      <c r="R954" s="212"/>
      <c r="S954" s="291"/>
    </row>
    <row r="955" customFormat="false" ht="15" hidden="true" customHeight="false" outlineLevel="0" collapsed="false">
      <c r="B955" s="208" t="n">
        <v>2023</v>
      </c>
      <c r="C955" s="209" t="n">
        <v>12</v>
      </c>
      <c r="D955" s="226" t="str">
        <f aca="false">VLOOKUP(H955,PersonelListesi!A$1:K$46,4,FALSE())</f>
        <v>_OPERATÖR</v>
      </c>
      <c r="E955" s="221" t="e">
        <f aca="false">VLOOKUP(H955,PersonelListesi!A$1:K$46,13,FALSE())</f>
        <v>#VALUE!</v>
      </c>
      <c r="F955" s="221" t="e">
        <f aca="false">VLOOKUP(H955,PersonelListesi!A$1:K$46,14,FALSE())</f>
        <v>#VALUE!</v>
      </c>
      <c r="G955" s="221" t="e">
        <f aca="false">VLOOKUP(H955,PersonelListesi!A$1:K$46,15,FALSE())</f>
        <v>#VALUE!</v>
      </c>
      <c r="H955" s="229" t="s">
        <v>109</v>
      </c>
      <c r="I955" s="273" t="e">
        <f aca="false">VLOOKUP(H955,PersonelListesi!A$1:G$42,2,FALSE())+#REF!</f>
        <v>#REF!</v>
      </c>
      <c r="J955" s="228" t="e">
        <f aca="false">VLOOKUP(H955,PersonelListesi!A$1:G$42,6,FALSE())+#REF!</f>
        <v>#REF!</v>
      </c>
      <c r="K955" s="228" t="n">
        <f aca="false">VLOOKUP(H955,PersonelListesi!A$1:G$42,7,FALSE())</f>
        <v>11333</v>
      </c>
      <c r="L955" s="214" t="n">
        <v>0</v>
      </c>
      <c r="M955" s="228" t="e">
        <f aca="false">#REF!+#REF!</f>
        <v>#REF!</v>
      </c>
      <c r="O955" s="212" t="s">
        <v>194</v>
      </c>
      <c r="Q955" s="212"/>
      <c r="R955" s="212"/>
      <c r="S955" s="291"/>
    </row>
    <row r="956" customFormat="false" ht="15" hidden="true" customHeight="false" outlineLevel="0" collapsed="false">
      <c r="B956" s="208" t="n">
        <v>2023</v>
      </c>
      <c r="C956" s="209" t="n">
        <v>12</v>
      </c>
      <c r="D956" s="226" t="str">
        <f aca="false">VLOOKUP(H956,PersonelListesi!A$1:K$46,4,FALSE())</f>
        <v>_AİLE</v>
      </c>
      <c r="E956" s="221" t="e">
        <f aca="false">VLOOKUP(H956,PersonelListesi!A$1:K$46,13,FALSE())</f>
        <v>#VALUE!</v>
      </c>
      <c r="F956" s="221" t="e">
        <f aca="false">VLOOKUP(H956,PersonelListesi!A$1:K$46,14,FALSE())</f>
        <v>#VALUE!</v>
      </c>
      <c r="G956" s="221" t="e">
        <f aca="false">VLOOKUP(H956,PersonelListesi!A$1:K$46,15,FALSE())</f>
        <v>#VALUE!</v>
      </c>
      <c r="H956" s="229" t="s">
        <v>129</v>
      </c>
      <c r="I956" s="273" t="e">
        <f aca="false">VLOOKUP(H956,PersonelListesi!A$1:G$42,2,FALSE())+#REF!</f>
        <v>#REF!</v>
      </c>
      <c r="J956" s="228" t="e">
        <f aca="false">VLOOKUP(H956,PersonelListesi!A$1:G$42,6,FALSE())+#REF!</f>
        <v>#REF!</v>
      </c>
      <c r="K956" s="228" t="n">
        <f aca="false">VLOOKUP(H956,PersonelListesi!A$1:G$42,7,FALSE())</f>
        <v>22104</v>
      </c>
      <c r="L956" s="214" t="n">
        <v>12998</v>
      </c>
      <c r="M956" s="228" t="e">
        <f aca="false">#REF!+#REF!</f>
        <v>#REF!</v>
      </c>
      <c r="Q956" s="212"/>
      <c r="R956" s="212"/>
      <c r="S956" s="291"/>
    </row>
    <row r="957" customFormat="false" ht="15" hidden="true" customHeight="false" outlineLevel="0" collapsed="false">
      <c r="B957" s="208" t="n">
        <v>2023</v>
      </c>
      <c r="C957" s="209" t="n">
        <v>12</v>
      </c>
      <c r="D957" s="226" t="str">
        <f aca="false">VLOOKUP(H957,PersonelListesi!A$1:K$46,4,FALSE())</f>
        <v>_AİLE</v>
      </c>
      <c r="E957" s="221" t="e">
        <f aca="false">VLOOKUP(H957,PersonelListesi!A$1:K$46,13,FALSE())</f>
        <v>#VALUE!</v>
      </c>
      <c r="F957" s="221" t="e">
        <f aca="false">VLOOKUP(H957,PersonelListesi!A$1:K$46,14,FALSE())</f>
        <v>#VALUE!</v>
      </c>
      <c r="G957" s="221" t="e">
        <f aca="false">VLOOKUP(H957,PersonelListesi!A$1:K$46,15,FALSE())</f>
        <v>#VALUE!</v>
      </c>
      <c r="H957" s="229" t="s">
        <v>133</v>
      </c>
      <c r="I957" s="273" t="e">
        <f aca="false">VLOOKUP(H957,PersonelListesi!A$1:G$42,2,FALSE())+#REF!</f>
        <v>#REF!</v>
      </c>
      <c r="J957" s="228" t="e">
        <f aca="false">VLOOKUP(H957,PersonelListesi!A$1:G$42,6,FALSE())+#REF!</f>
        <v>#REF!</v>
      </c>
      <c r="K957" s="228" t="n">
        <f aca="false">VLOOKUP(H957,PersonelListesi!A$1:G$42,7,FALSE())</f>
        <v>30000</v>
      </c>
      <c r="L957" s="214" t="n">
        <v>0</v>
      </c>
      <c r="M957" s="228" t="e">
        <f aca="false">#REF!+#REF!</f>
        <v>#REF!</v>
      </c>
      <c r="Q957" s="212"/>
      <c r="R957" s="212"/>
      <c r="S957" s="291"/>
    </row>
    <row r="958" customFormat="false" ht="15" hidden="true" customHeight="false" outlineLevel="0" collapsed="false">
      <c r="B958" s="208" t="n">
        <v>2023</v>
      </c>
      <c r="C958" s="209" t="n">
        <v>12</v>
      </c>
      <c r="D958" s="226" t="str">
        <f aca="false">VLOOKUP(H958,PersonelListesi!A$1:K$46,4,FALSE())</f>
        <v>_AİLE</v>
      </c>
      <c r="E958" s="221" t="e">
        <f aca="false">VLOOKUP(H958,PersonelListesi!A$1:K$46,13,FALSE())</f>
        <v>#VALUE!</v>
      </c>
      <c r="F958" s="221" t="e">
        <f aca="false">VLOOKUP(H958,PersonelListesi!A$1:K$46,14,FALSE())</f>
        <v>#VALUE!</v>
      </c>
      <c r="G958" s="221" t="e">
        <f aca="false">VLOOKUP(H958,PersonelListesi!A$1:K$46,15,FALSE())</f>
        <v>#VALUE!</v>
      </c>
      <c r="H958" s="229" t="s">
        <v>62</v>
      </c>
      <c r="I958" s="273" t="e">
        <f aca="false">VLOOKUP(H958,PersonelListesi!A$1:G$42,2,FALSE())+#REF!</f>
        <v>#REF!</v>
      </c>
      <c r="J958" s="228" t="e">
        <f aca="false">VLOOKUP(H958,PersonelListesi!A$1:G$42,6,FALSE())+#REF!</f>
        <v>#REF!</v>
      </c>
      <c r="K958" s="228" t="n">
        <f aca="false">VLOOKUP(H958,PersonelListesi!A$1:G$42,7,FALSE())</f>
        <v>0</v>
      </c>
      <c r="L958" s="214" t="n">
        <v>4998</v>
      </c>
      <c r="M958" s="228" t="e">
        <f aca="false">#REF!+#REF!</f>
        <v>#REF!</v>
      </c>
      <c r="Q958" s="212"/>
      <c r="R958" s="212"/>
      <c r="S958" s="291"/>
    </row>
    <row r="959" customFormat="false" ht="15" hidden="true" customHeight="false" outlineLevel="0" collapsed="false">
      <c r="B959" s="208" t="n">
        <v>2023</v>
      </c>
      <c r="C959" s="209" t="n">
        <v>12</v>
      </c>
      <c r="D959" s="226" t="str">
        <f aca="false">VLOOKUP(H959,PersonelListesi!A$1:K$46,4,FALSE())</f>
        <v>_AİLE</v>
      </c>
      <c r="E959" s="221" t="e">
        <f aca="false">VLOOKUP(H959,PersonelListesi!A$1:K$46,13,FALSE())</f>
        <v>#VALUE!</v>
      </c>
      <c r="F959" s="221" t="e">
        <f aca="false">VLOOKUP(H959,PersonelListesi!A$1:K$46,14,FALSE())</f>
        <v>#VALUE!</v>
      </c>
      <c r="G959" s="221" t="e">
        <f aca="false">VLOOKUP(H959,PersonelListesi!A$1:K$46,15,FALSE())</f>
        <v>#VALUE!</v>
      </c>
      <c r="H959" s="227" t="s">
        <v>55</v>
      </c>
      <c r="I959" s="273" t="e">
        <f aca="false">VLOOKUP(H959,PersonelListesi!A$1:G$42,2,FALSE())+#REF!</f>
        <v>#REF!</v>
      </c>
      <c r="J959" s="228" t="e">
        <f aca="false">VLOOKUP(H959,PersonelListesi!A$1:G$42,6,FALSE())+#REF!</f>
        <v>#REF!</v>
      </c>
      <c r="K959" s="228" t="n">
        <f aca="false">VLOOKUP(H959,PersonelListesi!A$1:G$42,7,FALSE())</f>
        <v>30000</v>
      </c>
      <c r="L959" s="214" t="n">
        <v>30000</v>
      </c>
      <c r="M959" s="228" t="e">
        <f aca="false">#REF!+#REF!</f>
        <v>#REF!</v>
      </c>
      <c r="N959" s="228"/>
      <c r="Q959" s="212"/>
      <c r="R959" s="212"/>
      <c r="S959" s="291"/>
    </row>
    <row r="960" customFormat="false" ht="15" hidden="true" customHeight="false" outlineLevel="0" collapsed="false">
      <c r="B960" s="208" t="n">
        <v>2023</v>
      </c>
      <c r="C960" s="209" t="n">
        <v>12</v>
      </c>
      <c r="D960" s="226" t="str">
        <f aca="false">VLOOKUP(H960,PersonelListesi!A$1:K$46,4,FALSE())</f>
        <v>_AİLE</v>
      </c>
      <c r="E960" s="221" t="e">
        <f aca="false">VLOOKUP(H960,PersonelListesi!A$1:K$46,13,FALSE())</f>
        <v>#VALUE!</v>
      </c>
      <c r="F960" s="221" t="e">
        <f aca="false">VLOOKUP(H960,PersonelListesi!A$1:K$46,14,FALSE())</f>
        <v>#VALUE!</v>
      </c>
      <c r="G960" s="221" t="e">
        <f aca="false">VLOOKUP(H960,PersonelListesi!A$1:K$46,15,FALSE())</f>
        <v>#VALUE!</v>
      </c>
      <c r="H960" s="229" t="s">
        <v>134</v>
      </c>
      <c r="I960" s="273" t="e">
        <f aca="false">VLOOKUP(H960,PersonelListesi!A$1:G$42,2,FALSE())+#REF!</f>
        <v>#REF!</v>
      </c>
      <c r="J960" s="228" t="e">
        <f aca="false">VLOOKUP(H960,PersonelListesi!A$1:G$42,6,FALSE())+#REF!</f>
        <v>#REF!</v>
      </c>
      <c r="K960" s="228" t="n">
        <f aca="false">VLOOKUP(H960,PersonelListesi!A$1:G$42,7,FALSE())</f>
        <v>0</v>
      </c>
      <c r="L960" s="214" t="n">
        <v>15000</v>
      </c>
      <c r="M960" s="228" t="e">
        <f aca="false">#REF!+#REF!</f>
        <v>#REF!</v>
      </c>
      <c r="N960" s="228"/>
      <c r="Q960" s="212"/>
      <c r="R960" s="212"/>
      <c r="S960" s="291"/>
    </row>
    <row r="961" customFormat="false" ht="15" hidden="true" customHeight="false" outlineLevel="0" collapsed="false">
      <c r="B961" s="208" t="n">
        <v>2023</v>
      </c>
      <c r="C961" s="209" t="n">
        <v>12</v>
      </c>
      <c r="D961" s="230" t="s">
        <v>59</v>
      </c>
      <c r="E961" s="231" t="n">
        <v>0</v>
      </c>
      <c r="F961" s="231" t="n">
        <v>0</v>
      </c>
      <c r="G961" s="232" t="n">
        <v>0</v>
      </c>
      <c r="H961" s="229" t="s">
        <v>135</v>
      </c>
      <c r="I961" s="273" t="e">
        <f aca="false">VLOOKUP(H961,PersonelListesi!A$1:G$42,2,FALSE())+#REF!</f>
        <v>#REF!</v>
      </c>
      <c r="J961" s="228" t="e">
        <f aca="false">VLOOKUP(H961,PersonelListesi!A$1:G$42,6,FALSE())+#REF!</f>
        <v>#REF!</v>
      </c>
      <c r="K961" s="228" t="n">
        <f aca="false">VLOOKUP(H961,PersonelListesi!A$1:G$42,7,FALSE())</f>
        <v>0</v>
      </c>
      <c r="L961" s="214" t="n">
        <v>20000</v>
      </c>
      <c r="M961" s="228" t="n">
        <v>11000</v>
      </c>
      <c r="N961" s="228"/>
      <c r="Q961" s="212"/>
      <c r="R961" s="212"/>
      <c r="S961" s="291"/>
    </row>
    <row r="962" customFormat="false" ht="15" hidden="false" customHeight="false" outlineLevel="0" collapsed="false">
      <c r="D962" s="234"/>
      <c r="E962" s="235"/>
      <c r="F962" s="235"/>
      <c r="G962" s="236"/>
      <c r="H962" s="229"/>
      <c r="I962" s="237" t="e">
        <f aca="false">SUBTOTAL(109,#REF!)</f>
        <v>#REF!</v>
      </c>
      <c r="J962" s="237"/>
      <c r="K962" s="237" t="e">
        <f aca="false">SUBTOTAL(109,#REF!)</f>
        <v>#REF!</v>
      </c>
      <c r="L962" s="237" t="e">
        <f aca="false">SUBTOTAL(109,#REF!)</f>
        <v>#REF!</v>
      </c>
      <c r="M962" s="214" t="e">
        <f aca="false">SUBTOTAL(109,#REF!)</f>
        <v>#REF!</v>
      </c>
      <c r="N962" s="228"/>
      <c r="Q962" s="212"/>
      <c r="R962" s="212"/>
      <c r="S962" s="291"/>
    </row>
  </sheetData>
  <dataValidations count="2">
    <dataValidation allowBlank="true" errorStyle="stop" operator="between" showDropDown="false" showErrorMessage="true" showInputMessage="true" sqref="H1" type="list">
      <formula1>#ref!</formula1>
      <formula2>0</formula2>
    </dataValidation>
    <dataValidation allowBlank="true" errorStyle="stop" operator="between" showDropDown="false" showErrorMessage="true" showInputMessage="true" sqref="H2:H961" type="list">
      <formula1>PersonelListesi!$A$2:$A$42</formula1>
      <formula2>0</formula2>
    </dataValidation>
  </dataValidations>
  <printOptions headings="false" gridLines="false" gridLinesSet="true" horizontalCentered="false" verticalCentered="false"/>
  <pageMargins left="0.629861111111111" right="0.240277777777778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H17" activeCellId="0" sqref="H17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.29"/>
  </cols>
  <sheetData>
    <row r="1" customFormat="false" ht="15" hidden="false" customHeight="false" outlineLevel="0" collapsed="false">
      <c r="A1" s="301" t="s">
        <v>136</v>
      </c>
      <c r="B1" s="302" t="s">
        <v>347</v>
      </c>
    </row>
    <row r="2" customFormat="false" ht="15" hidden="false" customHeight="true" outlineLevel="0" collapsed="false">
      <c r="A2" s="0"/>
      <c r="B2" s="0"/>
    </row>
    <row r="3" customFormat="false" ht="15" hidden="false" customHeight="false" outlineLevel="0" collapsed="false">
      <c r="A3" s="303" t="s">
        <v>137</v>
      </c>
      <c r="B3" s="304" t="s">
        <v>348</v>
      </c>
    </row>
    <row r="4" customFormat="false" ht="15" hidden="false" customHeight="false" outlineLevel="0" collapsed="false">
      <c r="A4" s="305" t="n">
        <v>1</v>
      </c>
      <c r="B4" s="306" t="n">
        <v>1078024</v>
      </c>
    </row>
    <row r="5" customFormat="false" ht="15" hidden="false" customHeight="false" outlineLevel="0" collapsed="false">
      <c r="A5" s="307" t="n">
        <v>2</v>
      </c>
      <c r="B5" s="308" t="n">
        <v>1188024</v>
      </c>
    </row>
    <row r="6" customFormat="false" ht="15" hidden="false" customHeight="false" outlineLevel="0" collapsed="false">
      <c r="A6" s="307" t="n">
        <v>3</v>
      </c>
      <c r="B6" s="308" t="n">
        <v>1232024</v>
      </c>
    </row>
    <row r="7" customFormat="false" ht="15" hidden="false" customHeight="false" outlineLevel="0" collapsed="false">
      <c r="A7" s="307" t="n">
        <v>4</v>
      </c>
      <c r="B7" s="308" t="n">
        <v>1204024</v>
      </c>
    </row>
    <row r="8" customFormat="false" ht="15" hidden="false" customHeight="false" outlineLevel="0" collapsed="false">
      <c r="A8" s="307" t="n">
        <v>5</v>
      </c>
      <c r="B8" s="308" t="n">
        <v>1203104</v>
      </c>
    </row>
    <row r="9" customFormat="false" ht="15" hidden="false" customHeight="false" outlineLevel="0" collapsed="false">
      <c r="A9" s="307" t="n">
        <v>6</v>
      </c>
      <c r="B9" s="308" t="n">
        <v>1073104</v>
      </c>
    </row>
    <row r="10" customFormat="false" ht="15" hidden="false" customHeight="false" outlineLevel="0" collapsed="false">
      <c r="A10" s="307" t="n">
        <v>7</v>
      </c>
      <c r="B10" s="308" t="n">
        <v>1178437</v>
      </c>
    </row>
    <row r="11" customFormat="false" ht="15" hidden="false" customHeight="false" outlineLevel="0" collapsed="false">
      <c r="A11" s="307" t="n">
        <v>8</v>
      </c>
      <c r="B11" s="308" t="n">
        <v>1192604</v>
      </c>
    </row>
    <row r="12" customFormat="false" ht="15" hidden="false" customHeight="false" outlineLevel="0" collapsed="false">
      <c r="A12" s="307" t="s">
        <v>349</v>
      </c>
      <c r="B12" s="309"/>
    </row>
    <row r="13" customFormat="false" ht="15" hidden="false" customHeight="false" outlineLevel="0" collapsed="false">
      <c r="A13" s="310" t="s">
        <v>350</v>
      </c>
      <c r="B13" s="311" t="n">
        <v>9349345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XFD36"/>
  <sheetViews>
    <sheetView showFormulas="false" showGridLines="true" showRowColHeaders="true" showZeros="true" rightToLeft="false" tabSelected="false" showOutlineSymbols="true" defaultGridColor="true" view="pageBreakPreview" topLeftCell="A1" colorId="64" zoomScale="95" zoomScaleNormal="100" zoomScalePageLayoutView="95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E33" activeCellId="0" sqref="E33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8" width="10.29"/>
    <col collapsed="false" customWidth="true" hidden="false" outlineLevel="0" max="2" min="2" style="1" width="21.14"/>
    <col collapsed="false" customWidth="true" hidden="false" outlineLevel="0" max="3" min="3" style="1" width="9.86"/>
    <col collapsed="false" customWidth="true" hidden="false" outlineLevel="0" max="4" min="4" style="312" width="12.71"/>
    <col collapsed="false" customWidth="true" hidden="false" outlineLevel="0" max="5" min="5" style="1" width="12"/>
    <col collapsed="false" customWidth="true" hidden="false" outlineLevel="0" max="6" min="6" style="1" width="25.71"/>
    <col collapsed="false" customWidth="true" hidden="false" outlineLevel="0" max="7" min="7" style="1" width="11"/>
  </cols>
  <sheetData>
    <row r="1" s="318" customFormat="true" ht="21" hidden="false" customHeight="true" outlineLevel="0" collapsed="false">
      <c r="A1" s="313"/>
      <c r="B1" s="314" t="s">
        <v>351</v>
      </c>
      <c r="C1" s="315" t="e">
        <f aca="false">SUBTOTAL(109,#REF!)</f>
        <v>#REF!</v>
      </c>
      <c r="D1" s="316" t="s">
        <v>352</v>
      </c>
      <c r="E1" s="317" t="e">
        <f aca="false">SUBTOTAL(109,#REF!)</f>
        <v>#REF!</v>
      </c>
      <c r="F1" s="318" t="s">
        <v>353</v>
      </c>
      <c r="G1" s="319" t="e">
        <f aca="false">C1-E1</f>
        <v>#REF!</v>
      </c>
      <c r="XFD1" s="1"/>
    </row>
    <row r="2" customFormat="false" ht="15" hidden="false" customHeight="false" outlineLevel="0" collapsed="false">
      <c r="A2" s="320" t="s">
        <v>354</v>
      </c>
      <c r="B2" s="321" t="s">
        <v>138</v>
      </c>
      <c r="C2" s="321" t="s">
        <v>355</v>
      </c>
      <c r="D2" s="322" t="s">
        <v>356</v>
      </c>
      <c r="E2" s="321" t="s">
        <v>357</v>
      </c>
      <c r="F2" s="321" t="s">
        <v>144</v>
      </c>
      <c r="G2" s="321" t="s">
        <v>358</v>
      </c>
    </row>
    <row r="3" s="326" customFormat="true" ht="15" hidden="false" customHeight="false" outlineLevel="0" collapsed="false">
      <c r="A3" s="14" t="n">
        <v>44511</v>
      </c>
      <c r="B3" s="323" t="s">
        <v>247</v>
      </c>
      <c r="C3" s="323" t="s">
        <v>356</v>
      </c>
      <c r="D3" s="324" t="n">
        <v>3624</v>
      </c>
      <c r="E3" s="325"/>
      <c r="G3" s="327" t="e">
        <f aca="false">SUMIF(#REF!,#REF!,D$3:D3)-SUMIF(#REF!,#REF!,E$3:E3)</f>
        <v>#REF!</v>
      </c>
      <c r="XFD3" s="1"/>
    </row>
    <row r="4" s="328" customFormat="true" ht="15" hidden="false" customHeight="false" outlineLevel="0" collapsed="false">
      <c r="A4" s="14" t="n">
        <v>44520</v>
      </c>
      <c r="B4" s="328" t="s">
        <v>247</v>
      </c>
      <c r="C4" s="323" t="s">
        <v>356</v>
      </c>
      <c r="D4" s="324" t="n">
        <v>2000</v>
      </c>
      <c r="E4" s="329"/>
      <c r="F4" s="1"/>
      <c r="G4" s="327" t="e">
        <f aca="false">SUMIF(#REF!,#REF!,D$3:D4)-SUMIF(#REF!,#REF!,E$3:E4)</f>
        <v>#REF!</v>
      </c>
      <c r="H4" s="14"/>
      <c r="K4" s="324"/>
      <c r="L4" s="329"/>
      <c r="M4" s="1"/>
      <c r="N4" s="327"/>
      <c r="O4" s="14"/>
      <c r="R4" s="324"/>
      <c r="S4" s="329"/>
      <c r="T4" s="1"/>
      <c r="U4" s="327"/>
      <c r="V4" s="14"/>
      <c r="Y4" s="324"/>
      <c r="Z4" s="329"/>
      <c r="AA4" s="1"/>
      <c r="AB4" s="327"/>
      <c r="AC4" s="14"/>
      <c r="AF4" s="324"/>
      <c r="AG4" s="329"/>
      <c r="AH4" s="1"/>
      <c r="AI4" s="327"/>
      <c r="AJ4" s="14"/>
      <c r="AM4" s="324"/>
      <c r="AN4" s="329"/>
      <c r="AO4" s="1"/>
      <c r="AP4" s="327"/>
      <c r="AQ4" s="14"/>
      <c r="AT4" s="324"/>
      <c r="AU4" s="329"/>
      <c r="AV4" s="1"/>
      <c r="AW4" s="327"/>
      <c r="AX4" s="14"/>
      <c r="BA4" s="324"/>
      <c r="BB4" s="329"/>
      <c r="BC4" s="1"/>
      <c r="BD4" s="327"/>
      <c r="BE4" s="14"/>
      <c r="BH4" s="324"/>
      <c r="BI4" s="329"/>
      <c r="BJ4" s="1"/>
      <c r="BK4" s="327"/>
      <c r="BL4" s="14"/>
      <c r="BO4" s="324"/>
      <c r="BP4" s="329"/>
      <c r="BQ4" s="1"/>
      <c r="BR4" s="327"/>
      <c r="BS4" s="14"/>
      <c r="BV4" s="324"/>
      <c r="BW4" s="329"/>
      <c r="BX4" s="1"/>
      <c r="BY4" s="327"/>
      <c r="BZ4" s="14"/>
      <c r="CC4" s="324"/>
      <c r="CD4" s="329"/>
      <c r="CE4" s="1"/>
      <c r="CF4" s="327"/>
      <c r="CG4" s="14"/>
      <c r="CJ4" s="324"/>
      <c r="CK4" s="329"/>
      <c r="CL4" s="1"/>
      <c r="CM4" s="327"/>
      <c r="CN4" s="14"/>
      <c r="CQ4" s="324"/>
      <c r="CR4" s="329"/>
      <c r="CS4" s="1"/>
      <c r="CT4" s="327"/>
      <c r="CU4" s="14"/>
      <c r="CX4" s="324"/>
      <c r="CY4" s="329"/>
      <c r="CZ4" s="1"/>
      <c r="DA4" s="327"/>
      <c r="DB4" s="14"/>
      <c r="DE4" s="324"/>
      <c r="DF4" s="329"/>
      <c r="DG4" s="1"/>
      <c r="DH4" s="327"/>
      <c r="DI4" s="14"/>
      <c r="DL4" s="324"/>
      <c r="DM4" s="329"/>
      <c r="DN4" s="1"/>
      <c r="DO4" s="327"/>
      <c r="DP4" s="14"/>
      <c r="DS4" s="324"/>
      <c r="DT4" s="329"/>
      <c r="DU4" s="1"/>
      <c r="DV4" s="327"/>
      <c r="DW4" s="14"/>
      <c r="DZ4" s="324"/>
      <c r="EA4" s="329"/>
      <c r="EB4" s="1"/>
      <c r="EC4" s="327"/>
      <c r="ED4" s="14"/>
      <c r="EG4" s="324"/>
      <c r="EH4" s="329"/>
      <c r="EI4" s="1"/>
      <c r="EJ4" s="327"/>
      <c r="EK4" s="14"/>
      <c r="EN4" s="324"/>
      <c r="EO4" s="329"/>
      <c r="EP4" s="1"/>
      <c r="EQ4" s="327"/>
      <c r="ER4" s="14"/>
      <c r="EU4" s="324"/>
      <c r="EV4" s="329"/>
      <c r="EW4" s="1"/>
      <c r="EX4" s="327"/>
      <c r="EY4" s="14"/>
      <c r="FB4" s="324"/>
      <c r="FC4" s="329"/>
      <c r="FD4" s="1"/>
      <c r="FE4" s="327"/>
      <c r="FF4" s="14"/>
      <c r="FI4" s="324"/>
      <c r="FJ4" s="329"/>
      <c r="FK4" s="1"/>
      <c r="FL4" s="327"/>
      <c r="FM4" s="14"/>
      <c r="FP4" s="324"/>
      <c r="FQ4" s="329"/>
      <c r="FR4" s="1"/>
      <c r="FS4" s="327"/>
      <c r="FT4" s="14"/>
      <c r="FW4" s="324"/>
      <c r="FX4" s="329"/>
      <c r="FY4" s="1"/>
      <c r="FZ4" s="327"/>
      <c r="GA4" s="14"/>
      <c r="GD4" s="324"/>
      <c r="GE4" s="329"/>
      <c r="GF4" s="1"/>
      <c r="GG4" s="327"/>
      <c r="GH4" s="14"/>
      <c r="GK4" s="324"/>
      <c r="GL4" s="329"/>
      <c r="GM4" s="1"/>
      <c r="GN4" s="327"/>
      <c r="GO4" s="14"/>
      <c r="GR4" s="324"/>
      <c r="GS4" s="329"/>
      <c r="GT4" s="1"/>
      <c r="GU4" s="327"/>
      <c r="GV4" s="14"/>
      <c r="GY4" s="324"/>
      <c r="GZ4" s="329"/>
      <c r="HA4" s="1"/>
      <c r="HB4" s="327"/>
      <c r="HC4" s="14"/>
      <c r="HF4" s="324"/>
      <c r="HG4" s="329"/>
      <c r="HH4" s="1"/>
      <c r="HI4" s="327"/>
      <c r="HJ4" s="14"/>
      <c r="HM4" s="324"/>
      <c r="HN4" s="329"/>
      <c r="HO4" s="1"/>
      <c r="HP4" s="327"/>
      <c r="HQ4" s="14"/>
      <c r="HT4" s="324"/>
      <c r="HU4" s="329"/>
      <c r="HV4" s="1"/>
      <c r="HW4" s="327"/>
      <c r="HX4" s="14"/>
      <c r="IA4" s="324"/>
      <c r="IB4" s="329"/>
      <c r="IC4" s="1"/>
      <c r="ID4" s="327"/>
      <c r="IE4" s="14"/>
      <c r="IH4" s="324"/>
      <c r="II4" s="329"/>
      <c r="IJ4" s="1"/>
      <c r="IK4" s="327"/>
      <c r="IL4" s="14"/>
      <c r="IO4" s="324"/>
      <c r="IP4" s="329"/>
      <c r="IQ4" s="1"/>
      <c r="IR4" s="327"/>
      <c r="IS4" s="14"/>
      <c r="IV4" s="324"/>
      <c r="IW4" s="329"/>
      <c r="IX4" s="1"/>
      <c r="IY4" s="327"/>
      <c r="IZ4" s="14"/>
      <c r="JC4" s="324"/>
      <c r="JD4" s="329"/>
      <c r="JE4" s="1"/>
      <c r="JF4" s="327"/>
      <c r="JG4" s="14"/>
      <c r="JJ4" s="324"/>
      <c r="JK4" s="329"/>
      <c r="JL4" s="1"/>
      <c r="JM4" s="327"/>
      <c r="JN4" s="14"/>
      <c r="JQ4" s="324"/>
      <c r="JR4" s="329"/>
      <c r="JS4" s="1"/>
      <c r="JT4" s="327"/>
      <c r="JU4" s="14"/>
      <c r="JX4" s="324"/>
      <c r="JY4" s="329"/>
      <c r="JZ4" s="1"/>
      <c r="KA4" s="327"/>
      <c r="KB4" s="14"/>
      <c r="KE4" s="324"/>
      <c r="KF4" s="329"/>
      <c r="KG4" s="1"/>
      <c r="KH4" s="327"/>
      <c r="KI4" s="14"/>
      <c r="KL4" s="324"/>
      <c r="KM4" s="329"/>
      <c r="KN4" s="1"/>
      <c r="KO4" s="327"/>
      <c r="KP4" s="14"/>
      <c r="KS4" s="324"/>
      <c r="KT4" s="329"/>
      <c r="KU4" s="1"/>
      <c r="KV4" s="327"/>
      <c r="KW4" s="14"/>
      <c r="KZ4" s="324"/>
      <c r="LA4" s="329"/>
      <c r="LB4" s="1"/>
      <c r="LC4" s="327"/>
      <c r="LD4" s="14"/>
      <c r="LG4" s="324"/>
      <c r="LH4" s="329"/>
      <c r="LI4" s="1"/>
      <c r="LJ4" s="327"/>
      <c r="LK4" s="14"/>
      <c r="LN4" s="324"/>
      <c r="LO4" s="329"/>
      <c r="LP4" s="1"/>
      <c r="LQ4" s="327"/>
      <c r="LR4" s="14"/>
      <c r="LU4" s="324"/>
      <c r="LV4" s="329"/>
      <c r="LW4" s="1"/>
      <c r="LX4" s="327"/>
      <c r="LY4" s="14"/>
      <c r="MB4" s="324"/>
      <c r="MC4" s="329"/>
      <c r="MD4" s="1"/>
      <c r="ME4" s="327"/>
      <c r="MF4" s="14"/>
      <c r="MI4" s="324"/>
      <c r="MJ4" s="329"/>
      <c r="MK4" s="1"/>
      <c r="ML4" s="327"/>
      <c r="MM4" s="14"/>
      <c r="MP4" s="324"/>
      <c r="MQ4" s="329"/>
      <c r="MR4" s="1"/>
      <c r="MS4" s="327"/>
      <c r="MT4" s="14"/>
      <c r="MW4" s="324"/>
      <c r="MX4" s="329"/>
      <c r="MY4" s="1"/>
      <c r="MZ4" s="327"/>
      <c r="NA4" s="14"/>
      <c r="ND4" s="324"/>
      <c r="NE4" s="329"/>
      <c r="NF4" s="1"/>
      <c r="NG4" s="327"/>
      <c r="NH4" s="14"/>
      <c r="NK4" s="324"/>
      <c r="NL4" s="329"/>
      <c r="NM4" s="1"/>
      <c r="NN4" s="327"/>
      <c r="NO4" s="14"/>
      <c r="NR4" s="324"/>
      <c r="NS4" s="329"/>
      <c r="NT4" s="1"/>
      <c r="NU4" s="327"/>
      <c r="NV4" s="14"/>
      <c r="NY4" s="324"/>
      <c r="NZ4" s="329"/>
      <c r="OA4" s="1"/>
      <c r="OB4" s="327"/>
      <c r="OC4" s="14"/>
      <c r="OF4" s="324"/>
      <c r="OG4" s="329"/>
      <c r="OH4" s="1"/>
      <c r="OI4" s="327"/>
      <c r="OJ4" s="14"/>
      <c r="OM4" s="324"/>
      <c r="ON4" s="329"/>
      <c r="OO4" s="1"/>
      <c r="OP4" s="327"/>
      <c r="OQ4" s="14"/>
      <c r="OT4" s="324"/>
      <c r="OU4" s="329"/>
      <c r="OV4" s="1"/>
      <c r="OW4" s="327"/>
      <c r="OX4" s="14"/>
      <c r="PA4" s="324"/>
      <c r="PB4" s="329"/>
      <c r="PC4" s="1"/>
      <c r="PD4" s="327"/>
      <c r="PE4" s="14"/>
      <c r="PH4" s="324"/>
      <c r="PI4" s="329"/>
      <c r="PJ4" s="1"/>
      <c r="PK4" s="327"/>
      <c r="PL4" s="14"/>
      <c r="PO4" s="324"/>
      <c r="PP4" s="329"/>
      <c r="PQ4" s="1"/>
      <c r="PR4" s="327"/>
      <c r="PS4" s="14"/>
      <c r="PV4" s="324"/>
      <c r="PW4" s="329"/>
      <c r="PX4" s="1"/>
      <c r="PY4" s="327"/>
      <c r="PZ4" s="14"/>
      <c r="QC4" s="324"/>
      <c r="QD4" s="329"/>
      <c r="QE4" s="1"/>
      <c r="QF4" s="327"/>
      <c r="QG4" s="14"/>
      <c r="QJ4" s="324"/>
      <c r="QK4" s="329"/>
      <c r="QL4" s="1"/>
      <c r="QM4" s="327"/>
      <c r="QN4" s="14"/>
      <c r="QQ4" s="324"/>
      <c r="QR4" s="329"/>
      <c r="QS4" s="1"/>
      <c r="QT4" s="327"/>
      <c r="QU4" s="14"/>
      <c r="QX4" s="324"/>
      <c r="QY4" s="329"/>
      <c r="QZ4" s="1"/>
      <c r="RA4" s="327"/>
      <c r="RB4" s="14"/>
      <c r="RE4" s="324"/>
      <c r="RF4" s="329"/>
      <c r="RG4" s="1"/>
      <c r="RH4" s="327"/>
      <c r="RI4" s="14"/>
      <c r="RL4" s="324"/>
      <c r="RM4" s="329"/>
      <c r="RN4" s="1"/>
      <c r="RO4" s="327"/>
      <c r="RP4" s="14"/>
      <c r="RS4" s="324"/>
      <c r="RT4" s="329"/>
      <c r="RU4" s="1"/>
      <c r="RV4" s="327"/>
      <c r="RW4" s="14"/>
      <c r="RZ4" s="324"/>
      <c r="SA4" s="329"/>
      <c r="SB4" s="1"/>
      <c r="SC4" s="327"/>
      <c r="SD4" s="14"/>
      <c r="SG4" s="324"/>
      <c r="SH4" s="329"/>
      <c r="SI4" s="1"/>
      <c r="SJ4" s="327"/>
      <c r="SK4" s="14"/>
      <c r="SN4" s="324"/>
      <c r="SO4" s="329"/>
      <c r="SP4" s="1"/>
      <c r="SQ4" s="327"/>
      <c r="SR4" s="14"/>
      <c r="SU4" s="324"/>
      <c r="SV4" s="329"/>
      <c r="SW4" s="1"/>
      <c r="SX4" s="327"/>
      <c r="SY4" s="14"/>
      <c r="TB4" s="324"/>
      <c r="TC4" s="329"/>
      <c r="TD4" s="1"/>
      <c r="TE4" s="327"/>
      <c r="TF4" s="14"/>
      <c r="TI4" s="324"/>
      <c r="TJ4" s="329"/>
      <c r="TK4" s="1"/>
      <c r="TL4" s="327"/>
      <c r="TM4" s="14"/>
      <c r="TP4" s="324"/>
      <c r="TQ4" s="329"/>
      <c r="TR4" s="1"/>
      <c r="TS4" s="327"/>
      <c r="TT4" s="14"/>
      <c r="TW4" s="324"/>
      <c r="TX4" s="329"/>
      <c r="TY4" s="1"/>
      <c r="TZ4" s="327"/>
      <c r="UA4" s="14"/>
      <c r="UD4" s="324"/>
      <c r="UE4" s="329"/>
      <c r="UF4" s="1"/>
      <c r="UG4" s="327"/>
      <c r="UH4" s="14"/>
      <c r="UK4" s="324"/>
      <c r="UL4" s="329"/>
      <c r="UM4" s="1"/>
      <c r="UN4" s="327"/>
      <c r="UO4" s="14"/>
      <c r="UR4" s="324"/>
      <c r="US4" s="329"/>
      <c r="UT4" s="1"/>
      <c r="UU4" s="327"/>
      <c r="UV4" s="14"/>
      <c r="UY4" s="324"/>
      <c r="UZ4" s="329"/>
      <c r="VA4" s="1"/>
      <c r="VB4" s="327"/>
      <c r="VC4" s="14"/>
      <c r="VF4" s="324"/>
      <c r="VG4" s="329"/>
      <c r="VH4" s="1"/>
      <c r="VI4" s="327"/>
      <c r="VJ4" s="14"/>
      <c r="VM4" s="324"/>
      <c r="VN4" s="329"/>
      <c r="VO4" s="1"/>
      <c r="VP4" s="327"/>
      <c r="VQ4" s="14"/>
      <c r="VT4" s="324"/>
      <c r="VU4" s="329"/>
      <c r="VV4" s="1"/>
      <c r="VW4" s="327"/>
      <c r="VX4" s="14"/>
      <c r="WA4" s="324"/>
      <c r="WB4" s="329"/>
      <c r="WC4" s="1"/>
      <c r="WD4" s="327"/>
      <c r="WE4" s="14"/>
      <c r="WH4" s="324"/>
      <c r="WI4" s="329"/>
      <c r="WJ4" s="1"/>
      <c r="WK4" s="327"/>
      <c r="WL4" s="14"/>
      <c r="WO4" s="324"/>
      <c r="WP4" s="329"/>
      <c r="WQ4" s="1"/>
      <c r="WR4" s="327"/>
      <c r="WS4" s="14"/>
      <c r="WV4" s="324"/>
      <c r="WW4" s="329"/>
      <c r="WX4" s="1"/>
      <c r="WY4" s="327"/>
      <c r="WZ4" s="14"/>
      <c r="XC4" s="324"/>
      <c r="XD4" s="329"/>
      <c r="XE4" s="1"/>
      <c r="XF4" s="327"/>
      <c r="XG4" s="14"/>
      <c r="XJ4" s="324"/>
      <c r="XK4" s="329"/>
      <c r="XL4" s="1"/>
      <c r="XM4" s="327"/>
      <c r="XN4" s="14"/>
      <c r="XQ4" s="324"/>
      <c r="XR4" s="329"/>
      <c r="XS4" s="1"/>
      <c r="XT4" s="327"/>
      <c r="XU4" s="14"/>
      <c r="XX4" s="324"/>
      <c r="XY4" s="329"/>
      <c r="XZ4" s="1"/>
      <c r="YA4" s="327"/>
      <c r="YB4" s="14"/>
      <c r="YE4" s="324"/>
      <c r="YF4" s="329"/>
      <c r="YG4" s="1"/>
      <c r="YH4" s="327"/>
      <c r="YI4" s="14"/>
      <c r="YL4" s="324"/>
      <c r="YM4" s="329"/>
      <c r="YN4" s="1"/>
      <c r="YO4" s="327"/>
      <c r="YP4" s="14"/>
      <c r="YS4" s="324"/>
      <c r="YT4" s="329"/>
      <c r="YU4" s="1"/>
      <c r="YV4" s="327"/>
      <c r="YW4" s="14"/>
      <c r="YZ4" s="324"/>
      <c r="ZA4" s="329"/>
      <c r="ZB4" s="1"/>
      <c r="ZC4" s="327"/>
      <c r="ZD4" s="14"/>
      <c r="ZG4" s="324"/>
      <c r="ZH4" s="329"/>
      <c r="ZI4" s="1"/>
      <c r="ZJ4" s="327"/>
      <c r="ZK4" s="14"/>
      <c r="ZN4" s="324"/>
      <c r="ZO4" s="329"/>
      <c r="ZP4" s="1"/>
      <c r="ZQ4" s="327"/>
      <c r="ZR4" s="14"/>
      <c r="ZU4" s="324"/>
      <c r="ZV4" s="329"/>
      <c r="ZW4" s="1"/>
      <c r="ZX4" s="327"/>
      <c r="ZY4" s="14"/>
      <c r="AAB4" s="324"/>
      <c r="AAC4" s="329"/>
      <c r="AAD4" s="1"/>
      <c r="AAE4" s="327"/>
      <c r="AAF4" s="14"/>
      <c r="AAI4" s="324"/>
      <c r="AAJ4" s="329"/>
      <c r="AAK4" s="1"/>
      <c r="AAL4" s="327"/>
      <c r="AAM4" s="14"/>
      <c r="AAP4" s="324"/>
      <c r="AAQ4" s="329"/>
      <c r="AAR4" s="1"/>
      <c r="AAS4" s="327"/>
      <c r="AAT4" s="14"/>
      <c r="AAW4" s="324"/>
      <c r="AAX4" s="329"/>
      <c r="AAY4" s="1"/>
      <c r="AAZ4" s="327"/>
      <c r="ABA4" s="14"/>
      <c r="ABD4" s="324"/>
      <c r="ABE4" s="329"/>
      <c r="ABF4" s="1"/>
      <c r="ABG4" s="327"/>
      <c r="ABH4" s="14"/>
      <c r="ABK4" s="324"/>
      <c r="ABL4" s="329"/>
      <c r="ABM4" s="1"/>
      <c r="ABN4" s="327"/>
      <c r="ABO4" s="14"/>
      <c r="ABR4" s="324"/>
      <c r="ABS4" s="329"/>
      <c r="ABT4" s="1"/>
      <c r="ABU4" s="327"/>
      <c r="ABV4" s="14"/>
      <c r="ABY4" s="324"/>
      <c r="ABZ4" s="329"/>
      <c r="ACA4" s="1"/>
      <c r="ACB4" s="327"/>
      <c r="ACC4" s="14"/>
      <c r="ACF4" s="324"/>
      <c r="ACG4" s="329"/>
      <c r="ACH4" s="1"/>
      <c r="ACI4" s="327"/>
      <c r="ACJ4" s="14"/>
      <c r="ACM4" s="324"/>
      <c r="ACN4" s="329"/>
      <c r="ACO4" s="1"/>
      <c r="ACP4" s="327"/>
      <c r="ACQ4" s="14"/>
      <c r="ACT4" s="324"/>
      <c r="ACU4" s="329"/>
      <c r="ACV4" s="1"/>
      <c r="ACW4" s="327"/>
      <c r="ACX4" s="14"/>
      <c r="ADA4" s="324"/>
      <c r="ADB4" s="329"/>
      <c r="ADC4" s="1"/>
      <c r="ADD4" s="327"/>
      <c r="ADE4" s="14"/>
      <c r="ADH4" s="324"/>
      <c r="ADI4" s="329"/>
      <c r="ADJ4" s="1"/>
      <c r="ADK4" s="327"/>
      <c r="ADL4" s="14"/>
      <c r="ADO4" s="324"/>
      <c r="ADP4" s="329"/>
      <c r="ADQ4" s="1"/>
      <c r="ADR4" s="327"/>
      <c r="ADS4" s="14"/>
      <c r="ADV4" s="324"/>
      <c r="ADW4" s="329"/>
      <c r="ADX4" s="1"/>
      <c r="ADY4" s="327"/>
      <c r="ADZ4" s="14"/>
      <c r="AEC4" s="324"/>
      <c r="AED4" s="329"/>
      <c r="AEE4" s="1"/>
      <c r="AEF4" s="327"/>
      <c r="AEG4" s="14"/>
      <c r="AEJ4" s="324"/>
      <c r="AEK4" s="329"/>
      <c r="AEL4" s="1"/>
      <c r="AEM4" s="327"/>
      <c r="AEN4" s="14"/>
      <c r="AEQ4" s="324"/>
      <c r="AER4" s="329"/>
      <c r="AES4" s="1"/>
      <c r="AET4" s="327"/>
      <c r="AEU4" s="14"/>
      <c r="AEX4" s="324"/>
      <c r="AEY4" s="329"/>
      <c r="AEZ4" s="1"/>
      <c r="AFA4" s="327"/>
      <c r="AFB4" s="14"/>
      <c r="AFE4" s="324"/>
      <c r="AFF4" s="329"/>
      <c r="AFG4" s="1"/>
      <c r="AFH4" s="327"/>
      <c r="AFI4" s="14"/>
      <c r="AFL4" s="324"/>
      <c r="AFM4" s="329"/>
      <c r="AFN4" s="1"/>
      <c r="AFO4" s="327"/>
      <c r="AFP4" s="14"/>
      <c r="AFS4" s="324"/>
      <c r="AFT4" s="329"/>
      <c r="AFU4" s="1"/>
      <c r="AFV4" s="327"/>
      <c r="AFW4" s="14"/>
      <c r="AFZ4" s="324"/>
      <c r="AGA4" s="329"/>
      <c r="AGB4" s="1"/>
      <c r="AGC4" s="327"/>
      <c r="AGD4" s="14"/>
      <c r="AGG4" s="324"/>
      <c r="AGH4" s="329"/>
      <c r="AGI4" s="1"/>
      <c r="AGJ4" s="327"/>
      <c r="AGK4" s="14"/>
      <c r="AGN4" s="324"/>
      <c r="AGO4" s="329"/>
      <c r="AGP4" s="1"/>
      <c r="AGQ4" s="327"/>
      <c r="AGR4" s="14"/>
      <c r="AGU4" s="324"/>
      <c r="AGV4" s="329"/>
      <c r="AGW4" s="1"/>
      <c r="AGX4" s="327"/>
      <c r="AGY4" s="14"/>
      <c r="AHB4" s="324"/>
      <c r="AHC4" s="329"/>
      <c r="AHD4" s="1"/>
      <c r="AHE4" s="327"/>
      <c r="AHF4" s="14"/>
      <c r="AHI4" s="324"/>
      <c r="AHJ4" s="329"/>
      <c r="AHK4" s="1"/>
      <c r="AHL4" s="327"/>
      <c r="AHM4" s="14"/>
      <c r="AHP4" s="324"/>
      <c r="AHQ4" s="329"/>
      <c r="AHR4" s="1"/>
      <c r="AHS4" s="327"/>
      <c r="AHT4" s="14"/>
      <c r="AHW4" s="324"/>
      <c r="AHX4" s="329"/>
      <c r="AHY4" s="1"/>
      <c r="AHZ4" s="327"/>
      <c r="AIA4" s="14"/>
      <c r="AID4" s="324"/>
      <c r="AIE4" s="329"/>
      <c r="AIF4" s="1"/>
      <c r="AIG4" s="327"/>
      <c r="AIH4" s="14"/>
      <c r="AIK4" s="324"/>
      <c r="AIL4" s="329"/>
      <c r="AIM4" s="1"/>
      <c r="AIN4" s="327"/>
      <c r="AIO4" s="14"/>
      <c r="AIR4" s="324"/>
      <c r="AIS4" s="329"/>
      <c r="AIT4" s="1"/>
      <c r="AIU4" s="327"/>
      <c r="AIV4" s="14"/>
      <c r="AIY4" s="324"/>
      <c r="AIZ4" s="329"/>
      <c r="AJA4" s="1"/>
      <c r="AJB4" s="327"/>
      <c r="AJC4" s="14"/>
      <c r="AJF4" s="324"/>
      <c r="AJG4" s="329"/>
      <c r="AJH4" s="1"/>
      <c r="AJI4" s="327"/>
      <c r="AJJ4" s="14"/>
      <c r="AJM4" s="324"/>
      <c r="AJN4" s="329"/>
      <c r="AJO4" s="1"/>
      <c r="AJP4" s="327"/>
      <c r="AJQ4" s="14"/>
      <c r="AJT4" s="324"/>
      <c r="AJU4" s="329"/>
      <c r="AJV4" s="1"/>
      <c r="AJW4" s="327"/>
      <c r="AJX4" s="14"/>
      <c r="AKA4" s="324"/>
      <c r="AKB4" s="329"/>
      <c r="AKC4" s="1"/>
      <c r="AKD4" s="327"/>
      <c r="AKE4" s="14"/>
      <c r="AKH4" s="324"/>
      <c r="AKI4" s="329"/>
      <c r="AKJ4" s="1"/>
      <c r="AKK4" s="327"/>
      <c r="AKL4" s="14"/>
      <c r="AKO4" s="324"/>
      <c r="AKP4" s="329"/>
      <c r="AKQ4" s="1"/>
      <c r="AKR4" s="327"/>
      <c r="AKS4" s="14"/>
      <c r="AKV4" s="324"/>
      <c r="AKW4" s="329"/>
      <c r="AKX4" s="1"/>
      <c r="AKY4" s="327"/>
      <c r="AKZ4" s="14"/>
      <c r="ALC4" s="324"/>
      <c r="ALD4" s="329"/>
      <c r="ALE4" s="1"/>
      <c r="ALF4" s="327"/>
      <c r="ALG4" s="14"/>
      <c r="ALJ4" s="324"/>
      <c r="ALK4" s="329"/>
      <c r="ALL4" s="1"/>
      <c r="ALM4" s="327"/>
      <c r="ALN4" s="14"/>
      <c r="ALQ4" s="324"/>
      <c r="ALR4" s="329"/>
      <c r="ALS4" s="1"/>
      <c r="ALT4" s="327"/>
      <c r="ALU4" s="14"/>
      <c r="ALX4" s="324"/>
      <c r="ALY4" s="329"/>
      <c r="ALZ4" s="1"/>
      <c r="AMA4" s="327"/>
      <c r="AMB4" s="14"/>
      <c r="AME4" s="324"/>
      <c r="AMF4" s="329"/>
      <c r="AMG4" s="1"/>
      <c r="AMH4" s="327"/>
      <c r="AMI4" s="14"/>
      <c r="AML4" s="324"/>
      <c r="AMM4" s="329"/>
      <c r="AMN4" s="1"/>
      <c r="AMO4" s="327"/>
      <c r="AMP4" s="14"/>
      <c r="AMS4" s="324"/>
      <c r="AMT4" s="329"/>
      <c r="AMU4" s="1"/>
      <c r="AMV4" s="327"/>
      <c r="AMW4" s="14"/>
      <c r="AMZ4" s="324"/>
      <c r="ANA4" s="329"/>
      <c r="ANB4" s="1"/>
      <c r="ANC4" s="327"/>
      <c r="AND4" s="14"/>
      <c r="ANG4" s="324"/>
      <c r="ANH4" s="329"/>
      <c r="ANI4" s="1"/>
      <c r="ANJ4" s="327"/>
      <c r="ANK4" s="14"/>
      <c r="ANN4" s="324"/>
      <c r="ANO4" s="329"/>
      <c r="ANP4" s="1"/>
      <c r="ANQ4" s="327"/>
      <c r="ANR4" s="14"/>
      <c r="ANU4" s="324"/>
      <c r="ANV4" s="329"/>
      <c r="ANW4" s="1"/>
      <c r="ANX4" s="327"/>
      <c r="ANY4" s="14"/>
      <c r="AOB4" s="324"/>
      <c r="AOC4" s="329"/>
      <c r="AOD4" s="1"/>
      <c r="AOE4" s="327"/>
      <c r="AOF4" s="14"/>
      <c r="AOI4" s="324"/>
      <c r="AOJ4" s="329"/>
      <c r="AOK4" s="1"/>
      <c r="AOL4" s="327"/>
      <c r="AOM4" s="14"/>
      <c r="AOP4" s="324"/>
      <c r="AOQ4" s="329"/>
      <c r="AOR4" s="1"/>
      <c r="AOS4" s="327"/>
      <c r="AOT4" s="14"/>
      <c r="AOW4" s="324"/>
      <c r="AOX4" s="329"/>
      <c r="AOY4" s="1"/>
      <c r="AOZ4" s="327"/>
      <c r="APA4" s="14"/>
      <c r="APD4" s="324"/>
      <c r="APE4" s="329"/>
      <c r="APF4" s="1"/>
      <c r="APG4" s="327"/>
      <c r="APH4" s="14"/>
      <c r="APK4" s="324"/>
      <c r="APL4" s="329"/>
      <c r="APM4" s="1"/>
      <c r="APN4" s="327"/>
      <c r="APO4" s="14"/>
      <c r="APR4" s="324"/>
      <c r="APS4" s="329"/>
      <c r="APT4" s="1"/>
      <c r="APU4" s="327"/>
      <c r="APV4" s="14"/>
      <c r="APY4" s="324"/>
      <c r="APZ4" s="329"/>
      <c r="AQA4" s="1"/>
      <c r="AQB4" s="327"/>
      <c r="AQC4" s="14"/>
      <c r="AQF4" s="324"/>
      <c r="AQG4" s="329"/>
      <c r="AQH4" s="1"/>
      <c r="AQI4" s="327"/>
      <c r="AQJ4" s="14"/>
      <c r="AQM4" s="324"/>
      <c r="AQN4" s="329"/>
      <c r="AQO4" s="1"/>
      <c r="AQP4" s="327"/>
      <c r="AQQ4" s="14"/>
      <c r="AQT4" s="324"/>
      <c r="AQU4" s="329"/>
      <c r="AQV4" s="1"/>
      <c r="AQW4" s="327"/>
      <c r="AQX4" s="14"/>
      <c r="ARA4" s="324"/>
      <c r="ARB4" s="329"/>
      <c r="ARC4" s="1"/>
      <c r="ARD4" s="327"/>
      <c r="ARE4" s="14"/>
      <c r="ARH4" s="324"/>
      <c r="ARI4" s="329"/>
      <c r="ARJ4" s="1"/>
      <c r="ARK4" s="327"/>
      <c r="ARL4" s="14"/>
      <c r="ARO4" s="324"/>
      <c r="ARP4" s="329"/>
      <c r="ARQ4" s="1"/>
      <c r="ARR4" s="327"/>
      <c r="ARS4" s="14"/>
      <c r="ARV4" s="324"/>
      <c r="ARW4" s="329"/>
      <c r="ARX4" s="1"/>
      <c r="ARY4" s="327"/>
      <c r="ARZ4" s="14"/>
      <c r="ASC4" s="324"/>
      <c r="ASD4" s="329"/>
      <c r="ASE4" s="1"/>
      <c r="ASF4" s="327"/>
      <c r="ASG4" s="14"/>
      <c r="ASJ4" s="324"/>
      <c r="ASK4" s="329"/>
      <c r="ASL4" s="1"/>
      <c r="ASM4" s="327"/>
      <c r="ASN4" s="14"/>
      <c r="ASQ4" s="324"/>
      <c r="ASR4" s="329"/>
      <c r="ASS4" s="1"/>
      <c r="AST4" s="327"/>
      <c r="ASU4" s="14"/>
      <c r="ASX4" s="324"/>
      <c r="ASY4" s="329"/>
      <c r="ASZ4" s="1"/>
      <c r="ATA4" s="327"/>
      <c r="ATB4" s="14"/>
      <c r="ATE4" s="324"/>
      <c r="ATF4" s="329"/>
      <c r="ATG4" s="1"/>
      <c r="ATH4" s="327"/>
      <c r="ATI4" s="14"/>
      <c r="ATL4" s="324"/>
      <c r="ATM4" s="329"/>
      <c r="ATN4" s="1"/>
      <c r="ATO4" s="327"/>
      <c r="ATP4" s="14"/>
      <c r="ATS4" s="324"/>
      <c r="ATT4" s="329"/>
      <c r="ATU4" s="1"/>
      <c r="ATV4" s="327"/>
      <c r="ATW4" s="14"/>
      <c r="ATZ4" s="324"/>
      <c r="AUA4" s="329"/>
      <c r="AUB4" s="1"/>
      <c r="AUC4" s="327"/>
      <c r="AUD4" s="14"/>
      <c r="AUG4" s="324"/>
      <c r="AUH4" s="329"/>
      <c r="AUI4" s="1"/>
      <c r="AUJ4" s="327"/>
      <c r="AUK4" s="14"/>
      <c r="AUN4" s="324"/>
      <c r="AUO4" s="329"/>
      <c r="AUP4" s="1"/>
      <c r="AUQ4" s="327"/>
      <c r="AUR4" s="14"/>
      <c r="AUU4" s="324"/>
      <c r="AUV4" s="329"/>
      <c r="AUW4" s="1"/>
      <c r="AUX4" s="327"/>
      <c r="AUY4" s="14"/>
      <c r="AVB4" s="324"/>
      <c r="AVC4" s="329"/>
      <c r="AVD4" s="1"/>
      <c r="AVE4" s="327"/>
      <c r="AVF4" s="14"/>
      <c r="AVI4" s="324"/>
      <c r="AVJ4" s="329"/>
      <c r="AVK4" s="1"/>
      <c r="AVL4" s="327"/>
      <c r="AVM4" s="14"/>
      <c r="AVP4" s="324"/>
      <c r="AVQ4" s="329"/>
      <c r="AVR4" s="1"/>
      <c r="AVS4" s="327"/>
      <c r="AVT4" s="14"/>
      <c r="AVW4" s="324"/>
      <c r="AVX4" s="329"/>
      <c r="AVY4" s="1"/>
      <c r="AVZ4" s="327"/>
      <c r="AWA4" s="14"/>
      <c r="AWD4" s="324"/>
      <c r="AWE4" s="329"/>
      <c r="AWF4" s="1"/>
      <c r="AWG4" s="327"/>
      <c r="AWH4" s="14"/>
      <c r="AWK4" s="324"/>
      <c r="AWL4" s="329"/>
      <c r="AWM4" s="1"/>
      <c r="AWN4" s="327"/>
      <c r="AWO4" s="14"/>
      <c r="AWR4" s="324"/>
      <c r="AWS4" s="329"/>
      <c r="AWT4" s="1"/>
      <c r="AWU4" s="327"/>
      <c r="AWV4" s="14"/>
      <c r="AWY4" s="324"/>
      <c r="AWZ4" s="329"/>
      <c r="AXA4" s="1"/>
      <c r="AXB4" s="327"/>
      <c r="AXC4" s="14"/>
      <c r="AXF4" s="324"/>
      <c r="AXG4" s="329"/>
      <c r="AXH4" s="1"/>
      <c r="AXI4" s="327"/>
      <c r="AXJ4" s="14"/>
      <c r="AXM4" s="324"/>
      <c r="AXN4" s="329"/>
      <c r="AXO4" s="1"/>
      <c r="AXP4" s="327"/>
      <c r="AXQ4" s="14"/>
      <c r="AXT4" s="324"/>
      <c r="AXU4" s="329"/>
      <c r="AXV4" s="1"/>
      <c r="AXW4" s="327"/>
      <c r="AXX4" s="14"/>
      <c r="AYA4" s="324"/>
      <c r="AYB4" s="329"/>
      <c r="AYC4" s="1"/>
      <c r="AYD4" s="327"/>
      <c r="AYE4" s="14"/>
      <c r="AYH4" s="324"/>
      <c r="AYI4" s="329"/>
      <c r="AYJ4" s="1"/>
      <c r="AYK4" s="327"/>
      <c r="AYL4" s="14"/>
      <c r="AYO4" s="324"/>
      <c r="AYP4" s="329"/>
      <c r="AYQ4" s="1"/>
      <c r="AYR4" s="327"/>
      <c r="AYS4" s="14"/>
      <c r="AYV4" s="324"/>
      <c r="AYW4" s="329"/>
      <c r="AYX4" s="1"/>
      <c r="AYY4" s="327"/>
      <c r="AYZ4" s="14"/>
      <c r="AZC4" s="324"/>
      <c r="AZD4" s="329"/>
      <c r="AZE4" s="1"/>
      <c r="AZF4" s="327"/>
      <c r="AZG4" s="14"/>
      <c r="AZJ4" s="324"/>
      <c r="AZK4" s="329"/>
      <c r="AZL4" s="1"/>
      <c r="AZM4" s="327"/>
      <c r="AZN4" s="14"/>
      <c r="AZQ4" s="324"/>
      <c r="AZR4" s="329"/>
      <c r="AZS4" s="1"/>
      <c r="AZT4" s="327"/>
      <c r="AZU4" s="14"/>
      <c r="AZX4" s="324"/>
      <c r="AZY4" s="329"/>
      <c r="AZZ4" s="1"/>
      <c r="BAA4" s="327"/>
      <c r="BAB4" s="14"/>
      <c r="BAE4" s="324"/>
      <c r="BAF4" s="329"/>
      <c r="BAG4" s="1"/>
      <c r="BAH4" s="327"/>
      <c r="BAI4" s="14"/>
      <c r="BAL4" s="324"/>
      <c r="BAM4" s="329"/>
      <c r="BAN4" s="1"/>
      <c r="BAO4" s="327"/>
      <c r="BAP4" s="14"/>
      <c r="BAS4" s="324"/>
      <c r="BAT4" s="329"/>
      <c r="BAU4" s="1"/>
      <c r="BAV4" s="327"/>
      <c r="BAW4" s="14"/>
      <c r="BAZ4" s="324"/>
      <c r="BBA4" s="329"/>
      <c r="BBB4" s="1"/>
      <c r="BBC4" s="327"/>
      <c r="BBD4" s="14"/>
      <c r="BBG4" s="324"/>
      <c r="BBH4" s="329"/>
      <c r="BBI4" s="1"/>
      <c r="BBJ4" s="327"/>
      <c r="BBK4" s="14"/>
      <c r="BBN4" s="324"/>
      <c r="BBO4" s="329"/>
      <c r="BBP4" s="1"/>
      <c r="BBQ4" s="327"/>
      <c r="BBR4" s="14"/>
      <c r="BBU4" s="324"/>
      <c r="BBV4" s="329"/>
      <c r="BBW4" s="1"/>
      <c r="BBX4" s="327"/>
      <c r="BBY4" s="14"/>
      <c r="BCB4" s="324"/>
      <c r="BCC4" s="329"/>
      <c r="BCD4" s="1"/>
      <c r="BCE4" s="327"/>
      <c r="BCF4" s="14"/>
      <c r="BCI4" s="324"/>
      <c r="BCJ4" s="329"/>
      <c r="BCK4" s="1"/>
      <c r="BCL4" s="327"/>
      <c r="BCM4" s="14"/>
      <c r="BCP4" s="324"/>
      <c r="BCQ4" s="329"/>
      <c r="BCR4" s="1"/>
      <c r="BCS4" s="327"/>
      <c r="BCT4" s="14"/>
      <c r="BCW4" s="324"/>
      <c r="BCX4" s="329"/>
      <c r="BCY4" s="1"/>
      <c r="BCZ4" s="327"/>
      <c r="BDA4" s="14"/>
      <c r="BDD4" s="324"/>
      <c r="BDE4" s="329"/>
      <c r="BDF4" s="1"/>
      <c r="BDG4" s="327"/>
      <c r="BDH4" s="14"/>
      <c r="BDK4" s="324"/>
      <c r="BDL4" s="329"/>
      <c r="BDM4" s="1"/>
      <c r="BDN4" s="327"/>
      <c r="BDO4" s="14"/>
      <c r="BDR4" s="324"/>
      <c r="BDS4" s="329"/>
      <c r="BDT4" s="1"/>
      <c r="BDU4" s="327"/>
      <c r="BDV4" s="14"/>
      <c r="BDY4" s="324"/>
      <c r="BDZ4" s="329"/>
      <c r="BEA4" s="1"/>
      <c r="BEB4" s="327"/>
      <c r="BEC4" s="14"/>
      <c r="BEF4" s="324"/>
      <c r="BEG4" s="329"/>
      <c r="BEH4" s="1"/>
      <c r="BEI4" s="327"/>
      <c r="BEJ4" s="14"/>
      <c r="BEM4" s="324"/>
      <c r="BEN4" s="329"/>
      <c r="BEO4" s="1"/>
      <c r="BEP4" s="327"/>
      <c r="BEQ4" s="14"/>
      <c r="BET4" s="324"/>
      <c r="BEU4" s="329"/>
      <c r="BEV4" s="1"/>
      <c r="BEW4" s="327"/>
      <c r="BEX4" s="14"/>
      <c r="BFA4" s="324"/>
      <c r="BFB4" s="329"/>
      <c r="BFC4" s="1"/>
      <c r="BFD4" s="327"/>
      <c r="BFE4" s="14"/>
      <c r="BFH4" s="324"/>
      <c r="BFI4" s="329"/>
      <c r="BFJ4" s="1"/>
      <c r="BFK4" s="327"/>
      <c r="BFL4" s="14"/>
      <c r="BFO4" s="324"/>
      <c r="BFP4" s="329"/>
      <c r="BFQ4" s="1"/>
      <c r="BFR4" s="327"/>
      <c r="BFS4" s="14"/>
      <c r="BFV4" s="324"/>
      <c r="BFW4" s="329"/>
      <c r="BFX4" s="1"/>
      <c r="BFY4" s="327"/>
      <c r="BFZ4" s="14"/>
      <c r="BGC4" s="324"/>
      <c r="BGD4" s="329"/>
      <c r="BGE4" s="1"/>
      <c r="BGF4" s="327"/>
      <c r="BGG4" s="14"/>
      <c r="BGJ4" s="324"/>
      <c r="BGK4" s="329"/>
      <c r="BGL4" s="1"/>
      <c r="BGM4" s="327"/>
      <c r="BGN4" s="14"/>
      <c r="BGQ4" s="324"/>
      <c r="BGR4" s="329"/>
      <c r="BGS4" s="1"/>
      <c r="BGT4" s="327"/>
      <c r="BGU4" s="14"/>
      <c r="BGX4" s="324"/>
      <c r="BGY4" s="329"/>
      <c r="BGZ4" s="1"/>
      <c r="BHA4" s="327"/>
      <c r="BHB4" s="14"/>
      <c r="BHE4" s="324"/>
      <c r="BHF4" s="329"/>
      <c r="BHG4" s="1"/>
      <c r="BHH4" s="327"/>
      <c r="BHI4" s="14"/>
      <c r="BHL4" s="324"/>
      <c r="BHM4" s="329"/>
      <c r="BHN4" s="1"/>
      <c r="BHO4" s="327"/>
      <c r="BHP4" s="14"/>
      <c r="BHS4" s="324"/>
      <c r="BHT4" s="329"/>
      <c r="BHU4" s="1"/>
      <c r="BHV4" s="327"/>
      <c r="BHW4" s="14"/>
      <c r="BHZ4" s="324"/>
      <c r="BIA4" s="329"/>
      <c r="BIB4" s="1"/>
      <c r="BIC4" s="327"/>
      <c r="BID4" s="14"/>
      <c r="BIG4" s="324"/>
      <c r="BIH4" s="329"/>
      <c r="BII4" s="1"/>
      <c r="BIJ4" s="327"/>
      <c r="BIK4" s="14"/>
      <c r="BIN4" s="324"/>
      <c r="BIO4" s="329"/>
      <c r="BIP4" s="1"/>
      <c r="BIQ4" s="327"/>
      <c r="BIR4" s="14"/>
      <c r="BIU4" s="324"/>
      <c r="BIV4" s="329"/>
      <c r="BIW4" s="1"/>
      <c r="BIX4" s="327"/>
      <c r="BIY4" s="14"/>
      <c r="BJB4" s="324"/>
      <c r="BJC4" s="329"/>
      <c r="BJD4" s="1"/>
      <c r="BJE4" s="327"/>
      <c r="BJF4" s="14"/>
      <c r="BJI4" s="324"/>
      <c r="BJJ4" s="329"/>
      <c r="BJK4" s="1"/>
      <c r="BJL4" s="327"/>
      <c r="BJM4" s="14"/>
      <c r="BJP4" s="324"/>
      <c r="BJQ4" s="329"/>
      <c r="BJR4" s="1"/>
      <c r="BJS4" s="327"/>
      <c r="BJT4" s="14"/>
      <c r="BJW4" s="324"/>
      <c r="BJX4" s="329"/>
      <c r="BJY4" s="1"/>
      <c r="BJZ4" s="327"/>
      <c r="BKA4" s="14"/>
      <c r="BKD4" s="324"/>
      <c r="BKE4" s="329"/>
      <c r="BKF4" s="1"/>
      <c r="BKG4" s="327"/>
      <c r="BKH4" s="14"/>
      <c r="BKK4" s="324"/>
      <c r="BKL4" s="329"/>
      <c r="BKM4" s="1"/>
      <c r="BKN4" s="327"/>
      <c r="BKO4" s="14"/>
      <c r="BKR4" s="324"/>
      <c r="BKS4" s="329"/>
      <c r="BKT4" s="1"/>
      <c r="BKU4" s="327"/>
      <c r="BKV4" s="14"/>
      <c r="BKY4" s="324"/>
      <c r="BKZ4" s="329"/>
      <c r="BLA4" s="1"/>
      <c r="BLB4" s="327"/>
      <c r="BLC4" s="14"/>
      <c r="BLF4" s="324"/>
      <c r="BLG4" s="329"/>
      <c r="BLH4" s="1"/>
      <c r="BLI4" s="327"/>
      <c r="BLJ4" s="14"/>
      <c r="BLM4" s="324"/>
      <c r="BLN4" s="329"/>
      <c r="BLO4" s="1"/>
      <c r="BLP4" s="327"/>
      <c r="BLQ4" s="14"/>
      <c r="BLT4" s="324"/>
      <c r="BLU4" s="329"/>
      <c r="BLV4" s="1"/>
      <c r="BLW4" s="327"/>
      <c r="BLX4" s="14"/>
      <c r="BMA4" s="324"/>
      <c r="BMB4" s="329"/>
      <c r="BMC4" s="1"/>
      <c r="BMD4" s="327"/>
      <c r="BME4" s="14"/>
      <c r="BMH4" s="324"/>
      <c r="BMI4" s="329"/>
      <c r="BMJ4" s="1"/>
      <c r="BMK4" s="327"/>
      <c r="BML4" s="14"/>
      <c r="BMO4" s="324"/>
      <c r="BMP4" s="329"/>
      <c r="BMQ4" s="1"/>
      <c r="BMR4" s="327"/>
      <c r="BMS4" s="14"/>
      <c r="BMV4" s="324"/>
      <c r="BMW4" s="329"/>
      <c r="BMX4" s="1"/>
      <c r="BMY4" s="327"/>
      <c r="BMZ4" s="14"/>
      <c r="BNC4" s="324"/>
      <c r="BND4" s="329"/>
      <c r="BNE4" s="1"/>
      <c r="BNF4" s="327"/>
      <c r="BNG4" s="14"/>
      <c r="BNJ4" s="324"/>
      <c r="BNK4" s="329"/>
      <c r="BNL4" s="1"/>
      <c r="BNM4" s="327"/>
      <c r="BNN4" s="14"/>
      <c r="BNQ4" s="324"/>
      <c r="BNR4" s="329"/>
      <c r="BNS4" s="1"/>
      <c r="BNT4" s="327"/>
      <c r="BNU4" s="14"/>
      <c r="BNX4" s="324"/>
      <c r="BNY4" s="329"/>
      <c r="BNZ4" s="1"/>
      <c r="BOA4" s="327"/>
      <c r="BOB4" s="14"/>
      <c r="BOE4" s="324"/>
      <c r="BOF4" s="329"/>
      <c r="BOG4" s="1"/>
      <c r="BOH4" s="327"/>
      <c r="BOI4" s="14"/>
      <c r="BOL4" s="324"/>
      <c r="BOM4" s="329"/>
      <c r="BON4" s="1"/>
      <c r="BOO4" s="327"/>
      <c r="BOP4" s="14"/>
      <c r="BOS4" s="324"/>
      <c r="BOT4" s="329"/>
      <c r="BOU4" s="1"/>
      <c r="BOV4" s="327"/>
      <c r="BOW4" s="14"/>
      <c r="BOZ4" s="324"/>
      <c r="BPA4" s="329"/>
      <c r="BPB4" s="1"/>
      <c r="BPC4" s="327"/>
      <c r="BPD4" s="14"/>
      <c r="BPG4" s="324"/>
      <c r="BPH4" s="329"/>
      <c r="BPI4" s="1"/>
      <c r="BPJ4" s="327"/>
      <c r="BPK4" s="14"/>
      <c r="BPN4" s="324"/>
      <c r="BPO4" s="329"/>
      <c r="BPP4" s="1"/>
      <c r="BPQ4" s="327"/>
      <c r="BPR4" s="14"/>
      <c r="BPU4" s="324"/>
      <c r="BPV4" s="329"/>
      <c r="BPW4" s="1"/>
      <c r="BPX4" s="327"/>
      <c r="BPY4" s="14"/>
      <c r="BQB4" s="324"/>
      <c r="BQC4" s="329"/>
      <c r="BQD4" s="1"/>
      <c r="BQE4" s="327"/>
      <c r="BQF4" s="14"/>
      <c r="BQI4" s="324"/>
      <c r="BQJ4" s="329"/>
      <c r="BQK4" s="1"/>
      <c r="BQL4" s="327"/>
      <c r="BQM4" s="14"/>
      <c r="BQP4" s="324"/>
      <c r="BQQ4" s="329"/>
      <c r="BQR4" s="1"/>
      <c r="BQS4" s="327"/>
      <c r="BQT4" s="14"/>
      <c r="BQW4" s="324"/>
      <c r="BQX4" s="329"/>
      <c r="BQY4" s="1"/>
      <c r="BQZ4" s="327"/>
      <c r="BRA4" s="14"/>
      <c r="BRD4" s="324"/>
      <c r="BRE4" s="329"/>
      <c r="BRF4" s="1"/>
      <c r="BRG4" s="327"/>
      <c r="BRH4" s="14"/>
      <c r="BRK4" s="324"/>
      <c r="BRL4" s="329"/>
      <c r="BRM4" s="1"/>
      <c r="BRN4" s="327"/>
      <c r="BRO4" s="14"/>
      <c r="BRR4" s="324"/>
      <c r="BRS4" s="329"/>
      <c r="BRT4" s="1"/>
      <c r="BRU4" s="327"/>
      <c r="BRV4" s="14"/>
      <c r="BRY4" s="324"/>
      <c r="BRZ4" s="329"/>
      <c r="BSA4" s="1"/>
      <c r="BSB4" s="327"/>
      <c r="BSC4" s="14"/>
      <c r="BSF4" s="324"/>
      <c r="BSG4" s="329"/>
      <c r="BSH4" s="1"/>
      <c r="BSI4" s="327"/>
      <c r="BSJ4" s="14"/>
      <c r="BSM4" s="324"/>
      <c r="BSN4" s="329"/>
      <c r="BSO4" s="1"/>
      <c r="BSP4" s="327"/>
      <c r="BSQ4" s="14"/>
      <c r="BST4" s="324"/>
      <c r="BSU4" s="329"/>
      <c r="BSV4" s="1"/>
      <c r="BSW4" s="327"/>
      <c r="BSX4" s="14"/>
      <c r="BTA4" s="324"/>
      <c r="BTB4" s="329"/>
      <c r="BTC4" s="1"/>
      <c r="BTD4" s="327"/>
      <c r="BTE4" s="14"/>
      <c r="BTH4" s="324"/>
      <c r="BTI4" s="329"/>
      <c r="BTJ4" s="1"/>
      <c r="BTK4" s="327"/>
      <c r="BTL4" s="14"/>
      <c r="BTO4" s="324"/>
      <c r="BTP4" s="329"/>
      <c r="BTQ4" s="1"/>
      <c r="BTR4" s="327"/>
      <c r="BTS4" s="14"/>
      <c r="BTV4" s="324"/>
      <c r="BTW4" s="329"/>
      <c r="BTX4" s="1"/>
      <c r="BTY4" s="327"/>
      <c r="BTZ4" s="14"/>
      <c r="BUC4" s="324"/>
      <c r="BUD4" s="329"/>
      <c r="BUE4" s="1"/>
      <c r="BUF4" s="327"/>
      <c r="BUG4" s="14"/>
      <c r="BUJ4" s="324"/>
      <c r="BUK4" s="329"/>
      <c r="BUL4" s="1"/>
      <c r="BUM4" s="327"/>
      <c r="BUN4" s="14"/>
      <c r="BUQ4" s="324"/>
      <c r="BUR4" s="329"/>
      <c r="BUS4" s="1"/>
      <c r="BUT4" s="327"/>
      <c r="BUU4" s="14"/>
      <c r="BUX4" s="324"/>
      <c r="BUY4" s="329"/>
      <c r="BUZ4" s="1"/>
      <c r="BVA4" s="327"/>
      <c r="BVB4" s="14"/>
      <c r="BVE4" s="324"/>
      <c r="BVF4" s="329"/>
      <c r="BVG4" s="1"/>
      <c r="BVH4" s="327"/>
      <c r="BVI4" s="14"/>
      <c r="BVL4" s="324"/>
      <c r="BVM4" s="329"/>
      <c r="BVN4" s="1"/>
      <c r="BVO4" s="327"/>
      <c r="BVP4" s="14"/>
      <c r="BVS4" s="324"/>
      <c r="BVT4" s="329"/>
      <c r="BVU4" s="1"/>
      <c r="BVV4" s="327"/>
      <c r="BVW4" s="14"/>
      <c r="BVZ4" s="324"/>
      <c r="BWA4" s="329"/>
      <c r="BWB4" s="1"/>
      <c r="BWC4" s="327"/>
      <c r="BWD4" s="14"/>
      <c r="BWG4" s="324"/>
      <c r="BWH4" s="329"/>
      <c r="BWI4" s="1"/>
      <c r="BWJ4" s="327"/>
      <c r="BWK4" s="14"/>
      <c r="BWN4" s="324"/>
      <c r="BWO4" s="329"/>
      <c r="BWP4" s="1"/>
      <c r="BWQ4" s="327"/>
      <c r="BWR4" s="14"/>
      <c r="BWU4" s="324"/>
      <c r="BWV4" s="329"/>
      <c r="BWW4" s="1"/>
      <c r="BWX4" s="327"/>
      <c r="BWY4" s="14"/>
      <c r="BXB4" s="324"/>
      <c r="BXC4" s="329"/>
      <c r="BXD4" s="1"/>
      <c r="BXE4" s="327"/>
      <c r="BXF4" s="14"/>
      <c r="BXI4" s="324"/>
      <c r="BXJ4" s="329"/>
      <c r="BXK4" s="1"/>
      <c r="BXL4" s="327"/>
      <c r="BXM4" s="14"/>
      <c r="BXP4" s="324"/>
      <c r="BXQ4" s="329"/>
      <c r="BXR4" s="1"/>
      <c r="BXS4" s="327"/>
      <c r="BXT4" s="14"/>
      <c r="BXW4" s="324"/>
      <c r="BXX4" s="329"/>
      <c r="BXY4" s="1"/>
      <c r="BXZ4" s="327"/>
      <c r="BYA4" s="14"/>
      <c r="BYD4" s="324"/>
      <c r="BYE4" s="329"/>
      <c r="BYF4" s="1"/>
      <c r="BYG4" s="327"/>
      <c r="BYH4" s="14"/>
      <c r="BYK4" s="324"/>
      <c r="BYL4" s="329"/>
      <c r="BYM4" s="1"/>
      <c r="BYN4" s="327"/>
      <c r="BYO4" s="14"/>
      <c r="BYR4" s="324"/>
      <c r="BYS4" s="329"/>
      <c r="BYT4" s="1"/>
      <c r="BYU4" s="327"/>
      <c r="BYV4" s="14"/>
      <c r="BYY4" s="324"/>
      <c r="BYZ4" s="329"/>
      <c r="BZA4" s="1"/>
      <c r="BZB4" s="327"/>
      <c r="BZC4" s="14"/>
      <c r="BZF4" s="324"/>
      <c r="BZG4" s="329"/>
      <c r="BZH4" s="1"/>
      <c r="BZI4" s="327"/>
      <c r="BZJ4" s="14"/>
      <c r="BZM4" s="324"/>
      <c r="BZN4" s="329"/>
      <c r="BZO4" s="1"/>
      <c r="BZP4" s="327"/>
      <c r="BZQ4" s="14"/>
      <c r="BZT4" s="324"/>
      <c r="BZU4" s="329"/>
      <c r="BZV4" s="1"/>
      <c r="BZW4" s="327"/>
      <c r="BZX4" s="14"/>
      <c r="CAA4" s="324"/>
      <c r="CAB4" s="329"/>
      <c r="CAC4" s="1"/>
      <c r="CAD4" s="327"/>
      <c r="CAE4" s="14"/>
      <c r="CAH4" s="324"/>
      <c r="CAI4" s="329"/>
      <c r="CAJ4" s="1"/>
      <c r="CAK4" s="327"/>
      <c r="CAL4" s="14"/>
      <c r="CAO4" s="324"/>
      <c r="CAP4" s="329"/>
      <c r="CAQ4" s="1"/>
      <c r="CAR4" s="327"/>
      <c r="CAS4" s="14"/>
      <c r="CAV4" s="324"/>
      <c r="CAW4" s="329"/>
      <c r="CAX4" s="1"/>
      <c r="CAY4" s="327"/>
      <c r="CAZ4" s="14"/>
      <c r="CBC4" s="324"/>
      <c r="CBD4" s="329"/>
      <c r="CBE4" s="1"/>
      <c r="CBF4" s="327"/>
      <c r="CBG4" s="14"/>
      <c r="CBJ4" s="324"/>
      <c r="CBK4" s="329"/>
      <c r="CBL4" s="1"/>
      <c r="CBM4" s="327"/>
      <c r="CBN4" s="14"/>
      <c r="CBQ4" s="324"/>
      <c r="CBR4" s="329"/>
      <c r="CBS4" s="1"/>
      <c r="CBT4" s="327"/>
      <c r="CBU4" s="14"/>
      <c r="CBX4" s="324"/>
      <c r="CBY4" s="329"/>
      <c r="CBZ4" s="1"/>
      <c r="CCA4" s="327"/>
      <c r="CCB4" s="14"/>
      <c r="CCE4" s="324"/>
      <c r="CCF4" s="329"/>
      <c r="CCG4" s="1"/>
      <c r="CCH4" s="327"/>
      <c r="CCI4" s="14"/>
      <c r="CCL4" s="324"/>
      <c r="CCM4" s="329"/>
      <c r="CCN4" s="1"/>
      <c r="CCO4" s="327"/>
      <c r="CCP4" s="14"/>
      <c r="CCS4" s="324"/>
      <c r="CCT4" s="329"/>
      <c r="CCU4" s="1"/>
      <c r="CCV4" s="327"/>
      <c r="CCW4" s="14"/>
      <c r="CCZ4" s="324"/>
      <c r="CDA4" s="329"/>
      <c r="CDB4" s="1"/>
      <c r="CDC4" s="327"/>
      <c r="CDD4" s="14"/>
      <c r="CDG4" s="324"/>
      <c r="CDH4" s="329"/>
      <c r="CDI4" s="1"/>
      <c r="CDJ4" s="327"/>
      <c r="CDK4" s="14"/>
      <c r="CDN4" s="324"/>
      <c r="CDO4" s="329"/>
      <c r="CDP4" s="1"/>
      <c r="CDQ4" s="327"/>
      <c r="CDR4" s="14"/>
      <c r="CDU4" s="324"/>
      <c r="CDV4" s="329"/>
      <c r="CDW4" s="1"/>
      <c r="CDX4" s="327"/>
      <c r="CDY4" s="14"/>
      <c r="CEB4" s="324"/>
      <c r="CEC4" s="329"/>
      <c r="CED4" s="1"/>
      <c r="CEE4" s="327"/>
      <c r="CEF4" s="14"/>
      <c r="CEI4" s="324"/>
      <c r="CEJ4" s="329"/>
      <c r="CEK4" s="1"/>
      <c r="CEL4" s="327"/>
      <c r="CEM4" s="14"/>
      <c r="CEP4" s="324"/>
      <c r="CEQ4" s="329"/>
      <c r="CER4" s="1"/>
      <c r="CES4" s="327"/>
      <c r="CET4" s="14"/>
      <c r="CEW4" s="324"/>
      <c r="CEX4" s="329"/>
      <c r="CEY4" s="1"/>
      <c r="CEZ4" s="327"/>
      <c r="CFA4" s="14"/>
      <c r="CFD4" s="324"/>
      <c r="CFE4" s="329"/>
      <c r="CFF4" s="1"/>
      <c r="CFG4" s="327"/>
      <c r="CFH4" s="14"/>
      <c r="CFK4" s="324"/>
      <c r="CFL4" s="329"/>
      <c r="CFM4" s="1"/>
      <c r="CFN4" s="327"/>
      <c r="CFO4" s="14"/>
      <c r="CFR4" s="324"/>
      <c r="CFS4" s="329"/>
      <c r="CFT4" s="1"/>
      <c r="CFU4" s="327"/>
      <c r="CFV4" s="14"/>
      <c r="CFY4" s="324"/>
      <c r="CFZ4" s="329"/>
      <c r="CGA4" s="1"/>
      <c r="CGB4" s="327"/>
      <c r="CGC4" s="14"/>
      <c r="CGF4" s="324"/>
      <c r="CGG4" s="329"/>
      <c r="CGH4" s="1"/>
      <c r="CGI4" s="327"/>
      <c r="CGJ4" s="14"/>
      <c r="CGM4" s="324"/>
      <c r="CGN4" s="329"/>
      <c r="CGO4" s="1"/>
      <c r="CGP4" s="327"/>
      <c r="CGQ4" s="14"/>
      <c r="CGT4" s="324"/>
      <c r="CGU4" s="329"/>
      <c r="CGV4" s="1"/>
      <c r="CGW4" s="327"/>
      <c r="CGX4" s="14"/>
      <c r="CHA4" s="324"/>
      <c r="CHB4" s="329"/>
      <c r="CHC4" s="1"/>
      <c r="CHD4" s="327"/>
      <c r="CHE4" s="14"/>
      <c r="CHH4" s="324"/>
      <c r="CHI4" s="329"/>
      <c r="CHJ4" s="1"/>
      <c r="CHK4" s="327"/>
      <c r="CHL4" s="14"/>
      <c r="CHO4" s="324"/>
      <c r="CHP4" s="329"/>
      <c r="CHQ4" s="1"/>
      <c r="CHR4" s="327"/>
      <c r="CHS4" s="14"/>
      <c r="CHV4" s="324"/>
      <c r="CHW4" s="329"/>
      <c r="CHX4" s="1"/>
      <c r="CHY4" s="327"/>
      <c r="CHZ4" s="14"/>
      <c r="CIC4" s="324"/>
      <c r="CID4" s="329"/>
      <c r="CIE4" s="1"/>
      <c r="CIF4" s="327"/>
      <c r="CIG4" s="14"/>
      <c r="CIJ4" s="324"/>
      <c r="CIK4" s="329"/>
      <c r="CIL4" s="1"/>
      <c r="CIM4" s="327"/>
      <c r="CIN4" s="14"/>
      <c r="CIQ4" s="324"/>
      <c r="CIR4" s="329"/>
      <c r="CIS4" s="1"/>
      <c r="CIT4" s="327"/>
      <c r="CIU4" s="14"/>
      <c r="CIX4" s="324"/>
      <c r="CIY4" s="329"/>
      <c r="CIZ4" s="1"/>
      <c r="CJA4" s="327"/>
      <c r="CJB4" s="14"/>
      <c r="CJE4" s="324"/>
      <c r="CJF4" s="329"/>
      <c r="CJG4" s="1"/>
      <c r="CJH4" s="327"/>
      <c r="CJI4" s="14"/>
      <c r="CJL4" s="324"/>
      <c r="CJM4" s="329"/>
      <c r="CJN4" s="1"/>
      <c r="CJO4" s="327"/>
      <c r="CJP4" s="14"/>
      <c r="CJS4" s="324"/>
      <c r="CJT4" s="329"/>
      <c r="CJU4" s="1"/>
      <c r="CJV4" s="327"/>
      <c r="CJW4" s="14"/>
      <c r="CJZ4" s="324"/>
      <c r="CKA4" s="329"/>
      <c r="CKB4" s="1"/>
      <c r="CKC4" s="327"/>
      <c r="CKD4" s="14"/>
      <c r="CKG4" s="324"/>
      <c r="CKH4" s="329"/>
      <c r="CKI4" s="1"/>
      <c r="CKJ4" s="327"/>
      <c r="CKK4" s="14"/>
      <c r="CKN4" s="324"/>
      <c r="CKO4" s="329"/>
      <c r="CKP4" s="1"/>
      <c r="CKQ4" s="327"/>
      <c r="CKR4" s="14"/>
      <c r="CKU4" s="324"/>
      <c r="CKV4" s="329"/>
      <c r="CKW4" s="1"/>
      <c r="CKX4" s="327"/>
      <c r="CKY4" s="14"/>
      <c r="CLB4" s="324"/>
      <c r="CLC4" s="329"/>
      <c r="CLD4" s="1"/>
      <c r="CLE4" s="327"/>
      <c r="CLF4" s="14"/>
      <c r="CLI4" s="324"/>
      <c r="CLJ4" s="329"/>
      <c r="CLK4" s="1"/>
      <c r="CLL4" s="327"/>
      <c r="CLM4" s="14"/>
      <c r="CLP4" s="324"/>
      <c r="CLQ4" s="329"/>
      <c r="CLR4" s="1"/>
      <c r="CLS4" s="327"/>
      <c r="CLT4" s="14"/>
      <c r="CLW4" s="324"/>
      <c r="CLX4" s="329"/>
      <c r="CLY4" s="1"/>
      <c r="CLZ4" s="327"/>
      <c r="CMA4" s="14"/>
      <c r="CMD4" s="324"/>
      <c r="CME4" s="329"/>
      <c r="CMF4" s="1"/>
      <c r="CMG4" s="327"/>
      <c r="CMH4" s="14"/>
      <c r="CMK4" s="324"/>
      <c r="CML4" s="329"/>
      <c r="CMM4" s="1"/>
      <c r="CMN4" s="327"/>
      <c r="CMO4" s="14"/>
      <c r="CMR4" s="324"/>
      <c r="CMS4" s="329"/>
      <c r="CMT4" s="1"/>
      <c r="CMU4" s="327"/>
      <c r="CMV4" s="14"/>
      <c r="CMY4" s="324"/>
      <c r="CMZ4" s="329"/>
      <c r="CNA4" s="1"/>
      <c r="CNB4" s="327"/>
      <c r="CNC4" s="14"/>
      <c r="CNF4" s="324"/>
      <c r="CNG4" s="329"/>
      <c r="CNH4" s="1"/>
      <c r="CNI4" s="327"/>
      <c r="CNJ4" s="14"/>
      <c r="CNM4" s="324"/>
      <c r="CNN4" s="329"/>
      <c r="CNO4" s="1"/>
      <c r="CNP4" s="327"/>
      <c r="CNQ4" s="14"/>
      <c r="CNT4" s="324"/>
      <c r="CNU4" s="329"/>
      <c r="CNV4" s="1"/>
      <c r="CNW4" s="327"/>
      <c r="CNX4" s="14"/>
      <c r="COA4" s="324"/>
      <c r="COB4" s="329"/>
      <c r="COC4" s="1"/>
      <c r="COD4" s="327"/>
      <c r="COE4" s="14"/>
      <c r="COH4" s="324"/>
      <c r="COI4" s="329"/>
      <c r="COJ4" s="1"/>
      <c r="COK4" s="327"/>
      <c r="COL4" s="14"/>
      <c r="COO4" s="324"/>
      <c r="COP4" s="329"/>
      <c r="COQ4" s="1"/>
      <c r="COR4" s="327"/>
      <c r="COS4" s="14"/>
      <c r="COV4" s="324"/>
      <c r="COW4" s="329"/>
      <c r="COX4" s="1"/>
      <c r="COY4" s="327"/>
      <c r="COZ4" s="14"/>
      <c r="CPC4" s="324"/>
      <c r="CPD4" s="329"/>
      <c r="CPE4" s="1"/>
      <c r="CPF4" s="327"/>
      <c r="CPG4" s="14"/>
      <c r="CPJ4" s="324"/>
      <c r="CPK4" s="329"/>
      <c r="CPL4" s="1"/>
      <c r="CPM4" s="327"/>
      <c r="CPN4" s="14"/>
      <c r="CPQ4" s="324"/>
      <c r="CPR4" s="329"/>
      <c r="CPS4" s="1"/>
      <c r="CPT4" s="327"/>
      <c r="CPU4" s="14"/>
      <c r="CPX4" s="324"/>
      <c r="CPY4" s="329"/>
      <c r="CPZ4" s="1"/>
      <c r="CQA4" s="327"/>
      <c r="CQB4" s="14"/>
      <c r="CQE4" s="324"/>
      <c r="CQF4" s="329"/>
      <c r="CQG4" s="1"/>
      <c r="CQH4" s="327"/>
      <c r="CQI4" s="14"/>
      <c r="CQL4" s="324"/>
      <c r="CQM4" s="329"/>
      <c r="CQN4" s="1"/>
      <c r="CQO4" s="327"/>
      <c r="CQP4" s="14"/>
      <c r="CQS4" s="324"/>
      <c r="CQT4" s="329"/>
      <c r="CQU4" s="1"/>
      <c r="CQV4" s="327"/>
      <c r="CQW4" s="14"/>
      <c r="CQZ4" s="324"/>
      <c r="CRA4" s="329"/>
      <c r="CRB4" s="1"/>
      <c r="CRC4" s="327"/>
      <c r="CRD4" s="14"/>
      <c r="CRG4" s="324"/>
      <c r="CRH4" s="329"/>
      <c r="CRI4" s="1"/>
      <c r="CRJ4" s="327"/>
      <c r="CRK4" s="14"/>
      <c r="CRN4" s="324"/>
      <c r="CRO4" s="329"/>
      <c r="CRP4" s="1"/>
      <c r="CRQ4" s="327"/>
      <c r="CRR4" s="14"/>
      <c r="CRU4" s="324"/>
      <c r="CRV4" s="329"/>
      <c r="CRW4" s="1"/>
      <c r="CRX4" s="327"/>
      <c r="CRY4" s="14"/>
      <c r="CSB4" s="324"/>
      <c r="CSC4" s="329"/>
      <c r="CSD4" s="1"/>
      <c r="CSE4" s="327"/>
      <c r="CSF4" s="14"/>
      <c r="CSI4" s="324"/>
      <c r="CSJ4" s="329"/>
      <c r="CSK4" s="1"/>
      <c r="CSL4" s="327"/>
      <c r="CSM4" s="14"/>
      <c r="CSP4" s="324"/>
      <c r="CSQ4" s="329"/>
      <c r="CSR4" s="1"/>
      <c r="CSS4" s="327"/>
      <c r="CST4" s="14"/>
      <c r="CSW4" s="324"/>
      <c r="CSX4" s="329"/>
      <c r="CSY4" s="1"/>
      <c r="CSZ4" s="327"/>
      <c r="CTA4" s="14"/>
      <c r="CTD4" s="324"/>
      <c r="CTE4" s="329"/>
      <c r="CTF4" s="1"/>
      <c r="CTG4" s="327"/>
      <c r="CTH4" s="14"/>
      <c r="CTK4" s="324"/>
      <c r="CTL4" s="329"/>
      <c r="CTM4" s="1"/>
      <c r="CTN4" s="327"/>
      <c r="CTO4" s="14"/>
      <c r="CTR4" s="324"/>
      <c r="CTS4" s="329"/>
      <c r="CTT4" s="1"/>
      <c r="CTU4" s="327"/>
      <c r="CTV4" s="14"/>
      <c r="CTY4" s="324"/>
      <c r="CTZ4" s="329"/>
      <c r="CUA4" s="1"/>
      <c r="CUB4" s="327"/>
      <c r="CUC4" s="14"/>
      <c r="CUF4" s="324"/>
      <c r="CUG4" s="329"/>
      <c r="CUH4" s="1"/>
      <c r="CUI4" s="327"/>
      <c r="CUJ4" s="14"/>
      <c r="CUM4" s="324"/>
      <c r="CUN4" s="329"/>
      <c r="CUO4" s="1"/>
      <c r="CUP4" s="327"/>
      <c r="CUQ4" s="14"/>
      <c r="CUT4" s="324"/>
      <c r="CUU4" s="329"/>
      <c r="CUV4" s="1"/>
      <c r="CUW4" s="327"/>
      <c r="CUX4" s="14"/>
      <c r="CVA4" s="324"/>
      <c r="CVB4" s="329"/>
      <c r="CVC4" s="1"/>
      <c r="CVD4" s="327"/>
      <c r="CVE4" s="14"/>
      <c r="CVH4" s="324"/>
      <c r="CVI4" s="329"/>
      <c r="CVJ4" s="1"/>
      <c r="CVK4" s="327"/>
      <c r="CVL4" s="14"/>
      <c r="CVO4" s="324"/>
      <c r="CVP4" s="329"/>
      <c r="CVQ4" s="1"/>
      <c r="CVR4" s="327"/>
      <c r="CVS4" s="14"/>
      <c r="CVV4" s="324"/>
      <c r="CVW4" s="329"/>
      <c r="CVX4" s="1"/>
      <c r="CVY4" s="327"/>
      <c r="CVZ4" s="14"/>
      <c r="CWC4" s="324"/>
      <c r="CWD4" s="329"/>
      <c r="CWE4" s="1"/>
      <c r="CWF4" s="327"/>
      <c r="CWG4" s="14"/>
      <c r="CWJ4" s="324"/>
      <c r="CWK4" s="329"/>
      <c r="CWL4" s="1"/>
      <c r="CWM4" s="327"/>
      <c r="CWN4" s="14"/>
      <c r="CWQ4" s="324"/>
      <c r="CWR4" s="329"/>
      <c r="CWS4" s="1"/>
      <c r="CWT4" s="327"/>
      <c r="CWU4" s="14"/>
      <c r="CWX4" s="324"/>
      <c r="CWY4" s="329"/>
      <c r="CWZ4" s="1"/>
      <c r="CXA4" s="327"/>
      <c r="CXB4" s="14"/>
      <c r="CXE4" s="324"/>
      <c r="CXF4" s="329"/>
      <c r="CXG4" s="1"/>
      <c r="CXH4" s="327"/>
      <c r="CXI4" s="14"/>
      <c r="CXL4" s="324"/>
      <c r="CXM4" s="329"/>
      <c r="CXN4" s="1"/>
      <c r="CXO4" s="327"/>
      <c r="CXP4" s="14"/>
      <c r="CXS4" s="324"/>
      <c r="CXT4" s="329"/>
      <c r="CXU4" s="1"/>
      <c r="CXV4" s="327"/>
      <c r="CXW4" s="14"/>
      <c r="CXZ4" s="324"/>
      <c r="CYA4" s="329"/>
      <c r="CYB4" s="1"/>
      <c r="CYC4" s="327"/>
      <c r="CYD4" s="14"/>
      <c r="CYG4" s="324"/>
      <c r="CYH4" s="329"/>
      <c r="CYI4" s="1"/>
      <c r="CYJ4" s="327"/>
      <c r="CYK4" s="14"/>
      <c r="CYN4" s="324"/>
      <c r="CYO4" s="329"/>
      <c r="CYP4" s="1"/>
      <c r="CYQ4" s="327"/>
      <c r="CYR4" s="14"/>
      <c r="CYU4" s="324"/>
      <c r="CYV4" s="329"/>
      <c r="CYW4" s="1"/>
      <c r="CYX4" s="327"/>
      <c r="CYY4" s="14"/>
      <c r="CZB4" s="324"/>
      <c r="CZC4" s="329"/>
      <c r="CZD4" s="1"/>
      <c r="CZE4" s="327"/>
      <c r="CZF4" s="14"/>
      <c r="CZI4" s="324"/>
      <c r="CZJ4" s="329"/>
      <c r="CZK4" s="1"/>
      <c r="CZL4" s="327"/>
      <c r="CZM4" s="14"/>
      <c r="CZP4" s="324"/>
      <c r="CZQ4" s="329"/>
      <c r="CZR4" s="1"/>
      <c r="CZS4" s="327"/>
      <c r="CZT4" s="14"/>
      <c r="CZW4" s="324"/>
      <c r="CZX4" s="329"/>
      <c r="CZY4" s="1"/>
      <c r="CZZ4" s="327"/>
      <c r="DAA4" s="14"/>
      <c r="DAD4" s="324"/>
      <c r="DAE4" s="329"/>
      <c r="DAF4" s="1"/>
      <c r="DAG4" s="327"/>
      <c r="DAH4" s="14"/>
      <c r="DAK4" s="324"/>
      <c r="DAL4" s="329"/>
      <c r="DAM4" s="1"/>
      <c r="DAN4" s="327"/>
      <c r="DAO4" s="14"/>
      <c r="DAR4" s="324"/>
      <c r="DAS4" s="329"/>
      <c r="DAT4" s="1"/>
      <c r="DAU4" s="327"/>
      <c r="DAV4" s="14"/>
      <c r="DAY4" s="324"/>
      <c r="DAZ4" s="329"/>
      <c r="DBA4" s="1"/>
      <c r="DBB4" s="327"/>
      <c r="DBC4" s="14"/>
      <c r="DBF4" s="324"/>
      <c r="DBG4" s="329"/>
      <c r="DBH4" s="1"/>
      <c r="DBI4" s="327"/>
      <c r="DBJ4" s="14"/>
      <c r="DBM4" s="324"/>
      <c r="DBN4" s="329"/>
      <c r="DBO4" s="1"/>
      <c r="DBP4" s="327"/>
      <c r="DBQ4" s="14"/>
      <c r="DBT4" s="324"/>
      <c r="DBU4" s="329"/>
      <c r="DBV4" s="1"/>
      <c r="DBW4" s="327"/>
      <c r="DBX4" s="14"/>
      <c r="DCA4" s="324"/>
      <c r="DCB4" s="329"/>
      <c r="DCC4" s="1"/>
      <c r="DCD4" s="327"/>
      <c r="DCE4" s="14"/>
      <c r="DCH4" s="324"/>
      <c r="DCI4" s="329"/>
      <c r="DCJ4" s="1"/>
      <c r="DCK4" s="327"/>
      <c r="DCL4" s="14"/>
      <c r="DCO4" s="324"/>
      <c r="DCP4" s="329"/>
      <c r="DCQ4" s="1"/>
      <c r="DCR4" s="327"/>
      <c r="DCS4" s="14"/>
      <c r="DCV4" s="324"/>
      <c r="DCW4" s="329"/>
      <c r="DCX4" s="1"/>
      <c r="DCY4" s="327"/>
      <c r="DCZ4" s="14"/>
      <c r="DDC4" s="324"/>
      <c r="DDD4" s="329"/>
      <c r="DDE4" s="1"/>
      <c r="DDF4" s="327"/>
      <c r="DDG4" s="14"/>
      <c r="DDJ4" s="324"/>
      <c r="DDK4" s="329"/>
      <c r="DDL4" s="1"/>
      <c r="DDM4" s="327"/>
      <c r="DDN4" s="14"/>
      <c r="DDQ4" s="324"/>
      <c r="DDR4" s="329"/>
      <c r="DDS4" s="1"/>
      <c r="DDT4" s="327"/>
      <c r="DDU4" s="14"/>
      <c r="DDX4" s="324"/>
      <c r="DDY4" s="329"/>
      <c r="DDZ4" s="1"/>
      <c r="DEA4" s="327"/>
      <c r="DEB4" s="14"/>
      <c r="DEE4" s="324"/>
      <c r="DEF4" s="329"/>
      <c r="DEG4" s="1"/>
      <c r="DEH4" s="327"/>
      <c r="DEI4" s="14"/>
      <c r="DEL4" s="324"/>
      <c r="DEM4" s="329"/>
      <c r="DEN4" s="1"/>
      <c r="DEO4" s="327"/>
      <c r="DEP4" s="14"/>
      <c r="DES4" s="324"/>
      <c r="DET4" s="329"/>
      <c r="DEU4" s="1"/>
      <c r="DEV4" s="327"/>
      <c r="DEW4" s="14"/>
      <c r="DEZ4" s="324"/>
      <c r="DFA4" s="329"/>
      <c r="DFB4" s="1"/>
      <c r="DFC4" s="327"/>
      <c r="DFD4" s="14"/>
      <c r="DFG4" s="324"/>
      <c r="DFH4" s="329"/>
      <c r="DFI4" s="1"/>
      <c r="DFJ4" s="327"/>
      <c r="DFK4" s="14"/>
      <c r="DFN4" s="324"/>
      <c r="DFO4" s="329"/>
      <c r="DFP4" s="1"/>
      <c r="DFQ4" s="327"/>
      <c r="DFR4" s="14"/>
      <c r="DFU4" s="324"/>
      <c r="DFV4" s="329"/>
      <c r="DFW4" s="1"/>
      <c r="DFX4" s="327"/>
      <c r="DFY4" s="14"/>
      <c r="DGB4" s="324"/>
      <c r="DGC4" s="329"/>
      <c r="DGD4" s="1"/>
      <c r="DGE4" s="327"/>
      <c r="DGF4" s="14"/>
      <c r="DGI4" s="324"/>
      <c r="DGJ4" s="329"/>
      <c r="DGK4" s="1"/>
      <c r="DGL4" s="327"/>
      <c r="DGM4" s="14"/>
      <c r="DGP4" s="324"/>
      <c r="DGQ4" s="329"/>
      <c r="DGR4" s="1"/>
      <c r="DGS4" s="327"/>
      <c r="DGT4" s="14"/>
      <c r="DGW4" s="324"/>
      <c r="DGX4" s="329"/>
      <c r="DGY4" s="1"/>
      <c r="DGZ4" s="327"/>
      <c r="DHA4" s="14"/>
      <c r="DHD4" s="324"/>
      <c r="DHE4" s="329"/>
      <c r="DHF4" s="1"/>
      <c r="DHG4" s="327"/>
      <c r="DHH4" s="14"/>
      <c r="DHK4" s="324"/>
      <c r="DHL4" s="329"/>
      <c r="DHM4" s="1"/>
      <c r="DHN4" s="327"/>
      <c r="DHO4" s="14"/>
      <c r="DHR4" s="324"/>
      <c r="DHS4" s="329"/>
      <c r="DHT4" s="1"/>
      <c r="DHU4" s="327"/>
      <c r="DHV4" s="14"/>
      <c r="DHY4" s="324"/>
      <c r="DHZ4" s="329"/>
      <c r="DIA4" s="1"/>
      <c r="DIB4" s="327"/>
      <c r="DIC4" s="14"/>
      <c r="DIF4" s="324"/>
      <c r="DIG4" s="329"/>
      <c r="DIH4" s="1"/>
      <c r="DII4" s="327"/>
      <c r="DIJ4" s="14"/>
      <c r="DIM4" s="324"/>
      <c r="DIN4" s="329"/>
      <c r="DIO4" s="1"/>
      <c r="DIP4" s="327"/>
      <c r="DIQ4" s="14"/>
      <c r="DIT4" s="324"/>
      <c r="DIU4" s="329"/>
      <c r="DIV4" s="1"/>
      <c r="DIW4" s="327"/>
      <c r="DIX4" s="14"/>
      <c r="DJA4" s="324"/>
      <c r="DJB4" s="329"/>
      <c r="DJC4" s="1"/>
      <c r="DJD4" s="327"/>
      <c r="DJE4" s="14"/>
      <c r="DJH4" s="324"/>
      <c r="DJI4" s="329"/>
      <c r="DJJ4" s="1"/>
      <c r="DJK4" s="327"/>
      <c r="DJL4" s="14"/>
      <c r="DJO4" s="324"/>
      <c r="DJP4" s="329"/>
      <c r="DJQ4" s="1"/>
      <c r="DJR4" s="327"/>
      <c r="DJS4" s="14"/>
      <c r="DJV4" s="324"/>
      <c r="DJW4" s="329"/>
      <c r="DJX4" s="1"/>
      <c r="DJY4" s="327"/>
      <c r="DJZ4" s="14"/>
      <c r="DKC4" s="324"/>
      <c r="DKD4" s="329"/>
      <c r="DKE4" s="1"/>
      <c r="DKF4" s="327"/>
      <c r="DKG4" s="14"/>
      <c r="DKJ4" s="324"/>
      <c r="DKK4" s="329"/>
      <c r="DKL4" s="1"/>
      <c r="DKM4" s="327"/>
      <c r="DKN4" s="14"/>
      <c r="DKQ4" s="324"/>
      <c r="DKR4" s="329"/>
      <c r="DKS4" s="1"/>
      <c r="DKT4" s="327"/>
      <c r="DKU4" s="14"/>
      <c r="DKX4" s="324"/>
      <c r="DKY4" s="329"/>
      <c r="DKZ4" s="1"/>
      <c r="DLA4" s="327"/>
      <c r="DLB4" s="14"/>
      <c r="DLE4" s="324"/>
      <c r="DLF4" s="329"/>
      <c r="DLG4" s="1"/>
      <c r="DLH4" s="327"/>
      <c r="DLI4" s="14"/>
      <c r="DLL4" s="324"/>
      <c r="DLM4" s="329"/>
      <c r="DLN4" s="1"/>
      <c r="DLO4" s="327"/>
      <c r="DLP4" s="14"/>
      <c r="DLS4" s="324"/>
      <c r="DLT4" s="329"/>
      <c r="DLU4" s="1"/>
      <c r="DLV4" s="327"/>
      <c r="DLW4" s="14"/>
      <c r="DLZ4" s="324"/>
      <c r="DMA4" s="329"/>
      <c r="DMB4" s="1"/>
      <c r="DMC4" s="327"/>
      <c r="DMD4" s="14"/>
      <c r="DMG4" s="324"/>
      <c r="DMH4" s="329"/>
      <c r="DMI4" s="1"/>
      <c r="DMJ4" s="327"/>
      <c r="DMK4" s="14"/>
      <c r="DMN4" s="324"/>
      <c r="DMO4" s="329"/>
      <c r="DMP4" s="1"/>
      <c r="DMQ4" s="327"/>
      <c r="DMR4" s="14"/>
      <c r="DMU4" s="324"/>
      <c r="DMV4" s="329"/>
      <c r="DMW4" s="1"/>
      <c r="DMX4" s="327"/>
      <c r="DMY4" s="14"/>
      <c r="DNB4" s="324"/>
      <c r="DNC4" s="329"/>
      <c r="DND4" s="1"/>
      <c r="DNE4" s="327"/>
      <c r="DNF4" s="14"/>
      <c r="DNI4" s="324"/>
      <c r="DNJ4" s="329"/>
      <c r="DNK4" s="1"/>
      <c r="DNL4" s="327"/>
      <c r="DNM4" s="14"/>
      <c r="DNP4" s="324"/>
      <c r="DNQ4" s="329"/>
      <c r="DNR4" s="1"/>
      <c r="DNS4" s="327"/>
      <c r="DNT4" s="14"/>
      <c r="DNW4" s="324"/>
      <c r="DNX4" s="329"/>
      <c r="DNY4" s="1"/>
      <c r="DNZ4" s="327"/>
      <c r="DOA4" s="14"/>
      <c r="DOD4" s="324"/>
      <c r="DOE4" s="329"/>
      <c r="DOF4" s="1"/>
      <c r="DOG4" s="327"/>
      <c r="DOH4" s="14"/>
      <c r="DOK4" s="324"/>
      <c r="DOL4" s="329"/>
      <c r="DOM4" s="1"/>
      <c r="DON4" s="327"/>
      <c r="DOO4" s="14"/>
      <c r="DOR4" s="324"/>
      <c r="DOS4" s="329"/>
      <c r="DOT4" s="1"/>
      <c r="DOU4" s="327"/>
      <c r="DOV4" s="14"/>
      <c r="DOY4" s="324"/>
      <c r="DOZ4" s="329"/>
      <c r="DPA4" s="1"/>
      <c r="DPB4" s="327"/>
      <c r="DPC4" s="14"/>
      <c r="DPF4" s="324"/>
      <c r="DPG4" s="329"/>
      <c r="DPH4" s="1"/>
      <c r="DPI4" s="327"/>
      <c r="DPJ4" s="14"/>
      <c r="DPM4" s="324"/>
      <c r="DPN4" s="329"/>
      <c r="DPO4" s="1"/>
      <c r="DPP4" s="327"/>
      <c r="DPQ4" s="14"/>
      <c r="DPT4" s="324"/>
      <c r="DPU4" s="329"/>
      <c r="DPV4" s="1"/>
      <c r="DPW4" s="327"/>
      <c r="DPX4" s="14"/>
      <c r="DQA4" s="324"/>
      <c r="DQB4" s="329"/>
      <c r="DQC4" s="1"/>
      <c r="DQD4" s="327"/>
      <c r="DQE4" s="14"/>
      <c r="DQH4" s="324"/>
      <c r="DQI4" s="329"/>
      <c r="DQJ4" s="1"/>
      <c r="DQK4" s="327"/>
      <c r="DQL4" s="14"/>
      <c r="DQO4" s="324"/>
      <c r="DQP4" s="329"/>
      <c r="DQQ4" s="1"/>
      <c r="DQR4" s="327"/>
      <c r="DQS4" s="14"/>
      <c r="DQV4" s="324"/>
      <c r="DQW4" s="329"/>
      <c r="DQX4" s="1"/>
      <c r="DQY4" s="327"/>
      <c r="DQZ4" s="14"/>
      <c r="DRC4" s="324"/>
      <c r="DRD4" s="329"/>
      <c r="DRE4" s="1"/>
      <c r="DRF4" s="327"/>
      <c r="DRG4" s="14"/>
      <c r="DRJ4" s="324"/>
      <c r="DRK4" s="329"/>
      <c r="DRL4" s="1"/>
      <c r="DRM4" s="327"/>
      <c r="DRN4" s="14"/>
      <c r="DRQ4" s="324"/>
      <c r="DRR4" s="329"/>
      <c r="DRS4" s="1"/>
      <c r="DRT4" s="327"/>
      <c r="DRU4" s="14"/>
      <c r="DRX4" s="324"/>
      <c r="DRY4" s="329"/>
      <c r="DRZ4" s="1"/>
      <c r="DSA4" s="327"/>
      <c r="DSB4" s="14"/>
      <c r="DSE4" s="324"/>
      <c r="DSF4" s="329"/>
      <c r="DSG4" s="1"/>
      <c r="DSH4" s="327"/>
      <c r="DSI4" s="14"/>
      <c r="DSL4" s="324"/>
      <c r="DSM4" s="329"/>
      <c r="DSN4" s="1"/>
      <c r="DSO4" s="327"/>
      <c r="DSP4" s="14"/>
      <c r="DSS4" s="324"/>
      <c r="DST4" s="329"/>
      <c r="DSU4" s="1"/>
      <c r="DSV4" s="327"/>
      <c r="DSW4" s="14"/>
      <c r="DSZ4" s="324"/>
      <c r="DTA4" s="329"/>
      <c r="DTB4" s="1"/>
      <c r="DTC4" s="327"/>
      <c r="DTD4" s="14"/>
      <c r="DTG4" s="324"/>
      <c r="DTH4" s="329"/>
      <c r="DTI4" s="1"/>
      <c r="DTJ4" s="327"/>
      <c r="DTK4" s="14"/>
      <c r="DTN4" s="324"/>
      <c r="DTO4" s="329"/>
      <c r="DTP4" s="1"/>
      <c r="DTQ4" s="327"/>
      <c r="DTR4" s="14"/>
      <c r="DTU4" s="324"/>
      <c r="DTV4" s="329"/>
      <c r="DTW4" s="1"/>
      <c r="DTX4" s="327"/>
      <c r="DTY4" s="14"/>
      <c r="DUB4" s="324"/>
      <c r="DUC4" s="329"/>
      <c r="DUD4" s="1"/>
      <c r="DUE4" s="327"/>
      <c r="DUF4" s="14"/>
      <c r="DUI4" s="324"/>
      <c r="DUJ4" s="329"/>
      <c r="DUK4" s="1"/>
      <c r="DUL4" s="327"/>
      <c r="DUM4" s="14"/>
      <c r="DUP4" s="324"/>
      <c r="DUQ4" s="329"/>
      <c r="DUR4" s="1"/>
      <c r="DUS4" s="327"/>
      <c r="DUT4" s="14"/>
      <c r="DUW4" s="324"/>
      <c r="DUX4" s="329"/>
      <c r="DUY4" s="1"/>
      <c r="DUZ4" s="327"/>
      <c r="DVA4" s="14"/>
      <c r="DVD4" s="324"/>
      <c r="DVE4" s="329"/>
      <c r="DVF4" s="1"/>
      <c r="DVG4" s="327"/>
      <c r="DVH4" s="14"/>
      <c r="DVK4" s="324"/>
      <c r="DVL4" s="329"/>
      <c r="DVM4" s="1"/>
      <c r="DVN4" s="327"/>
      <c r="DVO4" s="14"/>
      <c r="DVR4" s="324"/>
      <c r="DVS4" s="329"/>
      <c r="DVT4" s="1"/>
      <c r="DVU4" s="327"/>
      <c r="DVV4" s="14"/>
      <c r="DVY4" s="324"/>
      <c r="DVZ4" s="329"/>
      <c r="DWA4" s="1"/>
      <c r="DWB4" s="327"/>
      <c r="DWC4" s="14"/>
      <c r="DWF4" s="324"/>
      <c r="DWG4" s="329"/>
      <c r="DWH4" s="1"/>
      <c r="DWI4" s="327"/>
      <c r="DWJ4" s="14"/>
      <c r="DWM4" s="324"/>
      <c r="DWN4" s="329"/>
      <c r="DWO4" s="1"/>
      <c r="DWP4" s="327"/>
      <c r="DWQ4" s="14"/>
      <c r="DWT4" s="324"/>
      <c r="DWU4" s="329"/>
      <c r="DWV4" s="1"/>
      <c r="DWW4" s="327"/>
      <c r="DWX4" s="14"/>
      <c r="DXA4" s="324"/>
      <c r="DXB4" s="329"/>
      <c r="DXC4" s="1"/>
      <c r="DXD4" s="327"/>
      <c r="DXE4" s="14"/>
      <c r="DXH4" s="324"/>
      <c r="DXI4" s="329"/>
      <c r="DXJ4" s="1"/>
      <c r="DXK4" s="327"/>
      <c r="DXL4" s="14"/>
      <c r="DXO4" s="324"/>
      <c r="DXP4" s="329"/>
      <c r="DXQ4" s="1"/>
      <c r="DXR4" s="327"/>
      <c r="DXS4" s="14"/>
      <c r="DXV4" s="324"/>
      <c r="DXW4" s="329"/>
      <c r="DXX4" s="1"/>
      <c r="DXY4" s="327"/>
      <c r="DXZ4" s="14"/>
      <c r="DYC4" s="324"/>
      <c r="DYD4" s="329"/>
      <c r="DYE4" s="1"/>
      <c r="DYF4" s="327"/>
      <c r="DYG4" s="14"/>
      <c r="DYJ4" s="324"/>
      <c r="DYK4" s="329"/>
      <c r="DYL4" s="1"/>
      <c r="DYM4" s="327"/>
      <c r="DYN4" s="14"/>
      <c r="DYQ4" s="324"/>
      <c r="DYR4" s="329"/>
      <c r="DYS4" s="1"/>
      <c r="DYT4" s="327"/>
      <c r="DYU4" s="14"/>
      <c r="DYX4" s="324"/>
      <c r="DYY4" s="329"/>
      <c r="DYZ4" s="1"/>
      <c r="DZA4" s="327"/>
      <c r="DZB4" s="14"/>
      <c r="DZE4" s="324"/>
      <c r="DZF4" s="329"/>
      <c r="DZG4" s="1"/>
      <c r="DZH4" s="327"/>
      <c r="DZI4" s="14"/>
      <c r="DZL4" s="324"/>
      <c r="DZM4" s="329"/>
      <c r="DZN4" s="1"/>
      <c r="DZO4" s="327"/>
      <c r="DZP4" s="14"/>
      <c r="DZS4" s="324"/>
      <c r="DZT4" s="329"/>
      <c r="DZU4" s="1"/>
      <c r="DZV4" s="327"/>
      <c r="DZW4" s="14"/>
      <c r="DZZ4" s="324"/>
      <c r="EAA4" s="329"/>
      <c r="EAB4" s="1"/>
      <c r="EAC4" s="327"/>
      <c r="EAD4" s="14"/>
      <c r="EAG4" s="324"/>
      <c r="EAH4" s="329"/>
      <c r="EAI4" s="1"/>
      <c r="EAJ4" s="327"/>
      <c r="EAK4" s="14"/>
      <c r="EAN4" s="324"/>
      <c r="EAO4" s="329"/>
      <c r="EAP4" s="1"/>
      <c r="EAQ4" s="327"/>
      <c r="EAR4" s="14"/>
      <c r="EAU4" s="324"/>
      <c r="EAV4" s="329"/>
      <c r="EAW4" s="1"/>
      <c r="EAX4" s="327"/>
      <c r="EAY4" s="14"/>
      <c r="EBB4" s="324"/>
      <c r="EBC4" s="329"/>
      <c r="EBD4" s="1"/>
      <c r="EBE4" s="327"/>
      <c r="EBF4" s="14"/>
      <c r="EBI4" s="324"/>
      <c r="EBJ4" s="329"/>
      <c r="EBK4" s="1"/>
      <c r="EBL4" s="327"/>
      <c r="EBM4" s="14"/>
      <c r="EBP4" s="324"/>
      <c r="EBQ4" s="329"/>
      <c r="EBR4" s="1"/>
      <c r="EBS4" s="327"/>
      <c r="EBT4" s="14"/>
      <c r="EBW4" s="324"/>
      <c r="EBX4" s="329"/>
      <c r="EBY4" s="1"/>
      <c r="EBZ4" s="327"/>
      <c r="ECA4" s="14"/>
      <c r="ECD4" s="324"/>
      <c r="ECE4" s="329"/>
      <c r="ECF4" s="1"/>
      <c r="ECG4" s="327"/>
      <c r="ECH4" s="14"/>
      <c r="ECK4" s="324"/>
      <c r="ECL4" s="329"/>
      <c r="ECM4" s="1"/>
      <c r="ECN4" s="327"/>
      <c r="ECO4" s="14"/>
      <c r="ECR4" s="324"/>
      <c r="ECS4" s="329"/>
      <c r="ECT4" s="1"/>
      <c r="ECU4" s="327"/>
      <c r="ECV4" s="14"/>
      <c r="ECY4" s="324"/>
      <c r="ECZ4" s="329"/>
      <c r="EDA4" s="1"/>
      <c r="EDB4" s="327"/>
      <c r="EDC4" s="14"/>
      <c r="EDF4" s="324"/>
      <c r="EDG4" s="329"/>
      <c r="EDH4" s="1"/>
      <c r="EDI4" s="327"/>
      <c r="EDJ4" s="14"/>
      <c r="EDM4" s="324"/>
      <c r="EDN4" s="329"/>
      <c r="EDO4" s="1"/>
      <c r="EDP4" s="327"/>
      <c r="EDQ4" s="14"/>
      <c r="EDT4" s="324"/>
      <c r="EDU4" s="329"/>
      <c r="EDV4" s="1"/>
      <c r="EDW4" s="327"/>
      <c r="EDX4" s="14"/>
      <c r="EEA4" s="324"/>
      <c r="EEB4" s="329"/>
      <c r="EEC4" s="1"/>
      <c r="EED4" s="327"/>
      <c r="EEE4" s="14"/>
      <c r="EEH4" s="324"/>
      <c r="EEI4" s="329"/>
      <c r="EEJ4" s="1"/>
      <c r="EEK4" s="327"/>
      <c r="EEL4" s="14"/>
      <c r="EEO4" s="324"/>
      <c r="EEP4" s="329"/>
      <c r="EEQ4" s="1"/>
      <c r="EER4" s="327"/>
      <c r="EES4" s="14"/>
      <c r="EEV4" s="324"/>
      <c r="EEW4" s="329"/>
      <c r="EEX4" s="1"/>
      <c r="EEY4" s="327"/>
      <c r="EEZ4" s="14"/>
      <c r="EFC4" s="324"/>
      <c r="EFD4" s="329"/>
      <c r="EFE4" s="1"/>
      <c r="EFF4" s="327"/>
      <c r="EFG4" s="14"/>
      <c r="EFJ4" s="324"/>
      <c r="EFK4" s="329"/>
      <c r="EFL4" s="1"/>
      <c r="EFM4" s="327"/>
      <c r="EFN4" s="14"/>
      <c r="EFQ4" s="324"/>
      <c r="EFR4" s="329"/>
      <c r="EFS4" s="1"/>
      <c r="EFT4" s="327"/>
      <c r="EFU4" s="14"/>
      <c r="EFX4" s="324"/>
      <c r="EFY4" s="329"/>
      <c r="EFZ4" s="1"/>
      <c r="EGA4" s="327"/>
      <c r="EGB4" s="14"/>
      <c r="EGE4" s="324"/>
      <c r="EGF4" s="329"/>
      <c r="EGG4" s="1"/>
      <c r="EGH4" s="327"/>
      <c r="EGI4" s="14"/>
      <c r="EGL4" s="324"/>
      <c r="EGM4" s="329"/>
      <c r="EGN4" s="1"/>
      <c r="EGO4" s="327"/>
      <c r="EGP4" s="14"/>
      <c r="EGS4" s="324"/>
      <c r="EGT4" s="329"/>
      <c r="EGU4" s="1"/>
      <c r="EGV4" s="327"/>
      <c r="EGW4" s="14"/>
      <c r="EGZ4" s="324"/>
      <c r="EHA4" s="329"/>
      <c r="EHB4" s="1"/>
      <c r="EHC4" s="327"/>
      <c r="EHD4" s="14"/>
      <c r="EHG4" s="324"/>
      <c r="EHH4" s="329"/>
      <c r="EHI4" s="1"/>
      <c r="EHJ4" s="327"/>
      <c r="EHK4" s="14"/>
      <c r="EHN4" s="324"/>
      <c r="EHO4" s="329"/>
      <c r="EHP4" s="1"/>
      <c r="EHQ4" s="327"/>
      <c r="EHR4" s="14"/>
      <c r="EHU4" s="324"/>
      <c r="EHV4" s="329"/>
      <c r="EHW4" s="1"/>
      <c r="EHX4" s="327"/>
      <c r="EHY4" s="14"/>
      <c r="EIB4" s="324"/>
      <c r="EIC4" s="329"/>
      <c r="EID4" s="1"/>
      <c r="EIE4" s="327"/>
      <c r="EIF4" s="14"/>
      <c r="EII4" s="324"/>
      <c r="EIJ4" s="329"/>
      <c r="EIK4" s="1"/>
      <c r="EIL4" s="327"/>
      <c r="EIM4" s="14"/>
      <c r="EIP4" s="324"/>
      <c r="EIQ4" s="329"/>
      <c r="EIR4" s="1"/>
      <c r="EIS4" s="327"/>
      <c r="EIT4" s="14"/>
      <c r="EIW4" s="324"/>
      <c r="EIX4" s="329"/>
      <c r="EIY4" s="1"/>
      <c r="EIZ4" s="327"/>
      <c r="EJA4" s="14"/>
      <c r="EJD4" s="324"/>
      <c r="EJE4" s="329"/>
      <c r="EJF4" s="1"/>
      <c r="EJG4" s="327"/>
      <c r="EJH4" s="14"/>
      <c r="EJK4" s="324"/>
      <c r="EJL4" s="329"/>
      <c r="EJM4" s="1"/>
      <c r="EJN4" s="327"/>
      <c r="EJO4" s="14"/>
      <c r="EJR4" s="324"/>
      <c r="EJS4" s="329"/>
      <c r="EJT4" s="1"/>
      <c r="EJU4" s="327"/>
      <c r="EJV4" s="14"/>
      <c r="EJY4" s="324"/>
      <c r="EJZ4" s="329"/>
      <c r="EKA4" s="1"/>
      <c r="EKB4" s="327"/>
      <c r="EKC4" s="14"/>
      <c r="EKF4" s="324"/>
      <c r="EKG4" s="329"/>
      <c r="EKH4" s="1"/>
      <c r="EKI4" s="327"/>
      <c r="EKJ4" s="14"/>
      <c r="EKM4" s="324"/>
      <c r="EKN4" s="329"/>
      <c r="EKO4" s="1"/>
      <c r="EKP4" s="327"/>
      <c r="EKQ4" s="14"/>
      <c r="EKT4" s="324"/>
      <c r="EKU4" s="329"/>
      <c r="EKV4" s="1"/>
      <c r="EKW4" s="327"/>
      <c r="EKX4" s="14"/>
      <c r="ELA4" s="324"/>
      <c r="ELB4" s="329"/>
      <c r="ELC4" s="1"/>
      <c r="ELD4" s="327"/>
      <c r="ELE4" s="14"/>
      <c r="ELH4" s="324"/>
      <c r="ELI4" s="329"/>
      <c r="ELJ4" s="1"/>
      <c r="ELK4" s="327"/>
      <c r="ELL4" s="14"/>
      <c r="ELO4" s="324"/>
      <c r="ELP4" s="329"/>
      <c r="ELQ4" s="1"/>
      <c r="ELR4" s="327"/>
      <c r="ELS4" s="14"/>
      <c r="ELV4" s="324"/>
      <c r="ELW4" s="329"/>
      <c r="ELX4" s="1"/>
      <c r="ELY4" s="327"/>
      <c r="ELZ4" s="14"/>
      <c r="EMC4" s="324"/>
      <c r="EMD4" s="329"/>
      <c r="EME4" s="1"/>
      <c r="EMF4" s="327"/>
      <c r="EMG4" s="14"/>
      <c r="EMJ4" s="324"/>
      <c r="EMK4" s="329"/>
      <c r="EML4" s="1"/>
      <c r="EMM4" s="327"/>
      <c r="EMN4" s="14"/>
      <c r="EMQ4" s="324"/>
      <c r="EMR4" s="329"/>
      <c r="EMS4" s="1"/>
      <c r="EMT4" s="327"/>
      <c r="EMU4" s="14"/>
      <c r="EMX4" s="324"/>
      <c r="EMY4" s="329"/>
      <c r="EMZ4" s="1"/>
      <c r="ENA4" s="327"/>
      <c r="ENB4" s="14"/>
      <c r="ENE4" s="324"/>
      <c r="ENF4" s="329"/>
      <c r="ENG4" s="1"/>
      <c r="ENH4" s="327"/>
      <c r="ENI4" s="14"/>
      <c r="ENL4" s="324"/>
      <c r="ENM4" s="329"/>
      <c r="ENN4" s="1"/>
      <c r="ENO4" s="327"/>
      <c r="ENP4" s="14"/>
      <c r="ENS4" s="324"/>
      <c r="ENT4" s="329"/>
      <c r="ENU4" s="1"/>
      <c r="ENV4" s="327"/>
      <c r="ENW4" s="14"/>
      <c r="ENZ4" s="324"/>
      <c r="EOA4" s="329"/>
      <c r="EOB4" s="1"/>
      <c r="EOC4" s="327"/>
      <c r="EOD4" s="14"/>
      <c r="EOG4" s="324"/>
      <c r="EOH4" s="329"/>
      <c r="EOI4" s="1"/>
      <c r="EOJ4" s="327"/>
      <c r="EOK4" s="14"/>
      <c r="EON4" s="324"/>
      <c r="EOO4" s="329"/>
      <c r="EOP4" s="1"/>
      <c r="EOQ4" s="327"/>
      <c r="EOR4" s="14"/>
      <c r="EOU4" s="324"/>
      <c r="EOV4" s="329"/>
      <c r="EOW4" s="1"/>
      <c r="EOX4" s="327"/>
      <c r="EOY4" s="14"/>
      <c r="EPB4" s="324"/>
      <c r="EPC4" s="329"/>
      <c r="EPD4" s="1"/>
      <c r="EPE4" s="327"/>
      <c r="EPF4" s="14"/>
      <c r="EPI4" s="324"/>
      <c r="EPJ4" s="329"/>
      <c r="EPK4" s="1"/>
      <c r="EPL4" s="327"/>
      <c r="EPM4" s="14"/>
      <c r="EPP4" s="324"/>
      <c r="EPQ4" s="329"/>
      <c r="EPR4" s="1"/>
      <c r="EPS4" s="327"/>
      <c r="EPT4" s="14"/>
      <c r="EPW4" s="324"/>
      <c r="EPX4" s="329"/>
      <c r="EPY4" s="1"/>
      <c r="EPZ4" s="327"/>
      <c r="EQA4" s="14"/>
      <c r="EQD4" s="324"/>
      <c r="EQE4" s="329"/>
      <c r="EQF4" s="1"/>
      <c r="EQG4" s="327"/>
      <c r="EQH4" s="14"/>
      <c r="EQK4" s="324"/>
      <c r="EQL4" s="329"/>
      <c r="EQM4" s="1"/>
      <c r="EQN4" s="327"/>
      <c r="EQO4" s="14"/>
      <c r="EQR4" s="324"/>
      <c r="EQS4" s="329"/>
      <c r="EQT4" s="1"/>
      <c r="EQU4" s="327"/>
      <c r="EQV4" s="14"/>
      <c r="EQY4" s="324"/>
      <c r="EQZ4" s="329"/>
      <c r="ERA4" s="1"/>
      <c r="ERB4" s="327"/>
      <c r="ERC4" s="14"/>
      <c r="ERF4" s="324"/>
      <c r="ERG4" s="329"/>
      <c r="ERH4" s="1"/>
      <c r="ERI4" s="327"/>
      <c r="ERJ4" s="14"/>
      <c r="ERM4" s="324"/>
      <c r="ERN4" s="329"/>
      <c r="ERO4" s="1"/>
      <c r="ERP4" s="327"/>
      <c r="ERQ4" s="14"/>
      <c r="ERT4" s="324"/>
      <c r="ERU4" s="329"/>
      <c r="ERV4" s="1"/>
      <c r="ERW4" s="327"/>
      <c r="ERX4" s="14"/>
      <c r="ESA4" s="324"/>
      <c r="ESB4" s="329"/>
      <c r="ESC4" s="1"/>
      <c r="ESD4" s="327"/>
      <c r="ESE4" s="14"/>
      <c r="ESH4" s="324"/>
      <c r="ESI4" s="329"/>
      <c r="ESJ4" s="1"/>
      <c r="ESK4" s="327"/>
      <c r="ESL4" s="14"/>
      <c r="ESO4" s="324"/>
      <c r="ESP4" s="329"/>
      <c r="ESQ4" s="1"/>
      <c r="ESR4" s="327"/>
      <c r="ESS4" s="14"/>
      <c r="ESV4" s="324"/>
      <c r="ESW4" s="329"/>
      <c r="ESX4" s="1"/>
      <c r="ESY4" s="327"/>
      <c r="ESZ4" s="14"/>
      <c r="ETC4" s="324"/>
      <c r="ETD4" s="329"/>
      <c r="ETE4" s="1"/>
      <c r="ETF4" s="327"/>
      <c r="ETG4" s="14"/>
      <c r="ETJ4" s="324"/>
      <c r="ETK4" s="329"/>
      <c r="ETL4" s="1"/>
      <c r="ETM4" s="327"/>
      <c r="ETN4" s="14"/>
      <c r="ETQ4" s="324"/>
      <c r="ETR4" s="329"/>
      <c r="ETS4" s="1"/>
      <c r="ETT4" s="327"/>
      <c r="ETU4" s="14"/>
      <c r="ETX4" s="324"/>
      <c r="ETY4" s="329"/>
      <c r="ETZ4" s="1"/>
      <c r="EUA4" s="327"/>
      <c r="EUB4" s="14"/>
      <c r="EUE4" s="324"/>
      <c r="EUF4" s="329"/>
      <c r="EUG4" s="1"/>
      <c r="EUH4" s="327"/>
      <c r="EUI4" s="14"/>
      <c r="EUL4" s="324"/>
      <c r="EUM4" s="329"/>
      <c r="EUN4" s="1"/>
      <c r="EUO4" s="327"/>
      <c r="EUP4" s="14"/>
      <c r="EUS4" s="324"/>
      <c r="EUT4" s="329"/>
      <c r="EUU4" s="1"/>
      <c r="EUV4" s="327"/>
      <c r="EUW4" s="14"/>
      <c r="EUZ4" s="324"/>
      <c r="EVA4" s="329"/>
      <c r="EVB4" s="1"/>
      <c r="EVC4" s="327"/>
      <c r="EVD4" s="14"/>
      <c r="EVG4" s="324"/>
      <c r="EVH4" s="329"/>
      <c r="EVI4" s="1"/>
      <c r="EVJ4" s="327"/>
      <c r="EVK4" s="14"/>
      <c r="EVN4" s="324"/>
      <c r="EVO4" s="329"/>
      <c r="EVP4" s="1"/>
      <c r="EVQ4" s="327"/>
      <c r="EVR4" s="14"/>
      <c r="EVU4" s="324"/>
      <c r="EVV4" s="329"/>
      <c r="EVW4" s="1"/>
      <c r="EVX4" s="327"/>
      <c r="EVY4" s="14"/>
      <c r="EWB4" s="324"/>
      <c r="EWC4" s="329"/>
      <c r="EWD4" s="1"/>
      <c r="EWE4" s="327"/>
      <c r="EWF4" s="14"/>
      <c r="EWI4" s="324"/>
      <c r="EWJ4" s="329"/>
      <c r="EWK4" s="1"/>
      <c r="EWL4" s="327"/>
      <c r="EWM4" s="14"/>
      <c r="EWP4" s="324"/>
      <c r="EWQ4" s="329"/>
      <c r="EWR4" s="1"/>
      <c r="EWS4" s="327"/>
      <c r="EWT4" s="14"/>
      <c r="EWW4" s="324"/>
      <c r="EWX4" s="329"/>
      <c r="EWY4" s="1"/>
      <c r="EWZ4" s="327"/>
      <c r="EXA4" s="14"/>
      <c r="EXD4" s="324"/>
      <c r="EXE4" s="329"/>
      <c r="EXF4" s="1"/>
      <c r="EXG4" s="327"/>
      <c r="EXH4" s="14"/>
      <c r="EXK4" s="324"/>
      <c r="EXL4" s="329"/>
      <c r="EXM4" s="1"/>
      <c r="EXN4" s="327"/>
      <c r="EXO4" s="14"/>
      <c r="EXR4" s="324"/>
      <c r="EXS4" s="329"/>
      <c r="EXT4" s="1"/>
      <c r="EXU4" s="327"/>
      <c r="EXV4" s="14"/>
      <c r="EXY4" s="324"/>
      <c r="EXZ4" s="329"/>
      <c r="EYA4" s="1"/>
      <c r="EYB4" s="327"/>
      <c r="EYC4" s="14"/>
      <c r="EYF4" s="324"/>
      <c r="EYG4" s="329"/>
      <c r="EYH4" s="1"/>
      <c r="EYI4" s="327"/>
      <c r="EYJ4" s="14"/>
      <c r="EYM4" s="324"/>
      <c r="EYN4" s="329"/>
      <c r="EYO4" s="1"/>
      <c r="EYP4" s="327"/>
      <c r="EYQ4" s="14"/>
      <c r="EYT4" s="324"/>
      <c r="EYU4" s="329"/>
      <c r="EYV4" s="1"/>
      <c r="EYW4" s="327"/>
      <c r="EYX4" s="14"/>
      <c r="EZA4" s="324"/>
      <c r="EZB4" s="329"/>
      <c r="EZC4" s="1"/>
      <c r="EZD4" s="327"/>
      <c r="EZE4" s="14"/>
      <c r="EZH4" s="324"/>
      <c r="EZI4" s="329"/>
      <c r="EZJ4" s="1"/>
      <c r="EZK4" s="327"/>
      <c r="EZL4" s="14"/>
      <c r="EZO4" s="324"/>
      <c r="EZP4" s="329"/>
      <c r="EZQ4" s="1"/>
      <c r="EZR4" s="327"/>
      <c r="EZS4" s="14"/>
      <c r="EZV4" s="324"/>
      <c r="EZW4" s="329"/>
      <c r="EZX4" s="1"/>
      <c r="EZY4" s="327"/>
      <c r="EZZ4" s="14"/>
      <c r="FAC4" s="324"/>
      <c r="FAD4" s="329"/>
      <c r="FAE4" s="1"/>
      <c r="FAF4" s="327"/>
      <c r="FAG4" s="14"/>
      <c r="FAJ4" s="324"/>
      <c r="FAK4" s="329"/>
      <c r="FAL4" s="1"/>
      <c r="FAM4" s="327"/>
      <c r="FAN4" s="14"/>
      <c r="FAQ4" s="324"/>
      <c r="FAR4" s="329"/>
      <c r="FAS4" s="1"/>
      <c r="FAT4" s="327"/>
      <c r="FAU4" s="14"/>
      <c r="FAX4" s="324"/>
      <c r="FAY4" s="329"/>
      <c r="FAZ4" s="1"/>
      <c r="FBA4" s="327"/>
      <c r="FBB4" s="14"/>
      <c r="FBE4" s="324"/>
      <c r="FBF4" s="329"/>
      <c r="FBG4" s="1"/>
      <c r="FBH4" s="327"/>
      <c r="FBI4" s="14"/>
      <c r="FBL4" s="324"/>
      <c r="FBM4" s="329"/>
      <c r="FBN4" s="1"/>
      <c r="FBO4" s="327"/>
      <c r="FBP4" s="14"/>
      <c r="FBS4" s="324"/>
      <c r="FBT4" s="329"/>
      <c r="FBU4" s="1"/>
      <c r="FBV4" s="327"/>
      <c r="FBW4" s="14"/>
      <c r="FBZ4" s="324"/>
      <c r="FCA4" s="329"/>
      <c r="FCB4" s="1"/>
      <c r="FCC4" s="327"/>
      <c r="FCD4" s="14"/>
      <c r="FCG4" s="324"/>
      <c r="FCH4" s="329"/>
      <c r="FCI4" s="1"/>
      <c r="FCJ4" s="327"/>
      <c r="FCK4" s="14"/>
      <c r="FCN4" s="324"/>
      <c r="FCO4" s="329"/>
      <c r="FCP4" s="1"/>
      <c r="FCQ4" s="327"/>
      <c r="FCR4" s="14"/>
      <c r="FCU4" s="324"/>
      <c r="FCV4" s="329"/>
      <c r="FCW4" s="1"/>
      <c r="FCX4" s="327"/>
      <c r="FCY4" s="14"/>
      <c r="FDB4" s="324"/>
      <c r="FDC4" s="329"/>
      <c r="FDD4" s="1"/>
      <c r="FDE4" s="327"/>
      <c r="FDF4" s="14"/>
      <c r="FDI4" s="324"/>
      <c r="FDJ4" s="329"/>
      <c r="FDK4" s="1"/>
      <c r="FDL4" s="327"/>
      <c r="FDM4" s="14"/>
      <c r="FDP4" s="324"/>
      <c r="FDQ4" s="329"/>
      <c r="FDR4" s="1"/>
      <c r="FDS4" s="327"/>
      <c r="FDT4" s="14"/>
      <c r="FDW4" s="324"/>
      <c r="FDX4" s="329"/>
      <c r="FDY4" s="1"/>
      <c r="FDZ4" s="327"/>
      <c r="FEA4" s="14"/>
      <c r="FED4" s="324"/>
      <c r="FEE4" s="329"/>
      <c r="FEF4" s="1"/>
      <c r="FEG4" s="327"/>
      <c r="FEH4" s="14"/>
      <c r="FEK4" s="324"/>
      <c r="FEL4" s="329"/>
      <c r="FEM4" s="1"/>
      <c r="FEN4" s="327"/>
      <c r="FEO4" s="14"/>
      <c r="FER4" s="324"/>
      <c r="FES4" s="329"/>
      <c r="FET4" s="1"/>
      <c r="FEU4" s="327"/>
      <c r="FEV4" s="14"/>
      <c r="FEY4" s="324"/>
      <c r="FEZ4" s="329"/>
      <c r="FFA4" s="1"/>
      <c r="FFB4" s="327"/>
      <c r="FFC4" s="14"/>
      <c r="FFF4" s="324"/>
      <c r="FFG4" s="329"/>
      <c r="FFH4" s="1"/>
      <c r="FFI4" s="327"/>
      <c r="FFJ4" s="14"/>
      <c r="FFM4" s="324"/>
      <c r="FFN4" s="329"/>
      <c r="FFO4" s="1"/>
      <c r="FFP4" s="327"/>
      <c r="FFQ4" s="14"/>
      <c r="FFT4" s="324"/>
      <c r="FFU4" s="329"/>
      <c r="FFV4" s="1"/>
      <c r="FFW4" s="327"/>
      <c r="FFX4" s="14"/>
      <c r="FGA4" s="324"/>
      <c r="FGB4" s="329"/>
      <c r="FGC4" s="1"/>
      <c r="FGD4" s="327"/>
      <c r="FGE4" s="14"/>
      <c r="FGH4" s="324"/>
      <c r="FGI4" s="329"/>
      <c r="FGJ4" s="1"/>
      <c r="FGK4" s="327"/>
      <c r="FGL4" s="14"/>
      <c r="FGO4" s="324"/>
      <c r="FGP4" s="329"/>
      <c r="FGQ4" s="1"/>
      <c r="FGR4" s="327"/>
      <c r="FGS4" s="14"/>
      <c r="FGV4" s="324"/>
      <c r="FGW4" s="329"/>
      <c r="FGX4" s="1"/>
      <c r="FGY4" s="327"/>
      <c r="FGZ4" s="14"/>
      <c r="FHC4" s="324"/>
      <c r="FHD4" s="329"/>
      <c r="FHE4" s="1"/>
      <c r="FHF4" s="327"/>
      <c r="FHG4" s="14"/>
      <c r="FHJ4" s="324"/>
      <c r="FHK4" s="329"/>
      <c r="FHL4" s="1"/>
      <c r="FHM4" s="327"/>
      <c r="FHN4" s="14"/>
      <c r="FHQ4" s="324"/>
      <c r="FHR4" s="329"/>
      <c r="FHS4" s="1"/>
      <c r="FHT4" s="327"/>
      <c r="FHU4" s="14"/>
      <c r="FHX4" s="324"/>
      <c r="FHY4" s="329"/>
      <c r="FHZ4" s="1"/>
      <c r="FIA4" s="327"/>
      <c r="FIB4" s="14"/>
      <c r="FIE4" s="324"/>
      <c r="FIF4" s="329"/>
      <c r="FIG4" s="1"/>
      <c r="FIH4" s="327"/>
      <c r="FII4" s="14"/>
      <c r="FIL4" s="324"/>
      <c r="FIM4" s="329"/>
      <c r="FIN4" s="1"/>
      <c r="FIO4" s="327"/>
      <c r="FIP4" s="14"/>
      <c r="FIS4" s="324"/>
      <c r="FIT4" s="329"/>
      <c r="FIU4" s="1"/>
      <c r="FIV4" s="327"/>
      <c r="FIW4" s="14"/>
      <c r="FIZ4" s="324"/>
      <c r="FJA4" s="329"/>
      <c r="FJB4" s="1"/>
      <c r="FJC4" s="327"/>
      <c r="FJD4" s="14"/>
      <c r="FJG4" s="324"/>
      <c r="FJH4" s="329"/>
      <c r="FJI4" s="1"/>
      <c r="FJJ4" s="327"/>
      <c r="FJK4" s="14"/>
      <c r="FJN4" s="324"/>
      <c r="FJO4" s="329"/>
      <c r="FJP4" s="1"/>
      <c r="FJQ4" s="327"/>
      <c r="FJR4" s="14"/>
      <c r="FJU4" s="324"/>
      <c r="FJV4" s="329"/>
      <c r="FJW4" s="1"/>
      <c r="FJX4" s="327"/>
      <c r="FJY4" s="14"/>
      <c r="FKB4" s="324"/>
      <c r="FKC4" s="329"/>
      <c r="FKD4" s="1"/>
      <c r="FKE4" s="327"/>
      <c r="FKF4" s="14"/>
      <c r="FKI4" s="324"/>
      <c r="FKJ4" s="329"/>
      <c r="FKK4" s="1"/>
      <c r="FKL4" s="327"/>
      <c r="FKM4" s="14"/>
      <c r="FKP4" s="324"/>
      <c r="FKQ4" s="329"/>
      <c r="FKR4" s="1"/>
      <c r="FKS4" s="327"/>
      <c r="FKT4" s="14"/>
      <c r="FKW4" s="324"/>
      <c r="FKX4" s="329"/>
      <c r="FKY4" s="1"/>
      <c r="FKZ4" s="327"/>
      <c r="FLA4" s="14"/>
      <c r="FLD4" s="324"/>
      <c r="FLE4" s="329"/>
      <c r="FLF4" s="1"/>
      <c r="FLG4" s="327"/>
      <c r="FLH4" s="14"/>
      <c r="FLK4" s="324"/>
      <c r="FLL4" s="329"/>
      <c r="FLM4" s="1"/>
      <c r="FLN4" s="327"/>
      <c r="FLO4" s="14"/>
      <c r="FLR4" s="324"/>
      <c r="FLS4" s="329"/>
      <c r="FLT4" s="1"/>
      <c r="FLU4" s="327"/>
      <c r="FLV4" s="14"/>
      <c r="FLY4" s="324"/>
      <c r="FLZ4" s="329"/>
      <c r="FMA4" s="1"/>
      <c r="FMB4" s="327"/>
      <c r="FMC4" s="14"/>
      <c r="FMF4" s="324"/>
      <c r="FMG4" s="329"/>
      <c r="FMH4" s="1"/>
      <c r="FMI4" s="327"/>
      <c r="FMJ4" s="14"/>
      <c r="FMM4" s="324"/>
      <c r="FMN4" s="329"/>
      <c r="FMO4" s="1"/>
      <c r="FMP4" s="327"/>
      <c r="FMQ4" s="14"/>
      <c r="FMT4" s="324"/>
      <c r="FMU4" s="329"/>
      <c r="FMV4" s="1"/>
      <c r="FMW4" s="327"/>
      <c r="FMX4" s="14"/>
      <c r="FNA4" s="324"/>
      <c r="FNB4" s="329"/>
      <c r="FNC4" s="1"/>
      <c r="FND4" s="327"/>
      <c r="FNE4" s="14"/>
      <c r="FNH4" s="324"/>
      <c r="FNI4" s="329"/>
      <c r="FNJ4" s="1"/>
      <c r="FNK4" s="327"/>
      <c r="FNL4" s="14"/>
      <c r="FNO4" s="324"/>
      <c r="FNP4" s="329"/>
      <c r="FNQ4" s="1"/>
      <c r="FNR4" s="327"/>
      <c r="FNS4" s="14"/>
      <c r="FNV4" s="324"/>
      <c r="FNW4" s="329"/>
      <c r="FNX4" s="1"/>
      <c r="FNY4" s="327"/>
      <c r="FNZ4" s="14"/>
      <c r="FOC4" s="324"/>
      <c r="FOD4" s="329"/>
      <c r="FOE4" s="1"/>
      <c r="FOF4" s="327"/>
      <c r="FOG4" s="14"/>
      <c r="FOJ4" s="324"/>
      <c r="FOK4" s="329"/>
      <c r="FOL4" s="1"/>
      <c r="FOM4" s="327"/>
      <c r="FON4" s="14"/>
      <c r="FOQ4" s="324"/>
      <c r="FOR4" s="329"/>
      <c r="FOS4" s="1"/>
      <c r="FOT4" s="327"/>
      <c r="FOU4" s="14"/>
      <c r="FOX4" s="324"/>
      <c r="FOY4" s="329"/>
      <c r="FOZ4" s="1"/>
      <c r="FPA4" s="327"/>
      <c r="FPB4" s="14"/>
      <c r="FPE4" s="324"/>
      <c r="FPF4" s="329"/>
      <c r="FPG4" s="1"/>
      <c r="FPH4" s="327"/>
      <c r="FPI4" s="14"/>
      <c r="FPL4" s="324"/>
      <c r="FPM4" s="329"/>
      <c r="FPN4" s="1"/>
      <c r="FPO4" s="327"/>
      <c r="FPP4" s="14"/>
      <c r="FPS4" s="324"/>
      <c r="FPT4" s="329"/>
      <c r="FPU4" s="1"/>
      <c r="FPV4" s="327"/>
      <c r="FPW4" s="14"/>
      <c r="FPZ4" s="324"/>
      <c r="FQA4" s="329"/>
      <c r="FQB4" s="1"/>
      <c r="FQC4" s="327"/>
      <c r="FQD4" s="14"/>
      <c r="FQG4" s="324"/>
      <c r="FQH4" s="329"/>
      <c r="FQI4" s="1"/>
      <c r="FQJ4" s="327"/>
      <c r="FQK4" s="14"/>
      <c r="FQN4" s="324"/>
      <c r="FQO4" s="329"/>
      <c r="FQP4" s="1"/>
      <c r="FQQ4" s="327"/>
      <c r="FQR4" s="14"/>
      <c r="FQU4" s="324"/>
      <c r="FQV4" s="329"/>
      <c r="FQW4" s="1"/>
      <c r="FQX4" s="327"/>
      <c r="FQY4" s="14"/>
      <c r="FRB4" s="324"/>
      <c r="FRC4" s="329"/>
      <c r="FRD4" s="1"/>
      <c r="FRE4" s="327"/>
      <c r="FRF4" s="14"/>
      <c r="FRI4" s="324"/>
      <c r="FRJ4" s="329"/>
      <c r="FRK4" s="1"/>
      <c r="FRL4" s="327"/>
      <c r="FRM4" s="14"/>
      <c r="FRP4" s="324"/>
      <c r="FRQ4" s="329"/>
      <c r="FRR4" s="1"/>
      <c r="FRS4" s="327"/>
      <c r="FRT4" s="14"/>
      <c r="FRW4" s="324"/>
      <c r="FRX4" s="329"/>
      <c r="FRY4" s="1"/>
      <c r="FRZ4" s="327"/>
      <c r="FSA4" s="14"/>
      <c r="FSD4" s="324"/>
      <c r="FSE4" s="329"/>
      <c r="FSF4" s="1"/>
      <c r="FSG4" s="327"/>
      <c r="FSH4" s="14"/>
      <c r="FSK4" s="324"/>
      <c r="FSL4" s="329"/>
      <c r="FSM4" s="1"/>
      <c r="FSN4" s="327"/>
      <c r="FSO4" s="14"/>
      <c r="FSR4" s="324"/>
      <c r="FSS4" s="329"/>
      <c r="FST4" s="1"/>
      <c r="FSU4" s="327"/>
      <c r="FSV4" s="14"/>
      <c r="FSY4" s="324"/>
      <c r="FSZ4" s="329"/>
      <c r="FTA4" s="1"/>
      <c r="FTB4" s="327"/>
      <c r="FTC4" s="14"/>
      <c r="FTF4" s="324"/>
      <c r="FTG4" s="329"/>
      <c r="FTH4" s="1"/>
      <c r="FTI4" s="327"/>
      <c r="FTJ4" s="14"/>
      <c r="FTM4" s="324"/>
      <c r="FTN4" s="329"/>
      <c r="FTO4" s="1"/>
      <c r="FTP4" s="327"/>
      <c r="FTQ4" s="14"/>
      <c r="FTT4" s="324"/>
      <c r="FTU4" s="329"/>
      <c r="FTV4" s="1"/>
      <c r="FTW4" s="327"/>
      <c r="FTX4" s="14"/>
      <c r="FUA4" s="324"/>
      <c r="FUB4" s="329"/>
      <c r="FUC4" s="1"/>
      <c r="FUD4" s="327"/>
      <c r="FUE4" s="14"/>
      <c r="FUH4" s="324"/>
      <c r="FUI4" s="329"/>
      <c r="FUJ4" s="1"/>
      <c r="FUK4" s="327"/>
      <c r="FUL4" s="14"/>
      <c r="FUO4" s="324"/>
      <c r="FUP4" s="329"/>
      <c r="FUQ4" s="1"/>
      <c r="FUR4" s="327"/>
      <c r="FUS4" s="14"/>
      <c r="FUV4" s="324"/>
      <c r="FUW4" s="329"/>
      <c r="FUX4" s="1"/>
      <c r="FUY4" s="327"/>
      <c r="FUZ4" s="14"/>
      <c r="FVC4" s="324"/>
      <c r="FVD4" s="329"/>
      <c r="FVE4" s="1"/>
      <c r="FVF4" s="327"/>
      <c r="FVG4" s="14"/>
      <c r="FVJ4" s="324"/>
      <c r="FVK4" s="329"/>
      <c r="FVL4" s="1"/>
      <c r="FVM4" s="327"/>
      <c r="FVN4" s="14"/>
      <c r="FVQ4" s="324"/>
      <c r="FVR4" s="329"/>
      <c r="FVS4" s="1"/>
      <c r="FVT4" s="327"/>
      <c r="FVU4" s="14"/>
      <c r="FVX4" s="324"/>
      <c r="FVY4" s="329"/>
      <c r="FVZ4" s="1"/>
      <c r="FWA4" s="327"/>
      <c r="FWB4" s="14"/>
      <c r="FWE4" s="324"/>
      <c r="FWF4" s="329"/>
      <c r="FWG4" s="1"/>
      <c r="FWH4" s="327"/>
      <c r="FWI4" s="14"/>
      <c r="FWL4" s="324"/>
      <c r="FWM4" s="329"/>
      <c r="FWN4" s="1"/>
      <c r="FWO4" s="327"/>
      <c r="FWP4" s="14"/>
      <c r="FWS4" s="324"/>
      <c r="FWT4" s="329"/>
      <c r="FWU4" s="1"/>
      <c r="FWV4" s="327"/>
      <c r="FWW4" s="14"/>
      <c r="FWZ4" s="324"/>
      <c r="FXA4" s="329"/>
      <c r="FXB4" s="1"/>
      <c r="FXC4" s="327"/>
      <c r="FXD4" s="14"/>
      <c r="FXG4" s="324"/>
      <c r="FXH4" s="329"/>
      <c r="FXI4" s="1"/>
      <c r="FXJ4" s="327"/>
      <c r="FXK4" s="14"/>
      <c r="FXN4" s="324"/>
      <c r="FXO4" s="329"/>
      <c r="FXP4" s="1"/>
      <c r="FXQ4" s="327"/>
      <c r="FXR4" s="14"/>
      <c r="FXU4" s="324"/>
      <c r="FXV4" s="329"/>
      <c r="FXW4" s="1"/>
      <c r="FXX4" s="327"/>
      <c r="FXY4" s="14"/>
      <c r="FYB4" s="324"/>
      <c r="FYC4" s="329"/>
      <c r="FYD4" s="1"/>
      <c r="FYE4" s="327"/>
      <c r="FYF4" s="14"/>
      <c r="FYI4" s="324"/>
      <c r="FYJ4" s="329"/>
      <c r="FYK4" s="1"/>
      <c r="FYL4" s="327"/>
      <c r="FYM4" s="14"/>
      <c r="FYP4" s="324"/>
      <c r="FYQ4" s="329"/>
      <c r="FYR4" s="1"/>
      <c r="FYS4" s="327"/>
      <c r="FYT4" s="14"/>
      <c r="FYW4" s="324"/>
      <c r="FYX4" s="329"/>
      <c r="FYY4" s="1"/>
      <c r="FYZ4" s="327"/>
      <c r="FZA4" s="14"/>
      <c r="FZD4" s="324"/>
      <c r="FZE4" s="329"/>
      <c r="FZF4" s="1"/>
      <c r="FZG4" s="327"/>
      <c r="FZH4" s="14"/>
      <c r="FZK4" s="324"/>
      <c r="FZL4" s="329"/>
      <c r="FZM4" s="1"/>
      <c r="FZN4" s="327"/>
      <c r="FZO4" s="14"/>
      <c r="FZR4" s="324"/>
      <c r="FZS4" s="329"/>
      <c r="FZT4" s="1"/>
      <c r="FZU4" s="327"/>
      <c r="FZV4" s="14"/>
      <c r="FZY4" s="324"/>
      <c r="FZZ4" s="329"/>
      <c r="GAA4" s="1"/>
      <c r="GAB4" s="327"/>
      <c r="GAC4" s="14"/>
      <c r="GAF4" s="324"/>
      <c r="GAG4" s="329"/>
      <c r="GAH4" s="1"/>
      <c r="GAI4" s="327"/>
      <c r="GAJ4" s="14"/>
      <c r="GAM4" s="324"/>
      <c r="GAN4" s="329"/>
      <c r="GAO4" s="1"/>
      <c r="GAP4" s="327"/>
      <c r="GAQ4" s="14"/>
      <c r="GAT4" s="324"/>
      <c r="GAU4" s="329"/>
      <c r="GAV4" s="1"/>
      <c r="GAW4" s="327"/>
      <c r="GAX4" s="14"/>
      <c r="GBA4" s="324"/>
      <c r="GBB4" s="329"/>
      <c r="GBC4" s="1"/>
      <c r="GBD4" s="327"/>
      <c r="GBE4" s="14"/>
      <c r="GBH4" s="324"/>
      <c r="GBI4" s="329"/>
      <c r="GBJ4" s="1"/>
      <c r="GBK4" s="327"/>
      <c r="GBL4" s="14"/>
      <c r="GBO4" s="324"/>
      <c r="GBP4" s="329"/>
      <c r="GBQ4" s="1"/>
      <c r="GBR4" s="327"/>
      <c r="GBS4" s="14"/>
      <c r="GBV4" s="324"/>
      <c r="GBW4" s="329"/>
      <c r="GBX4" s="1"/>
      <c r="GBY4" s="327"/>
      <c r="GBZ4" s="14"/>
      <c r="GCC4" s="324"/>
      <c r="GCD4" s="329"/>
      <c r="GCE4" s="1"/>
      <c r="GCF4" s="327"/>
      <c r="GCG4" s="14"/>
      <c r="GCJ4" s="324"/>
      <c r="GCK4" s="329"/>
      <c r="GCL4" s="1"/>
      <c r="GCM4" s="327"/>
      <c r="GCN4" s="14"/>
      <c r="GCQ4" s="324"/>
      <c r="GCR4" s="329"/>
      <c r="GCS4" s="1"/>
      <c r="GCT4" s="327"/>
      <c r="GCU4" s="14"/>
      <c r="GCX4" s="324"/>
      <c r="GCY4" s="329"/>
      <c r="GCZ4" s="1"/>
      <c r="GDA4" s="327"/>
      <c r="GDB4" s="14"/>
      <c r="GDE4" s="324"/>
      <c r="GDF4" s="329"/>
      <c r="GDG4" s="1"/>
      <c r="GDH4" s="327"/>
      <c r="GDI4" s="14"/>
      <c r="GDL4" s="324"/>
      <c r="GDM4" s="329"/>
      <c r="GDN4" s="1"/>
      <c r="GDO4" s="327"/>
      <c r="GDP4" s="14"/>
      <c r="GDS4" s="324"/>
      <c r="GDT4" s="329"/>
      <c r="GDU4" s="1"/>
      <c r="GDV4" s="327"/>
      <c r="GDW4" s="14"/>
      <c r="GDZ4" s="324"/>
      <c r="GEA4" s="329"/>
      <c r="GEB4" s="1"/>
      <c r="GEC4" s="327"/>
      <c r="GED4" s="14"/>
      <c r="GEG4" s="324"/>
      <c r="GEH4" s="329"/>
      <c r="GEI4" s="1"/>
      <c r="GEJ4" s="327"/>
      <c r="GEK4" s="14"/>
      <c r="GEN4" s="324"/>
      <c r="GEO4" s="329"/>
      <c r="GEP4" s="1"/>
      <c r="GEQ4" s="327"/>
      <c r="GER4" s="14"/>
      <c r="GEU4" s="324"/>
      <c r="GEV4" s="329"/>
      <c r="GEW4" s="1"/>
      <c r="GEX4" s="327"/>
      <c r="GEY4" s="14"/>
      <c r="GFB4" s="324"/>
      <c r="GFC4" s="329"/>
      <c r="GFD4" s="1"/>
      <c r="GFE4" s="327"/>
      <c r="GFF4" s="14"/>
      <c r="GFI4" s="324"/>
      <c r="GFJ4" s="329"/>
      <c r="GFK4" s="1"/>
      <c r="GFL4" s="327"/>
      <c r="GFM4" s="14"/>
      <c r="GFP4" s="324"/>
      <c r="GFQ4" s="329"/>
      <c r="GFR4" s="1"/>
      <c r="GFS4" s="327"/>
      <c r="GFT4" s="14"/>
      <c r="GFW4" s="324"/>
      <c r="GFX4" s="329"/>
      <c r="GFY4" s="1"/>
      <c r="GFZ4" s="327"/>
      <c r="GGA4" s="14"/>
      <c r="GGD4" s="324"/>
      <c r="GGE4" s="329"/>
      <c r="GGF4" s="1"/>
      <c r="GGG4" s="327"/>
      <c r="GGH4" s="14"/>
      <c r="GGK4" s="324"/>
      <c r="GGL4" s="329"/>
      <c r="GGM4" s="1"/>
      <c r="GGN4" s="327"/>
      <c r="GGO4" s="14"/>
      <c r="GGR4" s="324"/>
      <c r="GGS4" s="329"/>
      <c r="GGT4" s="1"/>
      <c r="GGU4" s="327"/>
      <c r="GGV4" s="14"/>
      <c r="GGY4" s="324"/>
      <c r="GGZ4" s="329"/>
      <c r="GHA4" s="1"/>
      <c r="GHB4" s="327"/>
      <c r="GHC4" s="14"/>
      <c r="GHF4" s="324"/>
      <c r="GHG4" s="329"/>
      <c r="GHH4" s="1"/>
      <c r="GHI4" s="327"/>
      <c r="GHJ4" s="14"/>
      <c r="GHM4" s="324"/>
      <c r="GHN4" s="329"/>
      <c r="GHO4" s="1"/>
      <c r="GHP4" s="327"/>
      <c r="GHQ4" s="14"/>
      <c r="GHT4" s="324"/>
      <c r="GHU4" s="329"/>
      <c r="GHV4" s="1"/>
      <c r="GHW4" s="327"/>
      <c r="GHX4" s="14"/>
      <c r="GIA4" s="324"/>
      <c r="GIB4" s="329"/>
      <c r="GIC4" s="1"/>
      <c r="GID4" s="327"/>
      <c r="GIE4" s="14"/>
      <c r="GIH4" s="324"/>
      <c r="GII4" s="329"/>
      <c r="GIJ4" s="1"/>
      <c r="GIK4" s="327"/>
      <c r="GIL4" s="14"/>
      <c r="GIO4" s="324"/>
      <c r="GIP4" s="329"/>
      <c r="GIQ4" s="1"/>
      <c r="GIR4" s="327"/>
      <c r="GIS4" s="14"/>
      <c r="GIV4" s="324"/>
      <c r="GIW4" s="329"/>
      <c r="GIX4" s="1"/>
      <c r="GIY4" s="327"/>
      <c r="GIZ4" s="14"/>
      <c r="GJC4" s="324"/>
      <c r="GJD4" s="329"/>
      <c r="GJE4" s="1"/>
      <c r="GJF4" s="327"/>
      <c r="GJG4" s="14"/>
      <c r="GJJ4" s="324"/>
      <c r="GJK4" s="329"/>
      <c r="GJL4" s="1"/>
      <c r="GJM4" s="327"/>
      <c r="GJN4" s="14"/>
      <c r="GJQ4" s="324"/>
      <c r="GJR4" s="329"/>
      <c r="GJS4" s="1"/>
      <c r="GJT4" s="327"/>
      <c r="GJU4" s="14"/>
      <c r="GJX4" s="324"/>
      <c r="GJY4" s="329"/>
      <c r="GJZ4" s="1"/>
      <c r="GKA4" s="327"/>
      <c r="GKB4" s="14"/>
      <c r="GKE4" s="324"/>
      <c r="GKF4" s="329"/>
      <c r="GKG4" s="1"/>
      <c r="GKH4" s="327"/>
      <c r="GKI4" s="14"/>
      <c r="GKL4" s="324"/>
      <c r="GKM4" s="329"/>
      <c r="GKN4" s="1"/>
      <c r="GKO4" s="327"/>
      <c r="GKP4" s="14"/>
      <c r="GKS4" s="324"/>
      <c r="GKT4" s="329"/>
      <c r="GKU4" s="1"/>
      <c r="GKV4" s="327"/>
      <c r="GKW4" s="14"/>
      <c r="GKZ4" s="324"/>
      <c r="GLA4" s="329"/>
      <c r="GLB4" s="1"/>
      <c r="GLC4" s="327"/>
      <c r="GLD4" s="14"/>
      <c r="GLG4" s="324"/>
      <c r="GLH4" s="329"/>
      <c r="GLI4" s="1"/>
      <c r="GLJ4" s="327"/>
      <c r="GLK4" s="14"/>
      <c r="GLN4" s="324"/>
      <c r="GLO4" s="329"/>
      <c r="GLP4" s="1"/>
      <c r="GLQ4" s="327"/>
      <c r="GLR4" s="14"/>
      <c r="GLU4" s="324"/>
      <c r="GLV4" s="329"/>
      <c r="GLW4" s="1"/>
      <c r="GLX4" s="327"/>
      <c r="GLY4" s="14"/>
      <c r="GMB4" s="324"/>
      <c r="GMC4" s="329"/>
      <c r="GMD4" s="1"/>
      <c r="GME4" s="327"/>
      <c r="GMF4" s="14"/>
      <c r="GMI4" s="324"/>
      <c r="GMJ4" s="329"/>
      <c r="GMK4" s="1"/>
      <c r="GML4" s="327"/>
      <c r="GMM4" s="14"/>
      <c r="GMP4" s="324"/>
      <c r="GMQ4" s="329"/>
      <c r="GMR4" s="1"/>
      <c r="GMS4" s="327"/>
      <c r="GMT4" s="14"/>
      <c r="GMW4" s="324"/>
      <c r="GMX4" s="329"/>
      <c r="GMY4" s="1"/>
      <c r="GMZ4" s="327"/>
      <c r="GNA4" s="14"/>
      <c r="GND4" s="324"/>
      <c r="GNE4" s="329"/>
      <c r="GNF4" s="1"/>
      <c r="GNG4" s="327"/>
      <c r="GNH4" s="14"/>
      <c r="GNK4" s="324"/>
      <c r="GNL4" s="329"/>
      <c r="GNM4" s="1"/>
      <c r="GNN4" s="327"/>
      <c r="GNO4" s="14"/>
      <c r="GNR4" s="324"/>
      <c r="GNS4" s="329"/>
      <c r="GNT4" s="1"/>
      <c r="GNU4" s="327"/>
      <c r="GNV4" s="14"/>
      <c r="GNY4" s="324"/>
      <c r="GNZ4" s="329"/>
      <c r="GOA4" s="1"/>
      <c r="GOB4" s="327"/>
      <c r="GOC4" s="14"/>
      <c r="GOF4" s="324"/>
      <c r="GOG4" s="329"/>
      <c r="GOH4" s="1"/>
      <c r="GOI4" s="327"/>
      <c r="GOJ4" s="14"/>
      <c r="GOM4" s="324"/>
      <c r="GON4" s="329"/>
      <c r="GOO4" s="1"/>
      <c r="GOP4" s="327"/>
      <c r="GOQ4" s="14"/>
      <c r="GOT4" s="324"/>
      <c r="GOU4" s="329"/>
      <c r="GOV4" s="1"/>
      <c r="GOW4" s="327"/>
      <c r="GOX4" s="14"/>
      <c r="GPA4" s="324"/>
      <c r="GPB4" s="329"/>
      <c r="GPC4" s="1"/>
      <c r="GPD4" s="327"/>
      <c r="GPE4" s="14"/>
      <c r="GPH4" s="324"/>
      <c r="GPI4" s="329"/>
      <c r="GPJ4" s="1"/>
      <c r="GPK4" s="327"/>
      <c r="GPL4" s="14"/>
      <c r="GPO4" s="324"/>
      <c r="GPP4" s="329"/>
      <c r="GPQ4" s="1"/>
      <c r="GPR4" s="327"/>
      <c r="GPS4" s="14"/>
      <c r="GPV4" s="324"/>
      <c r="GPW4" s="329"/>
      <c r="GPX4" s="1"/>
      <c r="GPY4" s="327"/>
      <c r="GPZ4" s="14"/>
      <c r="GQC4" s="324"/>
      <c r="GQD4" s="329"/>
      <c r="GQE4" s="1"/>
      <c r="GQF4" s="327"/>
      <c r="GQG4" s="14"/>
      <c r="GQJ4" s="324"/>
      <c r="GQK4" s="329"/>
      <c r="GQL4" s="1"/>
      <c r="GQM4" s="327"/>
      <c r="GQN4" s="14"/>
      <c r="GQQ4" s="324"/>
      <c r="GQR4" s="329"/>
      <c r="GQS4" s="1"/>
      <c r="GQT4" s="327"/>
      <c r="GQU4" s="14"/>
      <c r="GQX4" s="324"/>
      <c r="GQY4" s="329"/>
      <c r="GQZ4" s="1"/>
      <c r="GRA4" s="327"/>
      <c r="GRB4" s="14"/>
      <c r="GRE4" s="324"/>
      <c r="GRF4" s="329"/>
      <c r="GRG4" s="1"/>
      <c r="GRH4" s="327"/>
      <c r="GRI4" s="14"/>
      <c r="GRL4" s="324"/>
      <c r="GRM4" s="329"/>
      <c r="GRN4" s="1"/>
      <c r="GRO4" s="327"/>
      <c r="GRP4" s="14"/>
      <c r="GRS4" s="324"/>
      <c r="GRT4" s="329"/>
      <c r="GRU4" s="1"/>
      <c r="GRV4" s="327"/>
      <c r="GRW4" s="14"/>
      <c r="GRZ4" s="324"/>
      <c r="GSA4" s="329"/>
      <c r="GSB4" s="1"/>
      <c r="GSC4" s="327"/>
      <c r="GSD4" s="14"/>
      <c r="GSG4" s="324"/>
      <c r="GSH4" s="329"/>
      <c r="GSI4" s="1"/>
      <c r="GSJ4" s="327"/>
      <c r="GSK4" s="14"/>
      <c r="GSN4" s="324"/>
      <c r="GSO4" s="329"/>
      <c r="GSP4" s="1"/>
      <c r="GSQ4" s="327"/>
      <c r="GSR4" s="14"/>
      <c r="GSU4" s="324"/>
      <c r="GSV4" s="329"/>
      <c r="GSW4" s="1"/>
      <c r="GSX4" s="327"/>
      <c r="GSY4" s="14"/>
      <c r="GTB4" s="324"/>
      <c r="GTC4" s="329"/>
      <c r="GTD4" s="1"/>
      <c r="GTE4" s="327"/>
      <c r="GTF4" s="14"/>
      <c r="GTI4" s="324"/>
      <c r="GTJ4" s="329"/>
      <c r="GTK4" s="1"/>
      <c r="GTL4" s="327"/>
      <c r="GTM4" s="14"/>
      <c r="GTP4" s="324"/>
      <c r="GTQ4" s="329"/>
      <c r="GTR4" s="1"/>
      <c r="GTS4" s="327"/>
      <c r="GTT4" s="14"/>
      <c r="GTW4" s="324"/>
      <c r="GTX4" s="329"/>
      <c r="GTY4" s="1"/>
      <c r="GTZ4" s="327"/>
      <c r="GUA4" s="14"/>
      <c r="GUD4" s="324"/>
      <c r="GUE4" s="329"/>
      <c r="GUF4" s="1"/>
      <c r="GUG4" s="327"/>
      <c r="GUH4" s="14"/>
      <c r="GUK4" s="324"/>
      <c r="GUL4" s="329"/>
      <c r="GUM4" s="1"/>
      <c r="GUN4" s="327"/>
      <c r="GUO4" s="14"/>
      <c r="GUR4" s="324"/>
      <c r="GUS4" s="329"/>
      <c r="GUT4" s="1"/>
      <c r="GUU4" s="327"/>
      <c r="GUV4" s="14"/>
      <c r="GUY4" s="324"/>
      <c r="GUZ4" s="329"/>
      <c r="GVA4" s="1"/>
      <c r="GVB4" s="327"/>
      <c r="GVC4" s="14"/>
      <c r="GVF4" s="324"/>
      <c r="GVG4" s="329"/>
      <c r="GVH4" s="1"/>
      <c r="GVI4" s="327"/>
      <c r="GVJ4" s="14"/>
      <c r="GVM4" s="324"/>
      <c r="GVN4" s="329"/>
      <c r="GVO4" s="1"/>
      <c r="GVP4" s="327"/>
      <c r="GVQ4" s="14"/>
      <c r="GVT4" s="324"/>
      <c r="GVU4" s="329"/>
      <c r="GVV4" s="1"/>
      <c r="GVW4" s="327"/>
      <c r="GVX4" s="14"/>
      <c r="GWA4" s="324"/>
      <c r="GWB4" s="329"/>
      <c r="GWC4" s="1"/>
      <c r="GWD4" s="327"/>
      <c r="GWE4" s="14"/>
      <c r="GWH4" s="324"/>
      <c r="GWI4" s="329"/>
      <c r="GWJ4" s="1"/>
      <c r="GWK4" s="327"/>
      <c r="GWL4" s="14"/>
      <c r="GWO4" s="324"/>
      <c r="GWP4" s="329"/>
      <c r="GWQ4" s="1"/>
      <c r="GWR4" s="327"/>
      <c r="GWS4" s="14"/>
      <c r="GWV4" s="324"/>
      <c r="GWW4" s="329"/>
      <c r="GWX4" s="1"/>
      <c r="GWY4" s="327"/>
      <c r="GWZ4" s="14"/>
      <c r="GXC4" s="324"/>
      <c r="GXD4" s="329"/>
      <c r="GXE4" s="1"/>
      <c r="GXF4" s="327"/>
      <c r="GXG4" s="14"/>
      <c r="GXJ4" s="324"/>
      <c r="GXK4" s="329"/>
      <c r="GXL4" s="1"/>
      <c r="GXM4" s="327"/>
      <c r="GXN4" s="14"/>
      <c r="GXQ4" s="324"/>
      <c r="GXR4" s="329"/>
      <c r="GXS4" s="1"/>
      <c r="GXT4" s="327"/>
      <c r="GXU4" s="14"/>
      <c r="GXX4" s="324"/>
      <c r="GXY4" s="329"/>
      <c r="GXZ4" s="1"/>
      <c r="GYA4" s="327"/>
      <c r="GYB4" s="14"/>
      <c r="GYE4" s="324"/>
      <c r="GYF4" s="329"/>
      <c r="GYG4" s="1"/>
      <c r="GYH4" s="327"/>
      <c r="GYI4" s="14"/>
      <c r="GYL4" s="324"/>
      <c r="GYM4" s="329"/>
      <c r="GYN4" s="1"/>
      <c r="GYO4" s="327"/>
      <c r="GYP4" s="14"/>
      <c r="GYS4" s="324"/>
      <c r="GYT4" s="329"/>
      <c r="GYU4" s="1"/>
      <c r="GYV4" s="327"/>
      <c r="GYW4" s="14"/>
      <c r="GYZ4" s="324"/>
      <c r="GZA4" s="329"/>
      <c r="GZB4" s="1"/>
      <c r="GZC4" s="327"/>
      <c r="GZD4" s="14"/>
      <c r="GZG4" s="324"/>
      <c r="GZH4" s="329"/>
      <c r="GZI4" s="1"/>
      <c r="GZJ4" s="327"/>
      <c r="GZK4" s="14"/>
      <c r="GZN4" s="324"/>
      <c r="GZO4" s="329"/>
      <c r="GZP4" s="1"/>
      <c r="GZQ4" s="327"/>
      <c r="GZR4" s="14"/>
      <c r="GZU4" s="324"/>
      <c r="GZV4" s="329"/>
      <c r="GZW4" s="1"/>
      <c r="GZX4" s="327"/>
      <c r="GZY4" s="14"/>
      <c r="HAB4" s="324"/>
      <c r="HAC4" s="329"/>
      <c r="HAD4" s="1"/>
      <c r="HAE4" s="327"/>
      <c r="HAF4" s="14"/>
      <c r="HAI4" s="324"/>
      <c r="HAJ4" s="329"/>
      <c r="HAK4" s="1"/>
      <c r="HAL4" s="327"/>
      <c r="HAM4" s="14"/>
      <c r="HAP4" s="324"/>
      <c r="HAQ4" s="329"/>
      <c r="HAR4" s="1"/>
      <c r="HAS4" s="327"/>
      <c r="HAT4" s="14"/>
      <c r="HAW4" s="324"/>
      <c r="HAX4" s="329"/>
      <c r="HAY4" s="1"/>
      <c r="HAZ4" s="327"/>
      <c r="HBA4" s="14"/>
      <c r="HBD4" s="324"/>
      <c r="HBE4" s="329"/>
      <c r="HBF4" s="1"/>
      <c r="HBG4" s="327"/>
      <c r="HBH4" s="14"/>
      <c r="HBK4" s="324"/>
      <c r="HBL4" s="329"/>
      <c r="HBM4" s="1"/>
      <c r="HBN4" s="327"/>
      <c r="HBO4" s="14"/>
      <c r="HBR4" s="324"/>
      <c r="HBS4" s="329"/>
      <c r="HBT4" s="1"/>
      <c r="HBU4" s="327"/>
      <c r="HBV4" s="14"/>
      <c r="HBY4" s="324"/>
      <c r="HBZ4" s="329"/>
      <c r="HCA4" s="1"/>
      <c r="HCB4" s="327"/>
      <c r="HCC4" s="14"/>
      <c r="HCF4" s="324"/>
      <c r="HCG4" s="329"/>
      <c r="HCH4" s="1"/>
      <c r="HCI4" s="327"/>
      <c r="HCJ4" s="14"/>
      <c r="HCM4" s="324"/>
      <c r="HCN4" s="329"/>
      <c r="HCO4" s="1"/>
      <c r="HCP4" s="327"/>
      <c r="HCQ4" s="14"/>
      <c r="HCT4" s="324"/>
      <c r="HCU4" s="329"/>
      <c r="HCV4" s="1"/>
      <c r="HCW4" s="327"/>
      <c r="HCX4" s="14"/>
      <c r="HDA4" s="324"/>
      <c r="HDB4" s="329"/>
      <c r="HDC4" s="1"/>
      <c r="HDD4" s="327"/>
      <c r="HDE4" s="14"/>
      <c r="HDH4" s="324"/>
      <c r="HDI4" s="329"/>
      <c r="HDJ4" s="1"/>
      <c r="HDK4" s="327"/>
      <c r="HDL4" s="14"/>
      <c r="HDO4" s="324"/>
      <c r="HDP4" s="329"/>
      <c r="HDQ4" s="1"/>
      <c r="HDR4" s="327"/>
      <c r="HDS4" s="14"/>
      <c r="HDV4" s="324"/>
      <c r="HDW4" s="329"/>
      <c r="HDX4" s="1"/>
      <c r="HDY4" s="327"/>
      <c r="HDZ4" s="14"/>
      <c r="HEC4" s="324"/>
      <c r="HED4" s="329"/>
      <c r="HEE4" s="1"/>
      <c r="HEF4" s="327"/>
      <c r="HEG4" s="14"/>
      <c r="HEJ4" s="324"/>
      <c r="HEK4" s="329"/>
      <c r="HEL4" s="1"/>
      <c r="HEM4" s="327"/>
      <c r="HEN4" s="14"/>
      <c r="HEQ4" s="324"/>
      <c r="HER4" s="329"/>
      <c r="HES4" s="1"/>
      <c r="HET4" s="327"/>
      <c r="HEU4" s="14"/>
      <c r="HEX4" s="324"/>
      <c r="HEY4" s="329"/>
      <c r="HEZ4" s="1"/>
      <c r="HFA4" s="327"/>
      <c r="HFB4" s="14"/>
      <c r="HFE4" s="324"/>
      <c r="HFF4" s="329"/>
      <c r="HFG4" s="1"/>
      <c r="HFH4" s="327"/>
      <c r="HFI4" s="14"/>
      <c r="HFL4" s="324"/>
      <c r="HFM4" s="329"/>
      <c r="HFN4" s="1"/>
      <c r="HFO4" s="327"/>
      <c r="HFP4" s="14"/>
      <c r="HFS4" s="324"/>
      <c r="HFT4" s="329"/>
      <c r="HFU4" s="1"/>
      <c r="HFV4" s="327"/>
      <c r="HFW4" s="14"/>
      <c r="HFZ4" s="324"/>
      <c r="HGA4" s="329"/>
      <c r="HGB4" s="1"/>
      <c r="HGC4" s="327"/>
      <c r="HGD4" s="14"/>
      <c r="HGG4" s="324"/>
      <c r="HGH4" s="329"/>
      <c r="HGI4" s="1"/>
      <c r="HGJ4" s="327"/>
      <c r="HGK4" s="14"/>
      <c r="HGN4" s="324"/>
      <c r="HGO4" s="329"/>
      <c r="HGP4" s="1"/>
      <c r="HGQ4" s="327"/>
      <c r="HGR4" s="14"/>
      <c r="HGU4" s="324"/>
      <c r="HGV4" s="329"/>
      <c r="HGW4" s="1"/>
      <c r="HGX4" s="327"/>
      <c r="HGY4" s="14"/>
      <c r="HHB4" s="324"/>
      <c r="HHC4" s="329"/>
      <c r="HHD4" s="1"/>
      <c r="HHE4" s="327"/>
      <c r="HHF4" s="14"/>
      <c r="HHI4" s="324"/>
      <c r="HHJ4" s="329"/>
      <c r="HHK4" s="1"/>
      <c r="HHL4" s="327"/>
      <c r="HHM4" s="14"/>
      <c r="HHP4" s="324"/>
      <c r="HHQ4" s="329"/>
      <c r="HHR4" s="1"/>
      <c r="HHS4" s="327"/>
      <c r="HHT4" s="14"/>
      <c r="HHW4" s="324"/>
      <c r="HHX4" s="329"/>
      <c r="HHY4" s="1"/>
      <c r="HHZ4" s="327"/>
      <c r="HIA4" s="14"/>
      <c r="HID4" s="324"/>
      <c r="HIE4" s="329"/>
      <c r="HIF4" s="1"/>
      <c r="HIG4" s="327"/>
      <c r="HIH4" s="14"/>
      <c r="HIK4" s="324"/>
      <c r="HIL4" s="329"/>
      <c r="HIM4" s="1"/>
      <c r="HIN4" s="327"/>
      <c r="HIO4" s="14"/>
      <c r="HIR4" s="324"/>
      <c r="HIS4" s="329"/>
      <c r="HIT4" s="1"/>
      <c r="HIU4" s="327"/>
      <c r="HIV4" s="14"/>
      <c r="HIY4" s="324"/>
      <c r="HIZ4" s="329"/>
      <c r="HJA4" s="1"/>
      <c r="HJB4" s="327"/>
      <c r="HJC4" s="14"/>
      <c r="HJF4" s="324"/>
      <c r="HJG4" s="329"/>
      <c r="HJH4" s="1"/>
      <c r="HJI4" s="327"/>
      <c r="HJJ4" s="14"/>
      <c r="HJM4" s="324"/>
      <c r="HJN4" s="329"/>
      <c r="HJO4" s="1"/>
      <c r="HJP4" s="327"/>
      <c r="HJQ4" s="14"/>
      <c r="HJT4" s="324"/>
      <c r="HJU4" s="329"/>
      <c r="HJV4" s="1"/>
      <c r="HJW4" s="327"/>
      <c r="HJX4" s="14"/>
      <c r="HKA4" s="324"/>
      <c r="HKB4" s="329"/>
      <c r="HKC4" s="1"/>
      <c r="HKD4" s="327"/>
      <c r="HKE4" s="14"/>
      <c r="HKH4" s="324"/>
      <c r="HKI4" s="329"/>
      <c r="HKJ4" s="1"/>
      <c r="HKK4" s="327"/>
      <c r="HKL4" s="14"/>
      <c r="HKO4" s="324"/>
      <c r="HKP4" s="329"/>
      <c r="HKQ4" s="1"/>
      <c r="HKR4" s="327"/>
      <c r="HKS4" s="14"/>
      <c r="HKV4" s="324"/>
      <c r="HKW4" s="329"/>
      <c r="HKX4" s="1"/>
      <c r="HKY4" s="327"/>
      <c r="HKZ4" s="14"/>
      <c r="HLC4" s="324"/>
      <c r="HLD4" s="329"/>
      <c r="HLE4" s="1"/>
      <c r="HLF4" s="327"/>
      <c r="HLG4" s="14"/>
      <c r="HLJ4" s="324"/>
      <c r="HLK4" s="329"/>
      <c r="HLL4" s="1"/>
      <c r="HLM4" s="327"/>
      <c r="HLN4" s="14"/>
      <c r="HLQ4" s="324"/>
      <c r="HLR4" s="329"/>
      <c r="HLS4" s="1"/>
      <c r="HLT4" s="327"/>
      <c r="HLU4" s="14"/>
      <c r="HLX4" s="324"/>
      <c r="HLY4" s="329"/>
      <c r="HLZ4" s="1"/>
      <c r="HMA4" s="327"/>
      <c r="HMB4" s="14"/>
      <c r="HME4" s="324"/>
      <c r="HMF4" s="329"/>
      <c r="HMG4" s="1"/>
      <c r="HMH4" s="327"/>
      <c r="HMI4" s="14"/>
      <c r="HML4" s="324"/>
      <c r="HMM4" s="329"/>
      <c r="HMN4" s="1"/>
      <c r="HMO4" s="327"/>
      <c r="HMP4" s="14"/>
      <c r="HMS4" s="324"/>
      <c r="HMT4" s="329"/>
      <c r="HMU4" s="1"/>
      <c r="HMV4" s="327"/>
      <c r="HMW4" s="14"/>
      <c r="HMZ4" s="324"/>
      <c r="HNA4" s="329"/>
      <c r="HNB4" s="1"/>
      <c r="HNC4" s="327"/>
      <c r="HND4" s="14"/>
      <c r="HNG4" s="324"/>
      <c r="HNH4" s="329"/>
      <c r="HNI4" s="1"/>
      <c r="HNJ4" s="327"/>
      <c r="HNK4" s="14"/>
      <c r="HNN4" s="324"/>
      <c r="HNO4" s="329"/>
      <c r="HNP4" s="1"/>
      <c r="HNQ4" s="327"/>
      <c r="HNR4" s="14"/>
      <c r="HNU4" s="324"/>
      <c r="HNV4" s="329"/>
      <c r="HNW4" s="1"/>
      <c r="HNX4" s="327"/>
      <c r="HNY4" s="14"/>
      <c r="HOB4" s="324"/>
      <c r="HOC4" s="329"/>
      <c r="HOD4" s="1"/>
      <c r="HOE4" s="327"/>
      <c r="HOF4" s="14"/>
      <c r="HOI4" s="324"/>
      <c r="HOJ4" s="329"/>
      <c r="HOK4" s="1"/>
      <c r="HOL4" s="327"/>
      <c r="HOM4" s="14"/>
      <c r="HOP4" s="324"/>
      <c r="HOQ4" s="329"/>
      <c r="HOR4" s="1"/>
      <c r="HOS4" s="327"/>
      <c r="HOT4" s="14"/>
      <c r="HOW4" s="324"/>
      <c r="HOX4" s="329"/>
      <c r="HOY4" s="1"/>
      <c r="HOZ4" s="327"/>
      <c r="HPA4" s="14"/>
      <c r="HPD4" s="324"/>
      <c r="HPE4" s="329"/>
      <c r="HPF4" s="1"/>
      <c r="HPG4" s="327"/>
      <c r="HPH4" s="14"/>
      <c r="HPK4" s="324"/>
      <c r="HPL4" s="329"/>
      <c r="HPM4" s="1"/>
      <c r="HPN4" s="327"/>
      <c r="HPO4" s="14"/>
      <c r="HPR4" s="324"/>
      <c r="HPS4" s="329"/>
      <c r="HPT4" s="1"/>
      <c r="HPU4" s="327"/>
      <c r="HPV4" s="14"/>
      <c r="HPY4" s="324"/>
      <c r="HPZ4" s="329"/>
      <c r="HQA4" s="1"/>
      <c r="HQB4" s="327"/>
      <c r="HQC4" s="14"/>
      <c r="HQF4" s="324"/>
      <c r="HQG4" s="329"/>
      <c r="HQH4" s="1"/>
      <c r="HQI4" s="327"/>
      <c r="HQJ4" s="14"/>
      <c r="HQM4" s="324"/>
      <c r="HQN4" s="329"/>
      <c r="HQO4" s="1"/>
      <c r="HQP4" s="327"/>
      <c r="HQQ4" s="14"/>
      <c r="HQT4" s="324"/>
      <c r="HQU4" s="329"/>
      <c r="HQV4" s="1"/>
      <c r="HQW4" s="327"/>
      <c r="HQX4" s="14"/>
      <c r="HRA4" s="324"/>
      <c r="HRB4" s="329"/>
      <c r="HRC4" s="1"/>
      <c r="HRD4" s="327"/>
      <c r="HRE4" s="14"/>
      <c r="HRH4" s="324"/>
      <c r="HRI4" s="329"/>
      <c r="HRJ4" s="1"/>
      <c r="HRK4" s="327"/>
      <c r="HRL4" s="14"/>
      <c r="HRO4" s="324"/>
      <c r="HRP4" s="329"/>
      <c r="HRQ4" s="1"/>
      <c r="HRR4" s="327"/>
      <c r="HRS4" s="14"/>
      <c r="HRV4" s="324"/>
      <c r="HRW4" s="329"/>
      <c r="HRX4" s="1"/>
      <c r="HRY4" s="327"/>
      <c r="HRZ4" s="14"/>
      <c r="HSC4" s="324"/>
      <c r="HSD4" s="329"/>
      <c r="HSE4" s="1"/>
      <c r="HSF4" s="327"/>
      <c r="HSG4" s="14"/>
      <c r="HSJ4" s="324"/>
      <c r="HSK4" s="329"/>
      <c r="HSL4" s="1"/>
      <c r="HSM4" s="327"/>
      <c r="HSN4" s="14"/>
      <c r="HSQ4" s="324"/>
      <c r="HSR4" s="329"/>
      <c r="HSS4" s="1"/>
      <c r="HST4" s="327"/>
      <c r="HSU4" s="14"/>
      <c r="HSX4" s="324"/>
      <c r="HSY4" s="329"/>
      <c r="HSZ4" s="1"/>
      <c r="HTA4" s="327"/>
      <c r="HTB4" s="14"/>
      <c r="HTE4" s="324"/>
      <c r="HTF4" s="329"/>
      <c r="HTG4" s="1"/>
      <c r="HTH4" s="327"/>
      <c r="HTI4" s="14"/>
      <c r="HTL4" s="324"/>
      <c r="HTM4" s="329"/>
      <c r="HTN4" s="1"/>
      <c r="HTO4" s="327"/>
      <c r="HTP4" s="14"/>
      <c r="HTS4" s="324"/>
      <c r="HTT4" s="329"/>
      <c r="HTU4" s="1"/>
      <c r="HTV4" s="327"/>
      <c r="HTW4" s="14"/>
      <c r="HTZ4" s="324"/>
      <c r="HUA4" s="329"/>
      <c r="HUB4" s="1"/>
      <c r="HUC4" s="327"/>
      <c r="HUD4" s="14"/>
      <c r="HUG4" s="324"/>
      <c r="HUH4" s="329"/>
      <c r="HUI4" s="1"/>
      <c r="HUJ4" s="327"/>
      <c r="HUK4" s="14"/>
      <c r="HUN4" s="324"/>
      <c r="HUO4" s="329"/>
      <c r="HUP4" s="1"/>
      <c r="HUQ4" s="327"/>
      <c r="HUR4" s="14"/>
      <c r="HUU4" s="324"/>
      <c r="HUV4" s="329"/>
      <c r="HUW4" s="1"/>
      <c r="HUX4" s="327"/>
      <c r="HUY4" s="14"/>
      <c r="HVB4" s="324"/>
      <c r="HVC4" s="329"/>
      <c r="HVD4" s="1"/>
      <c r="HVE4" s="327"/>
      <c r="HVF4" s="14"/>
      <c r="HVI4" s="324"/>
      <c r="HVJ4" s="329"/>
      <c r="HVK4" s="1"/>
      <c r="HVL4" s="327"/>
      <c r="HVM4" s="14"/>
      <c r="HVP4" s="324"/>
      <c r="HVQ4" s="329"/>
      <c r="HVR4" s="1"/>
      <c r="HVS4" s="327"/>
      <c r="HVT4" s="14"/>
      <c r="HVW4" s="324"/>
      <c r="HVX4" s="329"/>
      <c r="HVY4" s="1"/>
      <c r="HVZ4" s="327"/>
      <c r="HWA4" s="14"/>
      <c r="HWD4" s="324"/>
      <c r="HWE4" s="329"/>
      <c r="HWF4" s="1"/>
      <c r="HWG4" s="327"/>
      <c r="HWH4" s="14"/>
      <c r="HWK4" s="324"/>
      <c r="HWL4" s="329"/>
      <c r="HWM4" s="1"/>
      <c r="HWN4" s="327"/>
      <c r="HWO4" s="14"/>
      <c r="HWR4" s="324"/>
      <c r="HWS4" s="329"/>
      <c r="HWT4" s="1"/>
      <c r="HWU4" s="327"/>
      <c r="HWV4" s="14"/>
      <c r="HWY4" s="324"/>
      <c r="HWZ4" s="329"/>
      <c r="HXA4" s="1"/>
      <c r="HXB4" s="327"/>
      <c r="HXC4" s="14"/>
      <c r="HXF4" s="324"/>
      <c r="HXG4" s="329"/>
      <c r="HXH4" s="1"/>
      <c r="HXI4" s="327"/>
      <c r="HXJ4" s="14"/>
      <c r="HXM4" s="324"/>
      <c r="HXN4" s="329"/>
      <c r="HXO4" s="1"/>
      <c r="HXP4" s="327"/>
      <c r="HXQ4" s="14"/>
      <c r="HXT4" s="324"/>
      <c r="HXU4" s="329"/>
      <c r="HXV4" s="1"/>
      <c r="HXW4" s="327"/>
      <c r="HXX4" s="14"/>
      <c r="HYA4" s="324"/>
      <c r="HYB4" s="329"/>
      <c r="HYC4" s="1"/>
      <c r="HYD4" s="327"/>
      <c r="HYE4" s="14"/>
      <c r="HYH4" s="324"/>
      <c r="HYI4" s="329"/>
      <c r="HYJ4" s="1"/>
      <c r="HYK4" s="327"/>
      <c r="HYL4" s="14"/>
      <c r="HYO4" s="324"/>
      <c r="HYP4" s="329"/>
      <c r="HYQ4" s="1"/>
      <c r="HYR4" s="327"/>
      <c r="HYS4" s="14"/>
      <c r="HYV4" s="324"/>
      <c r="HYW4" s="329"/>
      <c r="HYX4" s="1"/>
      <c r="HYY4" s="327"/>
      <c r="HYZ4" s="14"/>
      <c r="HZC4" s="324"/>
      <c r="HZD4" s="329"/>
      <c r="HZE4" s="1"/>
      <c r="HZF4" s="327"/>
      <c r="HZG4" s="14"/>
      <c r="HZJ4" s="324"/>
      <c r="HZK4" s="329"/>
      <c r="HZL4" s="1"/>
      <c r="HZM4" s="327"/>
      <c r="HZN4" s="14"/>
      <c r="HZQ4" s="324"/>
      <c r="HZR4" s="329"/>
      <c r="HZS4" s="1"/>
      <c r="HZT4" s="327"/>
      <c r="HZU4" s="14"/>
      <c r="HZX4" s="324"/>
      <c r="HZY4" s="329"/>
      <c r="HZZ4" s="1"/>
      <c r="IAA4" s="327"/>
      <c r="IAB4" s="14"/>
      <c r="IAE4" s="324"/>
      <c r="IAF4" s="329"/>
      <c r="IAG4" s="1"/>
      <c r="IAH4" s="327"/>
      <c r="IAI4" s="14"/>
      <c r="IAL4" s="324"/>
      <c r="IAM4" s="329"/>
      <c r="IAN4" s="1"/>
      <c r="IAO4" s="327"/>
      <c r="IAP4" s="14"/>
      <c r="IAS4" s="324"/>
      <c r="IAT4" s="329"/>
      <c r="IAU4" s="1"/>
      <c r="IAV4" s="327"/>
      <c r="IAW4" s="14"/>
      <c r="IAZ4" s="324"/>
      <c r="IBA4" s="329"/>
      <c r="IBB4" s="1"/>
      <c r="IBC4" s="327"/>
      <c r="IBD4" s="14"/>
      <c r="IBG4" s="324"/>
      <c r="IBH4" s="329"/>
      <c r="IBI4" s="1"/>
      <c r="IBJ4" s="327"/>
      <c r="IBK4" s="14"/>
      <c r="IBN4" s="324"/>
      <c r="IBO4" s="329"/>
      <c r="IBP4" s="1"/>
      <c r="IBQ4" s="327"/>
      <c r="IBR4" s="14"/>
      <c r="IBU4" s="324"/>
      <c r="IBV4" s="329"/>
      <c r="IBW4" s="1"/>
      <c r="IBX4" s="327"/>
      <c r="IBY4" s="14"/>
      <c r="ICB4" s="324"/>
      <c r="ICC4" s="329"/>
      <c r="ICD4" s="1"/>
      <c r="ICE4" s="327"/>
      <c r="ICF4" s="14"/>
      <c r="ICI4" s="324"/>
      <c r="ICJ4" s="329"/>
      <c r="ICK4" s="1"/>
      <c r="ICL4" s="327"/>
      <c r="ICM4" s="14"/>
      <c r="ICP4" s="324"/>
      <c r="ICQ4" s="329"/>
      <c r="ICR4" s="1"/>
      <c r="ICS4" s="327"/>
      <c r="ICT4" s="14"/>
      <c r="ICW4" s="324"/>
      <c r="ICX4" s="329"/>
      <c r="ICY4" s="1"/>
      <c r="ICZ4" s="327"/>
      <c r="IDA4" s="14"/>
      <c r="IDD4" s="324"/>
      <c r="IDE4" s="329"/>
      <c r="IDF4" s="1"/>
      <c r="IDG4" s="327"/>
      <c r="IDH4" s="14"/>
      <c r="IDK4" s="324"/>
      <c r="IDL4" s="329"/>
      <c r="IDM4" s="1"/>
      <c r="IDN4" s="327"/>
      <c r="IDO4" s="14"/>
      <c r="IDR4" s="324"/>
      <c r="IDS4" s="329"/>
      <c r="IDT4" s="1"/>
      <c r="IDU4" s="327"/>
      <c r="IDV4" s="14"/>
      <c r="IDY4" s="324"/>
      <c r="IDZ4" s="329"/>
      <c r="IEA4" s="1"/>
      <c r="IEB4" s="327"/>
      <c r="IEC4" s="14"/>
      <c r="IEF4" s="324"/>
      <c r="IEG4" s="329"/>
      <c r="IEH4" s="1"/>
      <c r="IEI4" s="327"/>
      <c r="IEJ4" s="14"/>
      <c r="IEM4" s="324"/>
      <c r="IEN4" s="329"/>
      <c r="IEO4" s="1"/>
      <c r="IEP4" s="327"/>
      <c r="IEQ4" s="14"/>
      <c r="IET4" s="324"/>
      <c r="IEU4" s="329"/>
      <c r="IEV4" s="1"/>
      <c r="IEW4" s="327"/>
      <c r="IEX4" s="14"/>
      <c r="IFA4" s="324"/>
      <c r="IFB4" s="329"/>
      <c r="IFC4" s="1"/>
      <c r="IFD4" s="327"/>
      <c r="IFE4" s="14"/>
      <c r="IFH4" s="324"/>
      <c r="IFI4" s="329"/>
      <c r="IFJ4" s="1"/>
      <c r="IFK4" s="327"/>
      <c r="IFL4" s="14"/>
      <c r="IFO4" s="324"/>
      <c r="IFP4" s="329"/>
      <c r="IFQ4" s="1"/>
      <c r="IFR4" s="327"/>
      <c r="IFS4" s="14"/>
      <c r="IFV4" s="324"/>
      <c r="IFW4" s="329"/>
      <c r="IFX4" s="1"/>
      <c r="IFY4" s="327"/>
      <c r="IFZ4" s="14"/>
      <c r="IGC4" s="324"/>
      <c r="IGD4" s="329"/>
      <c r="IGE4" s="1"/>
      <c r="IGF4" s="327"/>
      <c r="IGG4" s="14"/>
      <c r="IGJ4" s="324"/>
      <c r="IGK4" s="329"/>
      <c r="IGL4" s="1"/>
      <c r="IGM4" s="327"/>
      <c r="IGN4" s="14"/>
      <c r="IGQ4" s="324"/>
      <c r="IGR4" s="329"/>
      <c r="IGS4" s="1"/>
      <c r="IGT4" s="327"/>
      <c r="IGU4" s="14"/>
      <c r="IGX4" s="324"/>
      <c r="IGY4" s="329"/>
      <c r="IGZ4" s="1"/>
      <c r="IHA4" s="327"/>
      <c r="IHB4" s="14"/>
      <c r="IHE4" s="324"/>
      <c r="IHF4" s="329"/>
      <c r="IHG4" s="1"/>
      <c r="IHH4" s="327"/>
      <c r="IHI4" s="14"/>
      <c r="IHL4" s="324"/>
      <c r="IHM4" s="329"/>
      <c r="IHN4" s="1"/>
      <c r="IHO4" s="327"/>
      <c r="IHP4" s="14"/>
      <c r="IHS4" s="324"/>
      <c r="IHT4" s="329"/>
      <c r="IHU4" s="1"/>
      <c r="IHV4" s="327"/>
      <c r="IHW4" s="14"/>
      <c r="IHZ4" s="324"/>
      <c r="IIA4" s="329"/>
      <c r="IIB4" s="1"/>
      <c r="IIC4" s="327"/>
      <c r="IID4" s="14"/>
      <c r="IIG4" s="324"/>
      <c r="IIH4" s="329"/>
      <c r="III4" s="1"/>
      <c r="IIJ4" s="327"/>
      <c r="IIK4" s="14"/>
      <c r="IIN4" s="324"/>
      <c r="IIO4" s="329"/>
      <c r="IIP4" s="1"/>
      <c r="IIQ4" s="327"/>
      <c r="IIR4" s="14"/>
      <c r="IIU4" s="324"/>
      <c r="IIV4" s="329"/>
      <c r="IIW4" s="1"/>
      <c r="IIX4" s="327"/>
      <c r="IIY4" s="14"/>
      <c r="IJB4" s="324"/>
      <c r="IJC4" s="329"/>
      <c r="IJD4" s="1"/>
      <c r="IJE4" s="327"/>
      <c r="IJF4" s="14"/>
      <c r="IJI4" s="324"/>
      <c r="IJJ4" s="329"/>
      <c r="IJK4" s="1"/>
      <c r="IJL4" s="327"/>
      <c r="IJM4" s="14"/>
      <c r="IJP4" s="324"/>
      <c r="IJQ4" s="329"/>
      <c r="IJR4" s="1"/>
      <c r="IJS4" s="327"/>
      <c r="IJT4" s="14"/>
      <c r="IJW4" s="324"/>
      <c r="IJX4" s="329"/>
      <c r="IJY4" s="1"/>
      <c r="IJZ4" s="327"/>
      <c r="IKA4" s="14"/>
      <c r="IKD4" s="324"/>
      <c r="IKE4" s="329"/>
      <c r="IKF4" s="1"/>
      <c r="IKG4" s="327"/>
      <c r="IKH4" s="14"/>
      <c r="IKK4" s="324"/>
      <c r="IKL4" s="329"/>
      <c r="IKM4" s="1"/>
      <c r="IKN4" s="327"/>
      <c r="IKO4" s="14"/>
      <c r="IKR4" s="324"/>
      <c r="IKS4" s="329"/>
      <c r="IKT4" s="1"/>
      <c r="IKU4" s="327"/>
      <c r="IKV4" s="14"/>
      <c r="IKY4" s="324"/>
      <c r="IKZ4" s="329"/>
      <c r="ILA4" s="1"/>
      <c r="ILB4" s="327"/>
      <c r="ILC4" s="14"/>
      <c r="ILF4" s="324"/>
      <c r="ILG4" s="329"/>
      <c r="ILH4" s="1"/>
      <c r="ILI4" s="327"/>
      <c r="ILJ4" s="14"/>
      <c r="ILM4" s="324"/>
      <c r="ILN4" s="329"/>
      <c r="ILO4" s="1"/>
      <c r="ILP4" s="327"/>
      <c r="ILQ4" s="14"/>
      <c r="ILT4" s="324"/>
      <c r="ILU4" s="329"/>
      <c r="ILV4" s="1"/>
      <c r="ILW4" s="327"/>
      <c r="ILX4" s="14"/>
      <c r="IMA4" s="324"/>
      <c r="IMB4" s="329"/>
      <c r="IMC4" s="1"/>
      <c r="IMD4" s="327"/>
      <c r="IME4" s="14"/>
      <c r="IMH4" s="324"/>
      <c r="IMI4" s="329"/>
      <c r="IMJ4" s="1"/>
      <c r="IMK4" s="327"/>
      <c r="IML4" s="14"/>
      <c r="IMO4" s="324"/>
      <c r="IMP4" s="329"/>
      <c r="IMQ4" s="1"/>
      <c r="IMR4" s="327"/>
      <c r="IMS4" s="14"/>
      <c r="IMV4" s="324"/>
      <c r="IMW4" s="329"/>
      <c r="IMX4" s="1"/>
      <c r="IMY4" s="327"/>
      <c r="IMZ4" s="14"/>
      <c r="INC4" s="324"/>
      <c r="IND4" s="329"/>
      <c r="INE4" s="1"/>
      <c r="INF4" s="327"/>
      <c r="ING4" s="14"/>
      <c r="INJ4" s="324"/>
      <c r="INK4" s="329"/>
      <c r="INL4" s="1"/>
      <c r="INM4" s="327"/>
      <c r="INN4" s="14"/>
      <c r="INQ4" s="324"/>
      <c r="INR4" s="329"/>
      <c r="INS4" s="1"/>
      <c r="INT4" s="327"/>
      <c r="INU4" s="14"/>
      <c r="INX4" s="324"/>
      <c r="INY4" s="329"/>
      <c r="INZ4" s="1"/>
      <c r="IOA4" s="327"/>
      <c r="IOB4" s="14"/>
      <c r="IOE4" s="324"/>
      <c r="IOF4" s="329"/>
      <c r="IOG4" s="1"/>
      <c r="IOH4" s="327"/>
      <c r="IOI4" s="14"/>
      <c r="IOL4" s="324"/>
      <c r="IOM4" s="329"/>
      <c r="ION4" s="1"/>
      <c r="IOO4" s="327"/>
      <c r="IOP4" s="14"/>
      <c r="IOS4" s="324"/>
      <c r="IOT4" s="329"/>
      <c r="IOU4" s="1"/>
      <c r="IOV4" s="327"/>
      <c r="IOW4" s="14"/>
      <c r="IOZ4" s="324"/>
      <c r="IPA4" s="329"/>
      <c r="IPB4" s="1"/>
      <c r="IPC4" s="327"/>
      <c r="IPD4" s="14"/>
      <c r="IPG4" s="324"/>
      <c r="IPH4" s="329"/>
      <c r="IPI4" s="1"/>
      <c r="IPJ4" s="327"/>
      <c r="IPK4" s="14"/>
      <c r="IPN4" s="324"/>
      <c r="IPO4" s="329"/>
      <c r="IPP4" s="1"/>
      <c r="IPQ4" s="327"/>
      <c r="IPR4" s="14"/>
      <c r="IPU4" s="324"/>
      <c r="IPV4" s="329"/>
      <c r="IPW4" s="1"/>
      <c r="IPX4" s="327"/>
      <c r="IPY4" s="14"/>
      <c r="IQB4" s="324"/>
      <c r="IQC4" s="329"/>
      <c r="IQD4" s="1"/>
      <c r="IQE4" s="327"/>
      <c r="IQF4" s="14"/>
      <c r="IQI4" s="324"/>
      <c r="IQJ4" s="329"/>
      <c r="IQK4" s="1"/>
      <c r="IQL4" s="327"/>
      <c r="IQM4" s="14"/>
      <c r="IQP4" s="324"/>
      <c r="IQQ4" s="329"/>
      <c r="IQR4" s="1"/>
      <c r="IQS4" s="327"/>
      <c r="IQT4" s="14"/>
      <c r="IQW4" s="324"/>
      <c r="IQX4" s="329"/>
      <c r="IQY4" s="1"/>
      <c r="IQZ4" s="327"/>
      <c r="IRA4" s="14"/>
      <c r="IRD4" s="324"/>
      <c r="IRE4" s="329"/>
      <c r="IRF4" s="1"/>
      <c r="IRG4" s="327"/>
      <c r="IRH4" s="14"/>
      <c r="IRK4" s="324"/>
      <c r="IRL4" s="329"/>
      <c r="IRM4" s="1"/>
      <c r="IRN4" s="327"/>
      <c r="IRO4" s="14"/>
      <c r="IRR4" s="324"/>
      <c r="IRS4" s="329"/>
      <c r="IRT4" s="1"/>
      <c r="IRU4" s="327"/>
      <c r="IRV4" s="14"/>
      <c r="IRY4" s="324"/>
      <c r="IRZ4" s="329"/>
      <c r="ISA4" s="1"/>
      <c r="ISB4" s="327"/>
      <c r="ISC4" s="14"/>
      <c r="ISF4" s="324"/>
      <c r="ISG4" s="329"/>
      <c r="ISH4" s="1"/>
      <c r="ISI4" s="327"/>
      <c r="ISJ4" s="14"/>
      <c r="ISM4" s="324"/>
      <c r="ISN4" s="329"/>
      <c r="ISO4" s="1"/>
      <c r="ISP4" s="327"/>
      <c r="ISQ4" s="14"/>
      <c r="IST4" s="324"/>
      <c r="ISU4" s="329"/>
      <c r="ISV4" s="1"/>
      <c r="ISW4" s="327"/>
      <c r="ISX4" s="14"/>
      <c r="ITA4" s="324"/>
      <c r="ITB4" s="329"/>
      <c r="ITC4" s="1"/>
      <c r="ITD4" s="327"/>
      <c r="ITE4" s="14"/>
      <c r="ITH4" s="324"/>
      <c r="ITI4" s="329"/>
      <c r="ITJ4" s="1"/>
      <c r="ITK4" s="327"/>
      <c r="ITL4" s="14"/>
      <c r="ITO4" s="324"/>
      <c r="ITP4" s="329"/>
      <c r="ITQ4" s="1"/>
      <c r="ITR4" s="327"/>
      <c r="ITS4" s="14"/>
      <c r="ITV4" s="324"/>
      <c r="ITW4" s="329"/>
      <c r="ITX4" s="1"/>
      <c r="ITY4" s="327"/>
      <c r="ITZ4" s="14"/>
      <c r="IUC4" s="324"/>
      <c r="IUD4" s="329"/>
      <c r="IUE4" s="1"/>
      <c r="IUF4" s="327"/>
      <c r="IUG4" s="14"/>
      <c r="IUJ4" s="324"/>
      <c r="IUK4" s="329"/>
      <c r="IUL4" s="1"/>
      <c r="IUM4" s="327"/>
      <c r="IUN4" s="14"/>
      <c r="IUQ4" s="324"/>
      <c r="IUR4" s="329"/>
      <c r="IUS4" s="1"/>
      <c r="IUT4" s="327"/>
      <c r="IUU4" s="14"/>
      <c r="IUX4" s="324"/>
      <c r="IUY4" s="329"/>
      <c r="IUZ4" s="1"/>
      <c r="IVA4" s="327"/>
      <c r="IVB4" s="14"/>
      <c r="IVE4" s="324"/>
      <c r="IVF4" s="329"/>
      <c r="IVG4" s="1"/>
      <c r="IVH4" s="327"/>
      <c r="IVI4" s="14"/>
      <c r="IVL4" s="324"/>
      <c r="IVM4" s="329"/>
      <c r="IVN4" s="1"/>
      <c r="IVO4" s="327"/>
      <c r="IVP4" s="14"/>
      <c r="IVS4" s="324"/>
      <c r="IVT4" s="329"/>
      <c r="IVU4" s="1"/>
      <c r="IVV4" s="327"/>
      <c r="IVW4" s="14"/>
      <c r="IVZ4" s="324"/>
      <c r="IWA4" s="329"/>
      <c r="IWB4" s="1"/>
      <c r="IWC4" s="327"/>
      <c r="IWD4" s="14"/>
      <c r="IWG4" s="324"/>
      <c r="IWH4" s="329"/>
      <c r="IWI4" s="1"/>
      <c r="IWJ4" s="327"/>
      <c r="IWK4" s="14"/>
      <c r="IWN4" s="324"/>
      <c r="IWO4" s="329"/>
      <c r="IWP4" s="1"/>
      <c r="IWQ4" s="327"/>
      <c r="IWR4" s="14"/>
      <c r="IWU4" s="324"/>
      <c r="IWV4" s="329"/>
      <c r="IWW4" s="1"/>
      <c r="IWX4" s="327"/>
      <c r="IWY4" s="14"/>
      <c r="IXB4" s="324"/>
      <c r="IXC4" s="329"/>
      <c r="IXD4" s="1"/>
      <c r="IXE4" s="327"/>
      <c r="IXF4" s="14"/>
      <c r="IXI4" s="324"/>
      <c r="IXJ4" s="329"/>
      <c r="IXK4" s="1"/>
      <c r="IXL4" s="327"/>
      <c r="IXM4" s="14"/>
      <c r="IXP4" s="324"/>
      <c r="IXQ4" s="329"/>
      <c r="IXR4" s="1"/>
      <c r="IXS4" s="327"/>
      <c r="IXT4" s="14"/>
      <c r="IXW4" s="324"/>
      <c r="IXX4" s="329"/>
      <c r="IXY4" s="1"/>
      <c r="IXZ4" s="327"/>
      <c r="IYA4" s="14"/>
      <c r="IYD4" s="324"/>
      <c r="IYE4" s="329"/>
      <c r="IYF4" s="1"/>
      <c r="IYG4" s="327"/>
      <c r="IYH4" s="14"/>
      <c r="IYK4" s="324"/>
      <c r="IYL4" s="329"/>
      <c r="IYM4" s="1"/>
      <c r="IYN4" s="327"/>
      <c r="IYO4" s="14"/>
      <c r="IYR4" s="324"/>
      <c r="IYS4" s="329"/>
      <c r="IYT4" s="1"/>
      <c r="IYU4" s="327"/>
      <c r="IYV4" s="14"/>
      <c r="IYY4" s="324"/>
      <c r="IYZ4" s="329"/>
      <c r="IZA4" s="1"/>
      <c r="IZB4" s="327"/>
      <c r="IZC4" s="14"/>
      <c r="IZF4" s="324"/>
      <c r="IZG4" s="329"/>
      <c r="IZH4" s="1"/>
      <c r="IZI4" s="327"/>
      <c r="IZJ4" s="14"/>
      <c r="IZM4" s="324"/>
      <c r="IZN4" s="329"/>
      <c r="IZO4" s="1"/>
      <c r="IZP4" s="327"/>
      <c r="IZQ4" s="14"/>
      <c r="IZT4" s="324"/>
      <c r="IZU4" s="329"/>
      <c r="IZV4" s="1"/>
      <c r="IZW4" s="327"/>
      <c r="IZX4" s="14"/>
      <c r="JAA4" s="324"/>
      <c r="JAB4" s="329"/>
      <c r="JAC4" s="1"/>
      <c r="JAD4" s="327"/>
      <c r="JAE4" s="14"/>
      <c r="JAH4" s="324"/>
      <c r="JAI4" s="329"/>
      <c r="JAJ4" s="1"/>
      <c r="JAK4" s="327"/>
      <c r="JAL4" s="14"/>
      <c r="JAO4" s="324"/>
      <c r="JAP4" s="329"/>
      <c r="JAQ4" s="1"/>
      <c r="JAR4" s="327"/>
      <c r="JAS4" s="14"/>
      <c r="JAV4" s="324"/>
      <c r="JAW4" s="329"/>
      <c r="JAX4" s="1"/>
      <c r="JAY4" s="327"/>
      <c r="JAZ4" s="14"/>
      <c r="JBC4" s="324"/>
      <c r="JBD4" s="329"/>
      <c r="JBE4" s="1"/>
      <c r="JBF4" s="327"/>
      <c r="JBG4" s="14"/>
      <c r="JBJ4" s="324"/>
      <c r="JBK4" s="329"/>
      <c r="JBL4" s="1"/>
      <c r="JBM4" s="327"/>
      <c r="JBN4" s="14"/>
      <c r="JBQ4" s="324"/>
      <c r="JBR4" s="329"/>
      <c r="JBS4" s="1"/>
      <c r="JBT4" s="327"/>
      <c r="JBU4" s="14"/>
      <c r="JBX4" s="324"/>
      <c r="JBY4" s="329"/>
      <c r="JBZ4" s="1"/>
      <c r="JCA4" s="327"/>
      <c r="JCB4" s="14"/>
      <c r="JCE4" s="324"/>
      <c r="JCF4" s="329"/>
      <c r="JCG4" s="1"/>
      <c r="JCH4" s="327"/>
      <c r="JCI4" s="14"/>
      <c r="JCL4" s="324"/>
      <c r="JCM4" s="329"/>
      <c r="JCN4" s="1"/>
      <c r="JCO4" s="327"/>
      <c r="JCP4" s="14"/>
      <c r="JCS4" s="324"/>
      <c r="JCT4" s="329"/>
      <c r="JCU4" s="1"/>
      <c r="JCV4" s="327"/>
      <c r="JCW4" s="14"/>
      <c r="JCZ4" s="324"/>
      <c r="JDA4" s="329"/>
      <c r="JDB4" s="1"/>
      <c r="JDC4" s="327"/>
      <c r="JDD4" s="14"/>
      <c r="JDG4" s="324"/>
      <c r="JDH4" s="329"/>
      <c r="JDI4" s="1"/>
      <c r="JDJ4" s="327"/>
      <c r="JDK4" s="14"/>
      <c r="JDN4" s="324"/>
      <c r="JDO4" s="329"/>
      <c r="JDP4" s="1"/>
      <c r="JDQ4" s="327"/>
      <c r="JDR4" s="14"/>
      <c r="JDU4" s="324"/>
      <c r="JDV4" s="329"/>
      <c r="JDW4" s="1"/>
      <c r="JDX4" s="327"/>
      <c r="JDY4" s="14"/>
      <c r="JEB4" s="324"/>
      <c r="JEC4" s="329"/>
      <c r="JED4" s="1"/>
      <c r="JEE4" s="327"/>
      <c r="JEF4" s="14"/>
      <c r="JEI4" s="324"/>
      <c r="JEJ4" s="329"/>
      <c r="JEK4" s="1"/>
      <c r="JEL4" s="327"/>
      <c r="JEM4" s="14"/>
      <c r="JEP4" s="324"/>
      <c r="JEQ4" s="329"/>
      <c r="JER4" s="1"/>
      <c r="JES4" s="327"/>
      <c r="JET4" s="14"/>
      <c r="JEW4" s="324"/>
      <c r="JEX4" s="329"/>
      <c r="JEY4" s="1"/>
      <c r="JEZ4" s="327"/>
      <c r="JFA4" s="14"/>
      <c r="JFD4" s="324"/>
      <c r="JFE4" s="329"/>
      <c r="JFF4" s="1"/>
      <c r="JFG4" s="327"/>
      <c r="JFH4" s="14"/>
      <c r="JFK4" s="324"/>
      <c r="JFL4" s="329"/>
      <c r="JFM4" s="1"/>
      <c r="JFN4" s="327"/>
      <c r="JFO4" s="14"/>
      <c r="JFR4" s="324"/>
      <c r="JFS4" s="329"/>
      <c r="JFT4" s="1"/>
      <c r="JFU4" s="327"/>
      <c r="JFV4" s="14"/>
      <c r="JFY4" s="324"/>
      <c r="JFZ4" s="329"/>
      <c r="JGA4" s="1"/>
      <c r="JGB4" s="327"/>
      <c r="JGC4" s="14"/>
      <c r="JGF4" s="324"/>
      <c r="JGG4" s="329"/>
      <c r="JGH4" s="1"/>
      <c r="JGI4" s="327"/>
      <c r="JGJ4" s="14"/>
      <c r="JGM4" s="324"/>
      <c r="JGN4" s="329"/>
      <c r="JGO4" s="1"/>
      <c r="JGP4" s="327"/>
      <c r="JGQ4" s="14"/>
      <c r="JGT4" s="324"/>
      <c r="JGU4" s="329"/>
      <c r="JGV4" s="1"/>
      <c r="JGW4" s="327"/>
      <c r="JGX4" s="14"/>
      <c r="JHA4" s="324"/>
      <c r="JHB4" s="329"/>
      <c r="JHC4" s="1"/>
      <c r="JHD4" s="327"/>
      <c r="JHE4" s="14"/>
      <c r="JHH4" s="324"/>
      <c r="JHI4" s="329"/>
      <c r="JHJ4" s="1"/>
      <c r="JHK4" s="327"/>
      <c r="JHL4" s="14"/>
      <c r="JHO4" s="324"/>
      <c r="JHP4" s="329"/>
      <c r="JHQ4" s="1"/>
      <c r="JHR4" s="327"/>
      <c r="JHS4" s="14"/>
      <c r="JHV4" s="324"/>
      <c r="JHW4" s="329"/>
      <c r="JHX4" s="1"/>
      <c r="JHY4" s="327"/>
      <c r="JHZ4" s="14"/>
      <c r="JIC4" s="324"/>
      <c r="JID4" s="329"/>
      <c r="JIE4" s="1"/>
      <c r="JIF4" s="327"/>
      <c r="JIG4" s="14"/>
      <c r="JIJ4" s="324"/>
      <c r="JIK4" s="329"/>
      <c r="JIL4" s="1"/>
      <c r="JIM4" s="327"/>
      <c r="JIN4" s="14"/>
      <c r="JIQ4" s="324"/>
      <c r="JIR4" s="329"/>
      <c r="JIS4" s="1"/>
      <c r="JIT4" s="327"/>
      <c r="JIU4" s="14"/>
      <c r="JIX4" s="324"/>
      <c r="JIY4" s="329"/>
      <c r="JIZ4" s="1"/>
      <c r="JJA4" s="327"/>
      <c r="JJB4" s="14"/>
      <c r="JJE4" s="324"/>
      <c r="JJF4" s="329"/>
      <c r="JJG4" s="1"/>
      <c r="JJH4" s="327"/>
      <c r="JJI4" s="14"/>
      <c r="JJL4" s="324"/>
      <c r="JJM4" s="329"/>
      <c r="JJN4" s="1"/>
      <c r="JJO4" s="327"/>
      <c r="JJP4" s="14"/>
      <c r="JJS4" s="324"/>
      <c r="JJT4" s="329"/>
      <c r="JJU4" s="1"/>
      <c r="JJV4" s="327"/>
      <c r="JJW4" s="14"/>
      <c r="JJZ4" s="324"/>
      <c r="JKA4" s="329"/>
      <c r="JKB4" s="1"/>
      <c r="JKC4" s="327"/>
      <c r="JKD4" s="14"/>
      <c r="JKG4" s="324"/>
      <c r="JKH4" s="329"/>
      <c r="JKI4" s="1"/>
      <c r="JKJ4" s="327"/>
      <c r="JKK4" s="14"/>
      <c r="JKN4" s="324"/>
      <c r="JKO4" s="329"/>
      <c r="JKP4" s="1"/>
      <c r="JKQ4" s="327"/>
      <c r="JKR4" s="14"/>
      <c r="JKU4" s="324"/>
      <c r="JKV4" s="329"/>
      <c r="JKW4" s="1"/>
      <c r="JKX4" s="327"/>
      <c r="JKY4" s="14"/>
      <c r="JLB4" s="324"/>
      <c r="JLC4" s="329"/>
      <c r="JLD4" s="1"/>
      <c r="JLE4" s="327"/>
      <c r="JLF4" s="14"/>
      <c r="JLI4" s="324"/>
      <c r="JLJ4" s="329"/>
      <c r="JLK4" s="1"/>
      <c r="JLL4" s="327"/>
      <c r="JLM4" s="14"/>
      <c r="JLP4" s="324"/>
      <c r="JLQ4" s="329"/>
      <c r="JLR4" s="1"/>
      <c r="JLS4" s="327"/>
      <c r="JLT4" s="14"/>
      <c r="JLW4" s="324"/>
      <c r="JLX4" s="329"/>
      <c r="JLY4" s="1"/>
      <c r="JLZ4" s="327"/>
      <c r="JMA4" s="14"/>
      <c r="JMD4" s="324"/>
      <c r="JME4" s="329"/>
      <c r="JMF4" s="1"/>
      <c r="JMG4" s="327"/>
      <c r="JMH4" s="14"/>
      <c r="JMK4" s="324"/>
      <c r="JML4" s="329"/>
      <c r="JMM4" s="1"/>
      <c r="JMN4" s="327"/>
      <c r="JMO4" s="14"/>
      <c r="JMR4" s="324"/>
      <c r="JMS4" s="329"/>
      <c r="JMT4" s="1"/>
      <c r="JMU4" s="327"/>
      <c r="JMV4" s="14"/>
      <c r="JMY4" s="324"/>
      <c r="JMZ4" s="329"/>
      <c r="JNA4" s="1"/>
      <c r="JNB4" s="327"/>
      <c r="JNC4" s="14"/>
      <c r="JNF4" s="324"/>
      <c r="JNG4" s="329"/>
      <c r="JNH4" s="1"/>
      <c r="JNI4" s="327"/>
      <c r="JNJ4" s="14"/>
      <c r="JNM4" s="324"/>
      <c r="JNN4" s="329"/>
      <c r="JNO4" s="1"/>
      <c r="JNP4" s="327"/>
      <c r="JNQ4" s="14"/>
      <c r="JNT4" s="324"/>
      <c r="JNU4" s="329"/>
      <c r="JNV4" s="1"/>
      <c r="JNW4" s="327"/>
      <c r="JNX4" s="14"/>
      <c r="JOA4" s="324"/>
      <c r="JOB4" s="329"/>
      <c r="JOC4" s="1"/>
      <c r="JOD4" s="327"/>
      <c r="JOE4" s="14"/>
      <c r="JOH4" s="324"/>
      <c r="JOI4" s="329"/>
      <c r="JOJ4" s="1"/>
      <c r="JOK4" s="327"/>
      <c r="JOL4" s="14"/>
      <c r="JOO4" s="324"/>
      <c r="JOP4" s="329"/>
      <c r="JOQ4" s="1"/>
      <c r="JOR4" s="327"/>
      <c r="JOS4" s="14"/>
      <c r="JOV4" s="324"/>
      <c r="JOW4" s="329"/>
      <c r="JOX4" s="1"/>
      <c r="JOY4" s="327"/>
      <c r="JOZ4" s="14"/>
      <c r="JPC4" s="324"/>
      <c r="JPD4" s="329"/>
      <c r="JPE4" s="1"/>
      <c r="JPF4" s="327"/>
      <c r="JPG4" s="14"/>
      <c r="JPJ4" s="324"/>
      <c r="JPK4" s="329"/>
      <c r="JPL4" s="1"/>
      <c r="JPM4" s="327"/>
      <c r="JPN4" s="14"/>
      <c r="JPQ4" s="324"/>
      <c r="JPR4" s="329"/>
      <c r="JPS4" s="1"/>
      <c r="JPT4" s="327"/>
      <c r="JPU4" s="14"/>
      <c r="JPX4" s="324"/>
      <c r="JPY4" s="329"/>
      <c r="JPZ4" s="1"/>
      <c r="JQA4" s="327"/>
      <c r="JQB4" s="14"/>
      <c r="JQE4" s="324"/>
      <c r="JQF4" s="329"/>
      <c r="JQG4" s="1"/>
      <c r="JQH4" s="327"/>
      <c r="JQI4" s="14"/>
      <c r="JQL4" s="324"/>
      <c r="JQM4" s="329"/>
      <c r="JQN4" s="1"/>
      <c r="JQO4" s="327"/>
      <c r="JQP4" s="14"/>
      <c r="JQS4" s="324"/>
      <c r="JQT4" s="329"/>
      <c r="JQU4" s="1"/>
      <c r="JQV4" s="327"/>
      <c r="JQW4" s="14"/>
      <c r="JQZ4" s="324"/>
      <c r="JRA4" s="329"/>
      <c r="JRB4" s="1"/>
      <c r="JRC4" s="327"/>
      <c r="JRD4" s="14"/>
      <c r="JRG4" s="324"/>
      <c r="JRH4" s="329"/>
      <c r="JRI4" s="1"/>
      <c r="JRJ4" s="327"/>
      <c r="JRK4" s="14"/>
      <c r="JRN4" s="324"/>
      <c r="JRO4" s="329"/>
      <c r="JRP4" s="1"/>
      <c r="JRQ4" s="327"/>
      <c r="JRR4" s="14"/>
      <c r="JRU4" s="324"/>
      <c r="JRV4" s="329"/>
      <c r="JRW4" s="1"/>
      <c r="JRX4" s="327"/>
      <c r="JRY4" s="14"/>
      <c r="JSB4" s="324"/>
      <c r="JSC4" s="329"/>
      <c r="JSD4" s="1"/>
      <c r="JSE4" s="327"/>
      <c r="JSF4" s="14"/>
      <c r="JSI4" s="324"/>
      <c r="JSJ4" s="329"/>
      <c r="JSK4" s="1"/>
      <c r="JSL4" s="327"/>
      <c r="JSM4" s="14"/>
      <c r="JSP4" s="324"/>
      <c r="JSQ4" s="329"/>
      <c r="JSR4" s="1"/>
      <c r="JSS4" s="327"/>
      <c r="JST4" s="14"/>
      <c r="JSW4" s="324"/>
      <c r="JSX4" s="329"/>
      <c r="JSY4" s="1"/>
      <c r="JSZ4" s="327"/>
      <c r="JTA4" s="14"/>
      <c r="JTD4" s="324"/>
      <c r="JTE4" s="329"/>
      <c r="JTF4" s="1"/>
      <c r="JTG4" s="327"/>
      <c r="JTH4" s="14"/>
      <c r="JTK4" s="324"/>
      <c r="JTL4" s="329"/>
      <c r="JTM4" s="1"/>
      <c r="JTN4" s="327"/>
      <c r="JTO4" s="14"/>
      <c r="JTR4" s="324"/>
      <c r="JTS4" s="329"/>
      <c r="JTT4" s="1"/>
      <c r="JTU4" s="327"/>
      <c r="JTV4" s="14"/>
      <c r="JTY4" s="324"/>
      <c r="JTZ4" s="329"/>
      <c r="JUA4" s="1"/>
      <c r="JUB4" s="327"/>
      <c r="JUC4" s="14"/>
      <c r="JUF4" s="324"/>
      <c r="JUG4" s="329"/>
      <c r="JUH4" s="1"/>
      <c r="JUI4" s="327"/>
      <c r="JUJ4" s="14"/>
      <c r="JUM4" s="324"/>
      <c r="JUN4" s="329"/>
      <c r="JUO4" s="1"/>
      <c r="JUP4" s="327"/>
      <c r="JUQ4" s="14"/>
      <c r="JUT4" s="324"/>
      <c r="JUU4" s="329"/>
      <c r="JUV4" s="1"/>
      <c r="JUW4" s="327"/>
      <c r="JUX4" s="14"/>
      <c r="JVA4" s="324"/>
      <c r="JVB4" s="329"/>
      <c r="JVC4" s="1"/>
      <c r="JVD4" s="327"/>
      <c r="JVE4" s="14"/>
      <c r="JVH4" s="324"/>
      <c r="JVI4" s="329"/>
      <c r="JVJ4" s="1"/>
      <c r="JVK4" s="327"/>
      <c r="JVL4" s="14"/>
      <c r="JVO4" s="324"/>
      <c r="JVP4" s="329"/>
      <c r="JVQ4" s="1"/>
      <c r="JVR4" s="327"/>
      <c r="JVS4" s="14"/>
      <c r="JVV4" s="324"/>
      <c r="JVW4" s="329"/>
      <c r="JVX4" s="1"/>
      <c r="JVY4" s="327"/>
      <c r="JVZ4" s="14"/>
      <c r="JWC4" s="324"/>
      <c r="JWD4" s="329"/>
      <c r="JWE4" s="1"/>
      <c r="JWF4" s="327"/>
      <c r="JWG4" s="14"/>
      <c r="JWJ4" s="324"/>
      <c r="JWK4" s="329"/>
      <c r="JWL4" s="1"/>
      <c r="JWM4" s="327"/>
      <c r="JWN4" s="14"/>
      <c r="JWQ4" s="324"/>
      <c r="JWR4" s="329"/>
      <c r="JWS4" s="1"/>
      <c r="JWT4" s="327"/>
      <c r="JWU4" s="14"/>
      <c r="JWX4" s="324"/>
      <c r="JWY4" s="329"/>
      <c r="JWZ4" s="1"/>
      <c r="JXA4" s="327"/>
      <c r="JXB4" s="14"/>
      <c r="JXE4" s="324"/>
      <c r="JXF4" s="329"/>
      <c r="JXG4" s="1"/>
      <c r="JXH4" s="327"/>
      <c r="JXI4" s="14"/>
      <c r="JXL4" s="324"/>
      <c r="JXM4" s="329"/>
      <c r="JXN4" s="1"/>
      <c r="JXO4" s="327"/>
      <c r="JXP4" s="14"/>
      <c r="JXS4" s="324"/>
      <c r="JXT4" s="329"/>
      <c r="JXU4" s="1"/>
      <c r="JXV4" s="327"/>
      <c r="JXW4" s="14"/>
      <c r="JXZ4" s="324"/>
      <c r="JYA4" s="329"/>
      <c r="JYB4" s="1"/>
      <c r="JYC4" s="327"/>
      <c r="JYD4" s="14"/>
      <c r="JYG4" s="324"/>
      <c r="JYH4" s="329"/>
      <c r="JYI4" s="1"/>
      <c r="JYJ4" s="327"/>
      <c r="JYK4" s="14"/>
      <c r="JYN4" s="324"/>
      <c r="JYO4" s="329"/>
      <c r="JYP4" s="1"/>
      <c r="JYQ4" s="327"/>
      <c r="JYR4" s="14"/>
      <c r="JYU4" s="324"/>
      <c r="JYV4" s="329"/>
      <c r="JYW4" s="1"/>
      <c r="JYX4" s="327"/>
      <c r="JYY4" s="14"/>
      <c r="JZB4" s="324"/>
      <c r="JZC4" s="329"/>
      <c r="JZD4" s="1"/>
      <c r="JZE4" s="327"/>
      <c r="JZF4" s="14"/>
      <c r="JZI4" s="324"/>
      <c r="JZJ4" s="329"/>
      <c r="JZK4" s="1"/>
      <c r="JZL4" s="327"/>
      <c r="JZM4" s="14"/>
      <c r="JZP4" s="324"/>
      <c r="JZQ4" s="329"/>
      <c r="JZR4" s="1"/>
      <c r="JZS4" s="327"/>
      <c r="JZT4" s="14"/>
      <c r="JZW4" s="324"/>
      <c r="JZX4" s="329"/>
      <c r="JZY4" s="1"/>
      <c r="JZZ4" s="327"/>
      <c r="KAA4" s="14"/>
      <c r="KAD4" s="324"/>
      <c r="KAE4" s="329"/>
      <c r="KAF4" s="1"/>
      <c r="KAG4" s="327"/>
      <c r="KAH4" s="14"/>
      <c r="KAK4" s="324"/>
      <c r="KAL4" s="329"/>
      <c r="KAM4" s="1"/>
      <c r="KAN4" s="327"/>
      <c r="KAO4" s="14"/>
      <c r="KAR4" s="324"/>
      <c r="KAS4" s="329"/>
      <c r="KAT4" s="1"/>
      <c r="KAU4" s="327"/>
      <c r="KAV4" s="14"/>
      <c r="KAY4" s="324"/>
      <c r="KAZ4" s="329"/>
      <c r="KBA4" s="1"/>
      <c r="KBB4" s="327"/>
      <c r="KBC4" s="14"/>
      <c r="KBF4" s="324"/>
      <c r="KBG4" s="329"/>
      <c r="KBH4" s="1"/>
      <c r="KBI4" s="327"/>
      <c r="KBJ4" s="14"/>
      <c r="KBM4" s="324"/>
      <c r="KBN4" s="329"/>
      <c r="KBO4" s="1"/>
      <c r="KBP4" s="327"/>
      <c r="KBQ4" s="14"/>
      <c r="KBT4" s="324"/>
      <c r="KBU4" s="329"/>
      <c r="KBV4" s="1"/>
      <c r="KBW4" s="327"/>
      <c r="KBX4" s="14"/>
      <c r="KCA4" s="324"/>
      <c r="KCB4" s="329"/>
      <c r="KCC4" s="1"/>
      <c r="KCD4" s="327"/>
      <c r="KCE4" s="14"/>
      <c r="KCH4" s="324"/>
      <c r="KCI4" s="329"/>
      <c r="KCJ4" s="1"/>
      <c r="KCK4" s="327"/>
      <c r="KCL4" s="14"/>
      <c r="KCO4" s="324"/>
      <c r="KCP4" s="329"/>
      <c r="KCQ4" s="1"/>
      <c r="KCR4" s="327"/>
      <c r="KCS4" s="14"/>
      <c r="KCV4" s="324"/>
      <c r="KCW4" s="329"/>
      <c r="KCX4" s="1"/>
      <c r="KCY4" s="327"/>
      <c r="KCZ4" s="14"/>
      <c r="KDC4" s="324"/>
      <c r="KDD4" s="329"/>
      <c r="KDE4" s="1"/>
      <c r="KDF4" s="327"/>
      <c r="KDG4" s="14"/>
      <c r="KDJ4" s="324"/>
      <c r="KDK4" s="329"/>
      <c r="KDL4" s="1"/>
      <c r="KDM4" s="327"/>
      <c r="KDN4" s="14"/>
      <c r="KDQ4" s="324"/>
      <c r="KDR4" s="329"/>
      <c r="KDS4" s="1"/>
      <c r="KDT4" s="327"/>
      <c r="KDU4" s="14"/>
      <c r="KDX4" s="324"/>
      <c r="KDY4" s="329"/>
      <c r="KDZ4" s="1"/>
      <c r="KEA4" s="327"/>
      <c r="KEB4" s="14"/>
      <c r="KEE4" s="324"/>
      <c r="KEF4" s="329"/>
      <c r="KEG4" s="1"/>
      <c r="KEH4" s="327"/>
      <c r="KEI4" s="14"/>
      <c r="KEL4" s="324"/>
      <c r="KEM4" s="329"/>
      <c r="KEN4" s="1"/>
      <c r="KEO4" s="327"/>
      <c r="KEP4" s="14"/>
      <c r="KES4" s="324"/>
      <c r="KET4" s="329"/>
      <c r="KEU4" s="1"/>
      <c r="KEV4" s="327"/>
      <c r="KEW4" s="14"/>
      <c r="KEZ4" s="324"/>
      <c r="KFA4" s="329"/>
      <c r="KFB4" s="1"/>
      <c r="KFC4" s="327"/>
      <c r="KFD4" s="14"/>
      <c r="KFG4" s="324"/>
      <c r="KFH4" s="329"/>
      <c r="KFI4" s="1"/>
      <c r="KFJ4" s="327"/>
      <c r="KFK4" s="14"/>
      <c r="KFN4" s="324"/>
      <c r="KFO4" s="329"/>
      <c r="KFP4" s="1"/>
      <c r="KFQ4" s="327"/>
      <c r="KFR4" s="14"/>
      <c r="KFU4" s="324"/>
      <c r="KFV4" s="329"/>
      <c r="KFW4" s="1"/>
      <c r="KFX4" s="327"/>
      <c r="KFY4" s="14"/>
      <c r="KGB4" s="324"/>
      <c r="KGC4" s="329"/>
      <c r="KGD4" s="1"/>
      <c r="KGE4" s="327"/>
      <c r="KGF4" s="14"/>
      <c r="KGI4" s="324"/>
      <c r="KGJ4" s="329"/>
      <c r="KGK4" s="1"/>
      <c r="KGL4" s="327"/>
      <c r="KGM4" s="14"/>
      <c r="KGP4" s="324"/>
      <c r="KGQ4" s="329"/>
      <c r="KGR4" s="1"/>
      <c r="KGS4" s="327"/>
      <c r="KGT4" s="14"/>
      <c r="KGW4" s="324"/>
      <c r="KGX4" s="329"/>
      <c r="KGY4" s="1"/>
      <c r="KGZ4" s="327"/>
      <c r="KHA4" s="14"/>
      <c r="KHD4" s="324"/>
      <c r="KHE4" s="329"/>
      <c r="KHF4" s="1"/>
      <c r="KHG4" s="327"/>
      <c r="KHH4" s="14"/>
      <c r="KHK4" s="324"/>
      <c r="KHL4" s="329"/>
      <c r="KHM4" s="1"/>
      <c r="KHN4" s="327"/>
      <c r="KHO4" s="14"/>
      <c r="KHR4" s="324"/>
      <c r="KHS4" s="329"/>
      <c r="KHT4" s="1"/>
      <c r="KHU4" s="327"/>
      <c r="KHV4" s="14"/>
      <c r="KHY4" s="324"/>
      <c r="KHZ4" s="329"/>
      <c r="KIA4" s="1"/>
      <c r="KIB4" s="327"/>
      <c r="KIC4" s="14"/>
      <c r="KIF4" s="324"/>
      <c r="KIG4" s="329"/>
      <c r="KIH4" s="1"/>
      <c r="KII4" s="327"/>
      <c r="KIJ4" s="14"/>
      <c r="KIM4" s="324"/>
      <c r="KIN4" s="329"/>
      <c r="KIO4" s="1"/>
      <c r="KIP4" s="327"/>
      <c r="KIQ4" s="14"/>
      <c r="KIT4" s="324"/>
      <c r="KIU4" s="329"/>
      <c r="KIV4" s="1"/>
      <c r="KIW4" s="327"/>
      <c r="KIX4" s="14"/>
      <c r="KJA4" s="324"/>
      <c r="KJB4" s="329"/>
      <c r="KJC4" s="1"/>
      <c r="KJD4" s="327"/>
      <c r="KJE4" s="14"/>
      <c r="KJH4" s="324"/>
      <c r="KJI4" s="329"/>
      <c r="KJJ4" s="1"/>
      <c r="KJK4" s="327"/>
      <c r="KJL4" s="14"/>
      <c r="KJO4" s="324"/>
      <c r="KJP4" s="329"/>
      <c r="KJQ4" s="1"/>
      <c r="KJR4" s="327"/>
      <c r="KJS4" s="14"/>
      <c r="KJV4" s="324"/>
      <c r="KJW4" s="329"/>
      <c r="KJX4" s="1"/>
      <c r="KJY4" s="327"/>
      <c r="KJZ4" s="14"/>
      <c r="KKC4" s="324"/>
      <c r="KKD4" s="329"/>
      <c r="KKE4" s="1"/>
      <c r="KKF4" s="327"/>
      <c r="KKG4" s="14"/>
      <c r="KKJ4" s="324"/>
      <c r="KKK4" s="329"/>
      <c r="KKL4" s="1"/>
      <c r="KKM4" s="327"/>
      <c r="KKN4" s="14"/>
      <c r="KKQ4" s="324"/>
      <c r="KKR4" s="329"/>
      <c r="KKS4" s="1"/>
      <c r="KKT4" s="327"/>
      <c r="KKU4" s="14"/>
      <c r="KKX4" s="324"/>
      <c r="KKY4" s="329"/>
      <c r="KKZ4" s="1"/>
      <c r="KLA4" s="327"/>
      <c r="KLB4" s="14"/>
      <c r="KLE4" s="324"/>
      <c r="KLF4" s="329"/>
      <c r="KLG4" s="1"/>
      <c r="KLH4" s="327"/>
      <c r="KLI4" s="14"/>
      <c r="KLL4" s="324"/>
      <c r="KLM4" s="329"/>
      <c r="KLN4" s="1"/>
      <c r="KLO4" s="327"/>
      <c r="KLP4" s="14"/>
      <c r="KLS4" s="324"/>
      <c r="KLT4" s="329"/>
      <c r="KLU4" s="1"/>
      <c r="KLV4" s="327"/>
      <c r="KLW4" s="14"/>
      <c r="KLZ4" s="324"/>
      <c r="KMA4" s="329"/>
      <c r="KMB4" s="1"/>
      <c r="KMC4" s="327"/>
      <c r="KMD4" s="14"/>
      <c r="KMG4" s="324"/>
      <c r="KMH4" s="329"/>
      <c r="KMI4" s="1"/>
      <c r="KMJ4" s="327"/>
      <c r="KMK4" s="14"/>
      <c r="KMN4" s="324"/>
      <c r="KMO4" s="329"/>
      <c r="KMP4" s="1"/>
      <c r="KMQ4" s="327"/>
      <c r="KMR4" s="14"/>
      <c r="KMU4" s="324"/>
      <c r="KMV4" s="329"/>
      <c r="KMW4" s="1"/>
      <c r="KMX4" s="327"/>
      <c r="KMY4" s="14"/>
      <c r="KNB4" s="324"/>
      <c r="KNC4" s="329"/>
      <c r="KND4" s="1"/>
      <c r="KNE4" s="327"/>
      <c r="KNF4" s="14"/>
      <c r="KNI4" s="324"/>
      <c r="KNJ4" s="329"/>
      <c r="KNK4" s="1"/>
      <c r="KNL4" s="327"/>
      <c r="KNM4" s="14"/>
      <c r="KNP4" s="324"/>
      <c r="KNQ4" s="329"/>
      <c r="KNR4" s="1"/>
      <c r="KNS4" s="327"/>
      <c r="KNT4" s="14"/>
      <c r="KNW4" s="324"/>
      <c r="KNX4" s="329"/>
      <c r="KNY4" s="1"/>
      <c r="KNZ4" s="327"/>
      <c r="KOA4" s="14"/>
      <c r="KOD4" s="324"/>
      <c r="KOE4" s="329"/>
      <c r="KOF4" s="1"/>
      <c r="KOG4" s="327"/>
      <c r="KOH4" s="14"/>
      <c r="KOK4" s="324"/>
      <c r="KOL4" s="329"/>
      <c r="KOM4" s="1"/>
      <c r="KON4" s="327"/>
      <c r="KOO4" s="14"/>
      <c r="KOR4" s="324"/>
      <c r="KOS4" s="329"/>
      <c r="KOT4" s="1"/>
      <c r="KOU4" s="327"/>
      <c r="KOV4" s="14"/>
      <c r="KOY4" s="324"/>
      <c r="KOZ4" s="329"/>
      <c r="KPA4" s="1"/>
      <c r="KPB4" s="327"/>
      <c r="KPC4" s="14"/>
      <c r="KPF4" s="324"/>
      <c r="KPG4" s="329"/>
      <c r="KPH4" s="1"/>
      <c r="KPI4" s="327"/>
      <c r="KPJ4" s="14"/>
      <c r="KPM4" s="324"/>
      <c r="KPN4" s="329"/>
      <c r="KPO4" s="1"/>
      <c r="KPP4" s="327"/>
      <c r="KPQ4" s="14"/>
      <c r="KPT4" s="324"/>
      <c r="KPU4" s="329"/>
      <c r="KPV4" s="1"/>
      <c r="KPW4" s="327"/>
      <c r="KPX4" s="14"/>
      <c r="KQA4" s="324"/>
      <c r="KQB4" s="329"/>
      <c r="KQC4" s="1"/>
      <c r="KQD4" s="327"/>
      <c r="KQE4" s="14"/>
      <c r="KQH4" s="324"/>
      <c r="KQI4" s="329"/>
      <c r="KQJ4" s="1"/>
      <c r="KQK4" s="327"/>
      <c r="KQL4" s="14"/>
      <c r="KQO4" s="324"/>
      <c r="KQP4" s="329"/>
      <c r="KQQ4" s="1"/>
      <c r="KQR4" s="327"/>
      <c r="KQS4" s="14"/>
      <c r="KQV4" s="324"/>
      <c r="KQW4" s="329"/>
      <c r="KQX4" s="1"/>
      <c r="KQY4" s="327"/>
      <c r="KQZ4" s="14"/>
      <c r="KRC4" s="324"/>
      <c r="KRD4" s="329"/>
      <c r="KRE4" s="1"/>
      <c r="KRF4" s="327"/>
      <c r="KRG4" s="14"/>
      <c r="KRJ4" s="324"/>
      <c r="KRK4" s="329"/>
      <c r="KRL4" s="1"/>
      <c r="KRM4" s="327"/>
      <c r="KRN4" s="14"/>
      <c r="KRQ4" s="324"/>
      <c r="KRR4" s="329"/>
      <c r="KRS4" s="1"/>
      <c r="KRT4" s="327"/>
      <c r="KRU4" s="14"/>
      <c r="KRX4" s="324"/>
      <c r="KRY4" s="329"/>
      <c r="KRZ4" s="1"/>
      <c r="KSA4" s="327"/>
      <c r="KSB4" s="14"/>
      <c r="KSE4" s="324"/>
      <c r="KSF4" s="329"/>
      <c r="KSG4" s="1"/>
      <c r="KSH4" s="327"/>
      <c r="KSI4" s="14"/>
      <c r="KSL4" s="324"/>
      <c r="KSM4" s="329"/>
      <c r="KSN4" s="1"/>
      <c r="KSO4" s="327"/>
      <c r="KSP4" s="14"/>
      <c r="KSS4" s="324"/>
      <c r="KST4" s="329"/>
      <c r="KSU4" s="1"/>
      <c r="KSV4" s="327"/>
      <c r="KSW4" s="14"/>
      <c r="KSZ4" s="324"/>
      <c r="KTA4" s="329"/>
      <c r="KTB4" s="1"/>
      <c r="KTC4" s="327"/>
      <c r="KTD4" s="14"/>
      <c r="KTG4" s="324"/>
      <c r="KTH4" s="329"/>
      <c r="KTI4" s="1"/>
      <c r="KTJ4" s="327"/>
      <c r="KTK4" s="14"/>
      <c r="KTN4" s="324"/>
      <c r="KTO4" s="329"/>
      <c r="KTP4" s="1"/>
      <c r="KTQ4" s="327"/>
      <c r="KTR4" s="14"/>
      <c r="KTU4" s="324"/>
      <c r="KTV4" s="329"/>
      <c r="KTW4" s="1"/>
      <c r="KTX4" s="327"/>
      <c r="KTY4" s="14"/>
      <c r="KUB4" s="324"/>
      <c r="KUC4" s="329"/>
      <c r="KUD4" s="1"/>
      <c r="KUE4" s="327"/>
      <c r="KUF4" s="14"/>
      <c r="KUI4" s="324"/>
      <c r="KUJ4" s="329"/>
      <c r="KUK4" s="1"/>
      <c r="KUL4" s="327"/>
      <c r="KUM4" s="14"/>
      <c r="KUP4" s="324"/>
      <c r="KUQ4" s="329"/>
      <c r="KUR4" s="1"/>
      <c r="KUS4" s="327"/>
      <c r="KUT4" s="14"/>
      <c r="KUW4" s="324"/>
      <c r="KUX4" s="329"/>
      <c r="KUY4" s="1"/>
      <c r="KUZ4" s="327"/>
      <c r="KVA4" s="14"/>
      <c r="KVD4" s="324"/>
      <c r="KVE4" s="329"/>
      <c r="KVF4" s="1"/>
      <c r="KVG4" s="327"/>
      <c r="KVH4" s="14"/>
      <c r="KVK4" s="324"/>
      <c r="KVL4" s="329"/>
      <c r="KVM4" s="1"/>
      <c r="KVN4" s="327"/>
      <c r="KVO4" s="14"/>
      <c r="KVR4" s="324"/>
      <c r="KVS4" s="329"/>
      <c r="KVT4" s="1"/>
      <c r="KVU4" s="327"/>
      <c r="KVV4" s="14"/>
      <c r="KVY4" s="324"/>
      <c r="KVZ4" s="329"/>
      <c r="KWA4" s="1"/>
      <c r="KWB4" s="327"/>
      <c r="KWC4" s="14"/>
      <c r="KWF4" s="324"/>
      <c r="KWG4" s="329"/>
      <c r="KWH4" s="1"/>
      <c r="KWI4" s="327"/>
      <c r="KWJ4" s="14"/>
      <c r="KWM4" s="324"/>
      <c r="KWN4" s="329"/>
      <c r="KWO4" s="1"/>
      <c r="KWP4" s="327"/>
      <c r="KWQ4" s="14"/>
      <c r="KWT4" s="324"/>
      <c r="KWU4" s="329"/>
      <c r="KWV4" s="1"/>
      <c r="KWW4" s="327"/>
      <c r="KWX4" s="14"/>
      <c r="KXA4" s="324"/>
      <c r="KXB4" s="329"/>
      <c r="KXC4" s="1"/>
      <c r="KXD4" s="327"/>
      <c r="KXE4" s="14"/>
      <c r="KXH4" s="324"/>
      <c r="KXI4" s="329"/>
      <c r="KXJ4" s="1"/>
      <c r="KXK4" s="327"/>
      <c r="KXL4" s="14"/>
      <c r="KXO4" s="324"/>
      <c r="KXP4" s="329"/>
      <c r="KXQ4" s="1"/>
      <c r="KXR4" s="327"/>
      <c r="KXS4" s="14"/>
      <c r="KXV4" s="324"/>
      <c r="KXW4" s="329"/>
      <c r="KXX4" s="1"/>
      <c r="KXY4" s="327"/>
      <c r="KXZ4" s="14"/>
      <c r="KYC4" s="324"/>
      <c r="KYD4" s="329"/>
      <c r="KYE4" s="1"/>
      <c r="KYF4" s="327"/>
      <c r="KYG4" s="14"/>
      <c r="KYJ4" s="324"/>
      <c r="KYK4" s="329"/>
      <c r="KYL4" s="1"/>
      <c r="KYM4" s="327"/>
      <c r="KYN4" s="14"/>
      <c r="KYQ4" s="324"/>
      <c r="KYR4" s="329"/>
      <c r="KYS4" s="1"/>
      <c r="KYT4" s="327"/>
      <c r="KYU4" s="14"/>
      <c r="KYX4" s="324"/>
      <c r="KYY4" s="329"/>
      <c r="KYZ4" s="1"/>
      <c r="KZA4" s="327"/>
      <c r="KZB4" s="14"/>
      <c r="KZE4" s="324"/>
      <c r="KZF4" s="329"/>
      <c r="KZG4" s="1"/>
      <c r="KZH4" s="327"/>
      <c r="KZI4" s="14"/>
      <c r="KZL4" s="324"/>
      <c r="KZM4" s="329"/>
      <c r="KZN4" s="1"/>
      <c r="KZO4" s="327"/>
      <c r="KZP4" s="14"/>
      <c r="KZS4" s="324"/>
      <c r="KZT4" s="329"/>
      <c r="KZU4" s="1"/>
      <c r="KZV4" s="327"/>
      <c r="KZW4" s="14"/>
      <c r="KZZ4" s="324"/>
      <c r="LAA4" s="329"/>
      <c r="LAB4" s="1"/>
      <c r="LAC4" s="327"/>
      <c r="LAD4" s="14"/>
      <c r="LAG4" s="324"/>
      <c r="LAH4" s="329"/>
      <c r="LAI4" s="1"/>
      <c r="LAJ4" s="327"/>
      <c r="LAK4" s="14"/>
      <c r="LAN4" s="324"/>
      <c r="LAO4" s="329"/>
      <c r="LAP4" s="1"/>
      <c r="LAQ4" s="327"/>
      <c r="LAR4" s="14"/>
      <c r="LAU4" s="324"/>
      <c r="LAV4" s="329"/>
      <c r="LAW4" s="1"/>
      <c r="LAX4" s="327"/>
      <c r="LAY4" s="14"/>
      <c r="LBB4" s="324"/>
      <c r="LBC4" s="329"/>
      <c r="LBD4" s="1"/>
      <c r="LBE4" s="327"/>
      <c r="LBF4" s="14"/>
      <c r="LBI4" s="324"/>
      <c r="LBJ4" s="329"/>
      <c r="LBK4" s="1"/>
      <c r="LBL4" s="327"/>
      <c r="LBM4" s="14"/>
      <c r="LBP4" s="324"/>
      <c r="LBQ4" s="329"/>
      <c r="LBR4" s="1"/>
      <c r="LBS4" s="327"/>
      <c r="LBT4" s="14"/>
      <c r="LBW4" s="324"/>
      <c r="LBX4" s="329"/>
      <c r="LBY4" s="1"/>
      <c r="LBZ4" s="327"/>
      <c r="LCA4" s="14"/>
      <c r="LCD4" s="324"/>
      <c r="LCE4" s="329"/>
      <c r="LCF4" s="1"/>
      <c r="LCG4" s="327"/>
      <c r="LCH4" s="14"/>
      <c r="LCK4" s="324"/>
      <c r="LCL4" s="329"/>
      <c r="LCM4" s="1"/>
      <c r="LCN4" s="327"/>
      <c r="LCO4" s="14"/>
      <c r="LCR4" s="324"/>
      <c r="LCS4" s="329"/>
      <c r="LCT4" s="1"/>
      <c r="LCU4" s="327"/>
      <c r="LCV4" s="14"/>
      <c r="LCY4" s="324"/>
      <c r="LCZ4" s="329"/>
      <c r="LDA4" s="1"/>
      <c r="LDB4" s="327"/>
      <c r="LDC4" s="14"/>
      <c r="LDF4" s="324"/>
      <c r="LDG4" s="329"/>
      <c r="LDH4" s="1"/>
      <c r="LDI4" s="327"/>
      <c r="LDJ4" s="14"/>
      <c r="LDM4" s="324"/>
      <c r="LDN4" s="329"/>
      <c r="LDO4" s="1"/>
      <c r="LDP4" s="327"/>
      <c r="LDQ4" s="14"/>
      <c r="LDT4" s="324"/>
      <c r="LDU4" s="329"/>
      <c r="LDV4" s="1"/>
      <c r="LDW4" s="327"/>
      <c r="LDX4" s="14"/>
      <c r="LEA4" s="324"/>
      <c r="LEB4" s="329"/>
      <c r="LEC4" s="1"/>
      <c r="LED4" s="327"/>
      <c r="LEE4" s="14"/>
      <c r="LEH4" s="324"/>
      <c r="LEI4" s="329"/>
      <c r="LEJ4" s="1"/>
      <c r="LEK4" s="327"/>
      <c r="LEL4" s="14"/>
      <c r="LEO4" s="324"/>
      <c r="LEP4" s="329"/>
      <c r="LEQ4" s="1"/>
      <c r="LER4" s="327"/>
      <c r="LES4" s="14"/>
      <c r="LEV4" s="324"/>
      <c r="LEW4" s="329"/>
      <c r="LEX4" s="1"/>
      <c r="LEY4" s="327"/>
      <c r="LEZ4" s="14"/>
      <c r="LFC4" s="324"/>
      <c r="LFD4" s="329"/>
      <c r="LFE4" s="1"/>
      <c r="LFF4" s="327"/>
      <c r="LFG4" s="14"/>
      <c r="LFJ4" s="324"/>
      <c r="LFK4" s="329"/>
      <c r="LFL4" s="1"/>
      <c r="LFM4" s="327"/>
      <c r="LFN4" s="14"/>
      <c r="LFQ4" s="324"/>
      <c r="LFR4" s="329"/>
      <c r="LFS4" s="1"/>
      <c r="LFT4" s="327"/>
      <c r="LFU4" s="14"/>
      <c r="LFX4" s="324"/>
      <c r="LFY4" s="329"/>
      <c r="LFZ4" s="1"/>
      <c r="LGA4" s="327"/>
      <c r="LGB4" s="14"/>
      <c r="LGE4" s="324"/>
      <c r="LGF4" s="329"/>
      <c r="LGG4" s="1"/>
      <c r="LGH4" s="327"/>
      <c r="LGI4" s="14"/>
      <c r="LGL4" s="324"/>
      <c r="LGM4" s="329"/>
      <c r="LGN4" s="1"/>
      <c r="LGO4" s="327"/>
      <c r="LGP4" s="14"/>
      <c r="LGS4" s="324"/>
      <c r="LGT4" s="329"/>
      <c r="LGU4" s="1"/>
      <c r="LGV4" s="327"/>
      <c r="LGW4" s="14"/>
      <c r="LGZ4" s="324"/>
      <c r="LHA4" s="329"/>
      <c r="LHB4" s="1"/>
      <c r="LHC4" s="327"/>
      <c r="LHD4" s="14"/>
      <c r="LHG4" s="324"/>
      <c r="LHH4" s="329"/>
      <c r="LHI4" s="1"/>
      <c r="LHJ4" s="327"/>
      <c r="LHK4" s="14"/>
      <c r="LHN4" s="324"/>
      <c r="LHO4" s="329"/>
      <c r="LHP4" s="1"/>
      <c r="LHQ4" s="327"/>
      <c r="LHR4" s="14"/>
      <c r="LHU4" s="324"/>
      <c r="LHV4" s="329"/>
      <c r="LHW4" s="1"/>
      <c r="LHX4" s="327"/>
      <c r="LHY4" s="14"/>
      <c r="LIB4" s="324"/>
      <c r="LIC4" s="329"/>
      <c r="LID4" s="1"/>
      <c r="LIE4" s="327"/>
      <c r="LIF4" s="14"/>
      <c r="LII4" s="324"/>
      <c r="LIJ4" s="329"/>
      <c r="LIK4" s="1"/>
      <c r="LIL4" s="327"/>
      <c r="LIM4" s="14"/>
      <c r="LIP4" s="324"/>
      <c r="LIQ4" s="329"/>
      <c r="LIR4" s="1"/>
      <c r="LIS4" s="327"/>
      <c r="LIT4" s="14"/>
      <c r="LIW4" s="324"/>
      <c r="LIX4" s="329"/>
      <c r="LIY4" s="1"/>
      <c r="LIZ4" s="327"/>
      <c r="LJA4" s="14"/>
      <c r="LJD4" s="324"/>
      <c r="LJE4" s="329"/>
      <c r="LJF4" s="1"/>
      <c r="LJG4" s="327"/>
      <c r="LJH4" s="14"/>
      <c r="LJK4" s="324"/>
      <c r="LJL4" s="329"/>
      <c r="LJM4" s="1"/>
      <c r="LJN4" s="327"/>
      <c r="LJO4" s="14"/>
      <c r="LJR4" s="324"/>
      <c r="LJS4" s="329"/>
      <c r="LJT4" s="1"/>
      <c r="LJU4" s="327"/>
      <c r="LJV4" s="14"/>
      <c r="LJY4" s="324"/>
      <c r="LJZ4" s="329"/>
      <c r="LKA4" s="1"/>
      <c r="LKB4" s="327"/>
      <c r="LKC4" s="14"/>
      <c r="LKF4" s="324"/>
      <c r="LKG4" s="329"/>
      <c r="LKH4" s="1"/>
      <c r="LKI4" s="327"/>
      <c r="LKJ4" s="14"/>
      <c r="LKM4" s="324"/>
      <c r="LKN4" s="329"/>
      <c r="LKO4" s="1"/>
      <c r="LKP4" s="327"/>
      <c r="LKQ4" s="14"/>
      <c r="LKT4" s="324"/>
      <c r="LKU4" s="329"/>
      <c r="LKV4" s="1"/>
      <c r="LKW4" s="327"/>
      <c r="LKX4" s="14"/>
      <c r="LLA4" s="324"/>
      <c r="LLB4" s="329"/>
      <c r="LLC4" s="1"/>
      <c r="LLD4" s="327"/>
      <c r="LLE4" s="14"/>
      <c r="LLH4" s="324"/>
      <c r="LLI4" s="329"/>
      <c r="LLJ4" s="1"/>
      <c r="LLK4" s="327"/>
      <c r="LLL4" s="14"/>
      <c r="LLO4" s="324"/>
      <c r="LLP4" s="329"/>
      <c r="LLQ4" s="1"/>
      <c r="LLR4" s="327"/>
      <c r="LLS4" s="14"/>
      <c r="LLV4" s="324"/>
      <c r="LLW4" s="329"/>
      <c r="LLX4" s="1"/>
      <c r="LLY4" s="327"/>
      <c r="LLZ4" s="14"/>
      <c r="LMC4" s="324"/>
      <c r="LMD4" s="329"/>
      <c r="LME4" s="1"/>
      <c r="LMF4" s="327"/>
      <c r="LMG4" s="14"/>
      <c r="LMJ4" s="324"/>
      <c r="LMK4" s="329"/>
      <c r="LML4" s="1"/>
      <c r="LMM4" s="327"/>
      <c r="LMN4" s="14"/>
      <c r="LMQ4" s="324"/>
      <c r="LMR4" s="329"/>
      <c r="LMS4" s="1"/>
      <c r="LMT4" s="327"/>
      <c r="LMU4" s="14"/>
      <c r="LMX4" s="324"/>
      <c r="LMY4" s="329"/>
      <c r="LMZ4" s="1"/>
      <c r="LNA4" s="327"/>
      <c r="LNB4" s="14"/>
      <c r="LNE4" s="324"/>
      <c r="LNF4" s="329"/>
      <c r="LNG4" s="1"/>
      <c r="LNH4" s="327"/>
      <c r="LNI4" s="14"/>
      <c r="LNL4" s="324"/>
      <c r="LNM4" s="329"/>
      <c r="LNN4" s="1"/>
      <c r="LNO4" s="327"/>
      <c r="LNP4" s="14"/>
      <c r="LNS4" s="324"/>
      <c r="LNT4" s="329"/>
      <c r="LNU4" s="1"/>
      <c r="LNV4" s="327"/>
      <c r="LNW4" s="14"/>
      <c r="LNZ4" s="324"/>
      <c r="LOA4" s="329"/>
      <c r="LOB4" s="1"/>
      <c r="LOC4" s="327"/>
      <c r="LOD4" s="14"/>
      <c r="LOG4" s="324"/>
      <c r="LOH4" s="329"/>
      <c r="LOI4" s="1"/>
      <c r="LOJ4" s="327"/>
      <c r="LOK4" s="14"/>
      <c r="LON4" s="324"/>
      <c r="LOO4" s="329"/>
      <c r="LOP4" s="1"/>
      <c r="LOQ4" s="327"/>
      <c r="LOR4" s="14"/>
      <c r="LOU4" s="324"/>
      <c r="LOV4" s="329"/>
      <c r="LOW4" s="1"/>
      <c r="LOX4" s="327"/>
      <c r="LOY4" s="14"/>
      <c r="LPB4" s="324"/>
      <c r="LPC4" s="329"/>
      <c r="LPD4" s="1"/>
      <c r="LPE4" s="327"/>
      <c r="LPF4" s="14"/>
      <c r="LPI4" s="324"/>
      <c r="LPJ4" s="329"/>
      <c r="LPK4" s="1"/>
      <c r="LPL4" s="327"/>
      <c r="LPM4" s="14"/>
      <c r="LPP4" s="324"/>
      <c r="LPQ4" s="329"/>
      <c r="LPR4" s="1"/>
      <c r="LPS4" s="327"/>
      <c r="LPT4" s="14"/>
      <c r="LPW4" s="324"/>
      <c r="LPX4" s="329"/>
      <c r="LPY4" s="1"/>
      <c r="LPZ4" s="327"/>
      <c r="LQA4" s="14"/>
      <c r="LQD4" s="324"/>
      <c r="LQE4" s="329"/>
      <c r="LQF4" s="1"/>
      <c r="LQG4" s="327"/>
      <c r="LQH4" s="14"/>
      <c r="LQK4" s="324"/>
      <c r="LQL4" s="329"/>
      <c r="LQM4" s="1"/>
      <c r="LQN4" s="327"/>
      <c r="LQO4" s="14"/>
      <c r="LQR4" s="324"/>
      <c r="LQS4" s="329"/>
      <c r="LQT4" s="1"/>
      <c r="LQU4" s="327"/>
      <c r="LQV4" s="14"/>
      <c r="LQY4" s="324"/>
      <c r="LQZ4" s="329"/>
      <c r="LRA4" s="1"/>
      <c r="LRB4" s="327"/>
      <c r="LRC4" s="14"/>
      <c r="LRF4" s="324"/>
      <c r="LRG4" s="329"/>
      <c r="LRH4" s="1"/>
      <c r="LRI4" s="327"/>
      <c r="LRJ4" s="14"/>
      <c r="LRM4" s="324"/>
      <c r="LRN4" s="329"/>
      <c r="LRO4" s="1"/>
      <c r="LRP4" s="327"/>
      <c r="LRQ4" s="14"/>
      <c r="LRT4" s="324"/>
      <c r="LRU4" s="329"/>
      <c r="LRV4" s="1"/>
      <c r="LRW4" s="327"/>
      <c r="LRX4" s="14"/>
      <c r="LSA4" s="324"/>
      <c r="LSB4" s="329"/>
      <c r="LSC4" s="1"/>
      <c r="LSD4" s="327"/>
      <c r="LSE4" s="14"/>
      <c r="LSH4" s="324"/>
      <c r="LSI4" s="329"/>
      <c r="LSJ4" s="1"/>
      <c r="LSK4" s="327"/>
      <c r="LSL4" s="14"/>
      <c r="LSO4" s="324"/>
      <c r="LSP4" s="329"/>
      <c r="LSQ4" s="1"/>
      <c r="LSR4" s="327"/>
      <c r="LSS4" s="14"/>
      <c r="LSV4" s="324"/>
      <c r="LSW4" s="329"/>
      <c r="LSX4" s="1"/>
      <c r="LSY4" s="327"/>
      <c r="LSZ4" s="14"/>
      <c r="LTC4" s="324"/>
      <c r="LTD4" s="329"/>
      <c r="LTE4" s="1"/>
      <c r="LTF4" s="327"/>
      <c r="LTG4" s="14"/>
      <c r="LTJ4" s="324"/>
      <c r="LTK4" s="329"/>
      <c r="LTL4" s="1"/>
      <c r="LTM4" s="327"/>
      <c r="LTN4" s="14"/>
      <c r="LTQ4" s="324"/>
      <c r="LTR4" s="329"/>
      <c r="LTS4" s="1"/>
      <c r="LTT4" s="327"/>
      <c r="LTU4" s="14"/>
      <c r="LTX4" s="324"/>
      <c r="LTY4" s="329"/>
      <c r="LTZ4" s="1"/>
      <c r="LUA4" s="327"/>
      <c r="LUB4" s="14"/>
      <c r="LUE4" s="324"/>
      <c r="LUF4" s="329"/>
      <c r="LUG4" s="1"/>
      <c r="LUH4" s="327"/>
      <c r="LUI4" s="14"/>
      <c r="LUL4" s="324"/>
      <c r="LUM4" s="329"/>
      <c r="LUN4" s="1"/>
      <c r="LUO4" s="327"/>
      <c r="LUP4" s="14"/>
      <c r="LUS4" s="324"/>
      <c r="LUT4" s="329"/>
      <c r="LUU4" s="1"/>
      <c r="LUV4" s="327"/>
      <c r="LUW4" s="14"/>
      <c r="LUZ4" s="324"/>
      <c r="LVA4" s="329"/>
      <c r="LVB4" s="1"/>
      <c r="LVC4" s="327"/>
      <c r="LVD4" s="14"/>
      <c r="LVG4" s="324"/>
      <c r="LVH4" s="329"/>
      <c r="LVI4" s="1"/>
      <c r="LVJ4" s="327"/>
      <c r="LVK4" s="14"/>
      <c r="LVN4" s="324"/>
      <c r="LVO4" s="329"/>
      <c r="LVP4" s="1"/>
      <c r="LVQ4" s="327"/>
      <c r="LVR4" s="14"/>
      <c r="LVU4" s="324"/>
      <c r="LVV4" s="329"/>
      <c r="LVW4" s="1"/>
      <c r="LVX4" s="327"/>
      <c r="LVY4" s="14"/>
      <c r="LWB4" s="324"/>
      <c r="LWC4" s="329"/>
      <c r="LWD4" s="1"/>
      <c r="LWE4" s="327"/>
      <c r="LWF4" s="14"/>
      <c r="LWI4" s="324"/>
      <c r="LWJ4" s="329"/>
      <c r="LWK4" s="1"/>
      <c r="LWL4" s="327"/>
      <c r="LWM4" s="14"/>
      <c r="LWP4" s="324"/>
      <c r="LWQ4" s="329"/>
      <c r="LWR4" s="1"/>
      <c r="LWS4" s="327"/>
      <c r="LWT4" s="14"/>
      <c r="LWW4" s="324"/>
      <c r="LWX4" s="329"/>
      <c r="LWY4" s="1"/>
      <c r="LWZ4" s="327"/>
      <c r="LXA4" s="14"/>
      <c r="LXD4" s="324"/>
      <c r="LXE4" s="329"/>
      <c r="LXF4" s="1"/>
      <c r="LXG4" s="327"/>
      <c r="LXH4" s="14"/>
      <c r="LXK4" s="324"/>
      <c r="LXL4" s="329"/>
      <c r="LXM4" s="1"/>
      <c r="LXN4" s="327"/>
      <c r="LXO4" s="14"/>
      <c r="LXR4" s="324"/>
      <c r="LXS4" s="329"/>
      <c r="LXT4" s="1"/>
      <c r="LXU4" s="327"/>
      <c r="LXV4" s="14"/>
      <c r="LXY4" s="324"/>
      <c r="LXZ4" s="329"/>
      <c r="LYA4" s="1"/>
      <c r="LYB4" s="327"/>
      <c r="LYC4" s="14"/>
      <c r="LYF4" s="324"/>
      <c r="LYG4" s="329"/>
      <c r="LYH4" s="1"/>
      <c r="LYI4" s="327"/>
      <c r="LYJ4" s="14"/>
      <c r="LYM4" s="324"/>
      <c r="LYN4" s="329"/>
      <c r="LYO4" s="1"/>
      <c r="LYP4" s="327"/>
      <c r="LYQ4" s="14"/>
      <c r="LYT4" s="324"/>
      <c r="LYU4" s="329"/>
      <c r="LYV4" s="1"/>
      <c r="LYW4" s="327"/>
      <c r="LYX4" s="14"/>
      <c r="LZA4" s="324"/>
      <c r="LZB4" s="329"/>
      <c r="LZC4" s="1"/>
      <c r="LZD4" s="327"/>
      <c r="LZE4" s="14"/>
      <c r="LZH4" s="324"/>
      <c r="LZI4" s="329"/>
      <c r="LZJ4" s="1"/>
      <c r="LZK4" s="327"/>
      <c r="LZL4" s="14"/>
      <c r="LZO4" s="324"/>
      <c r="LZP4" s="329"/>
      <c r="LZQ4" s="1"/>
      <c r="LZR4" s="327"/>
      <c r="LZS4" s="14"/>
      <c r="LZV4" s="324"/>
      <c r="LZW4" s="329"/>
      <c r="LZX4" s="1"/>
      <c r="LZY4" s="327"/>
      <c r="LZZ4" s="14"/>
      <c r="MAC4" s="324"/>
      <c r="MAD4" s="329"/>
      <c r="MAE4" s="1"/>
      <c r="MAF4" s="327"/>
      <c r="MAG4" s="14"/>
      <c r="MAJ4" s="324"/>
      <c r="MAK4" s="329"/>
      <c r="MAL4" s="1"/>
      <c r="MAM4" s="327"/>
      <c r="MAN4" s="14"/>
      <c r="MAQ4" s="324"/>
      <c r="MAR4" s="329"/>
      <c r="MAS4" s="1"/>
      <c r="MAT4" s="327"/>
      <c r="MAU4" s="14"/>
      <c r="MAX4" s="324"/>
      <c r="MAY4" s="329"/>
      <c r="MAZ4" s="1"/>
      <c r="MBA4" s="327"/>
      <c r="MBB4" s="14"/>
      <c r="MBE4" s="324"/>
      <c r="MBF4" s="329"/>
      <c r="MBG4" s="1"/>
      <c r="MBH4" s="327"/>
      <c r="MBI4" s="14"/>
      <c r="MBL4" s="324"/>
      <c r="MBM4" s="329"/>
      <c r="MBN4" s="1"/>
      <c r="MBO4" s="327"/>
      <c r="MBP4" s="14"/>
      <c r="MBS4" s="324"/>
      <c r="MBT4" s="329"/>
      <c r="MBU4" s="1"/>
      <c r="MBV4" s="327"/>
      <c r="MBW4" s="14"/>
      <c r="MBZ4" s="324"/>
      <c r="MCA4" s="329"/>
      <c r="MCB4" s="1"/>
      <c r="MCC4" s="327"/>
      <c r="MCD4" s="14"/>
      <c r="MCG4" s="324"/>
      <c r="MCH4" s="329"/>
      <c r="MCI4" s="1"/>
      <c r="MCJ4" s="327"/>
      <c r="MCK4" s="14"/>
      <c r="MCN4" s="324"/>
      <c r="MCO4" s="329"/>
      <c r="MCP4" s="1"/>
      <c r="MCQ4" s="327"/>
      <c r="MCR4" s="14"/>
      <c r="MCU4" s="324"/>
      <c r="MCV4" s="329"/>
      <c r="MCW4" s="1"/>
      <c r="MCX4" s="327"/>
      <c r="MCY4" s="14"/>
      <c r="MDB4" s="324"/>
      <c r="MDC4" s="329"/>
      <c r="MDD4" s="1"/>
      <c r="MDE4" s="327"/>
      <c r="MDF4" s="14"/>
      <c r="MDI4" s="324"/>
      <c r="MDJ4" s="329"/>
      <c r="MDK4" s="1"/>
      <c r="MDL4" s="327"/>
      <c r="MDM4" s="14"/>
      <c r="MDP4" s="324"/>
      <c r="MDQ4" s="329"/>
      <c r="MDR4" s="1"/>
      <c r="MDS4" s="327"/>
      <c r="MDT4" s="14"/>
      <c r="MDW4" s="324"/>
      <c r="MDX4" s="329"/>
      <c r="MDY4" s="1"/>
      <c r="MDZ4" s="327"/>
      <c r="MEA4" s="14"/>
      <c r="MED4" s="324"/>
      <c r="MEE4" s="329"/>
      <c r="MEF4" s="1"/>
      <c r="MEG4" s="327"/>
      <c r="MEH4" s="14"/>
      <c r="MEK4" s="324"/>
      <c r="MEL4" s="329"/>
      <c r="MEM4" s="1"/>
      <c r="MEN4" s="327"/>
      <c r="MEO4" s="14"/>
      <c r="MER4" s="324"/>
      <c r="MES4" s="329"/>
      <c r="MET4" s="1"/>
      <c r="MEU4" s="327"/>
      <c r="MEV4" s="14"/>
      <c r="MEY4" s="324"/>
      <c r="MEZ4" s="329"/>
      <c r="MFA4" s="1"/>
      <c r="MFB4" s="327"/>
      <c r="MFC4" s="14"/>
      <c r="MFF4" s="324"/>
      <c r="MFG4" s="329"/>
      <c r="MFH4" s="1"/>
      <c r="MFI4" s="327"/>
      <c r="MFJ4" s="14"/>
      <c r="MFM4" s="324"/>
      <c r="MFN4" s="329"/>
      <c r="MFO4" s="1"/>
      <c r="MFP4" s="327"/>
      <c r="MFQ4" s="14"/>
      <c r="MFT4" s="324"/>
      <c r="MFU4" s="329"/>
      <c r="MFV4" s="1"/>
      <c r="MFW4" s="327"/>
      <c r="MFX4" s="14"/>
      <c r="MGA4" s="324"/>
      <c r="MGB4" s="329"/>
      <c r="MGC4" s="1"/>
      <c r="MGD4" s="327"/>
      <c r="MGE4" s="14"/>
      <c r="MGH4" s="324"/>
      <c r="MGI4" s="329"/>
      <c r="MGJ4" s="1"/>
      <c r="MGK4" s="327"/>
      <c r="MGL4" s="14"/>
      <c r="MGO4" s="324"/>
      <c r="MGP4" s="329"/>
      <c r="MGQ4" s="1"/>
      <c r="MGR4" s="327"/>
      <c r="MGS4" s="14"/>
      <c r="MGV4" s="324"/>
      <c r="MGW4" s="329"/>
      <c r="MGX4" s="1"/>
      <c r="MGY4" s="327"/>
      <c r="MGZ4" s="14"/>
      <c r="MHC4" s="324"/>
      <c r="MHD4" s="329"/>
      <c r="MHE4" s="1"/>
      <c r="MHF4" s="327"/>
      <c r="MHG4" s="14"/>
      <c r="MHJ4" s="324"/>
      <c r="MHK4" s="329"/>
      <c r="MHL4" s="1"/>
      <c r="MHM4" s="327"/>
      <c r="MHN4" s="14"/>
      <c r="MHQ4" s="324"/>
      <c r="MHR4" s="329"/>
      <c r="MHS4" s="1"/>
      <c r="MHT4" s="327"/>
      <c r="MHU4" s="14"/>
      <c r="MHX4" s="324"/>
      <c r="MHY4" s="329"/>
      <c r="MHZ4" s="1"/>
      <c r="MIA4" s="327"/>
      <c r="MIB4" s="14"/>
      <c r="MIE4" s="324"/>
      <c r="MIF4" s="329"/>
      <c r="MIG4" s="1"/>
      <c r="MIH4" s="327"/>
      <c r="MII4" s="14"/>
      <c r="MIL4" s="324"/>
      <c r="MIM4" s="329"/>
      <c r="MIN4" s="1"/>
      <c r="MIO4" s="327"/>
      <c r="MIP4" s="14"/>
      <c r="MIS4" s="324"/>
      <c r="MIT4" s="329"/>
      <c r="MIU4" s="1"/>
      <c r="MIV4" s="327"/>
      <c r="MIW4" s="14"/>
      <c r="MIZ4" s="324"/>
      <c r="MJA4" s="329"/>
      <c r="MJB4" s="1"/>
      <c r="MJC4" s="327"/>
      <c r="MJD4" s="14"/>
      <c r="MJG4" s="324"/>
      <c r="MJH4" s="329"/>
      <c r="MJI4" s="1"/>
      <c r="MJJ4" s="327"/>
      <c r="MJK4" s="14"/>
      <c r="MJN4" s="324"/>
      <c r="MJO4" s="329"/>
      <c r="MJP4" s="1"/>
      <c r="MJQ4" s="327"/>
      <c r="MJR4" s="14"/>
      <c r="MJU4" s="324"/>
      <c r="MJV4" s="329"/>
      <c r="MJW4" s="1"/>
      <c r="MJX4" s="327"/>
      <c r="MJY4" s="14"/>
      <c r="MKB4" s="324"/>
      <c r="MKC4" s="329"/>
      <c r="MKD4" s="1"/>
      <c r="MKE4" s="327"/>
      <c r="MKF4" s="14"/>
      <c r="MKI4" s="324"/>
      <c r="MKJ4" s="329"/>
      <c r="MKK4" s="1"/>
      <c r="MKL4" s="327"/>
      <c r="MKM4" s="14"/>
      <c r="MKP4" s="324"/>
      <c r="MKQ4" s="329"/>
      <c r="MKR4" s="1"/>
      <c r="MKS4" s="327"/>
      <c r="MKT4" s="14"/>
      <c r="MKW4" s="324"/>
      <c r="MKX4" s="329"/>
      <c r="MKY4" s="1"/>
      <c r="MKZ4" s="327"/>
      <c r="MLA4" s="14"/>
      <c r="MLD4" s="324"/>
      <c r="MLE4" s="329"/>
      <c r="MLF4" s="1"/>
      <c r="MLG4" s="327"/>
      <c r="MLH4" s="14"/>
      <c r="MLK4" s="324"/>
      <c r="MLL4" s="329"/>
      <c r="MLM4" s="1"/>
      <c r="MLN4" s="327"/>
      <c r="MLO4" s="14"/>
      <c r="MLR4" s="324"/>
      <c r="MLS4" s="329"/>
      <c r="MLT4" s="1"/>
      <c r="MLU4" s="327"/>
      <c r="MLV4" s="14"/>
      <c r="MLY4" s="324"/>
      <c r="MLZ4" s="329"/>
      <c r="MMA4" s="1"/>
      <c r="MMB4" s="327"/>
      <c r="MMC4" s="14"/>
      <c r="MMF4" s="324"/>
      <c r="MMG4" s="329"/>
      <c r="MMH4" s="1"/>
      <c r="MMI4" s="327"/>
      <c r="MMJ4" s="14"/>
      <c r="MMM4" s="324"/>
      <c r="MMN4" s="329"/>
      <c r="MMO4" s="1"/>
      <c r="MMP4" s="327"/>
      <c r="MMQ4" s="14"/>
      <c r="MMT4" s="324"/>
      <c r="MMU4" s="329"/>
      <c r="MMV4" s="1"/>
      <c r="MMW4" s="327"/>
      <c r="MMX4" s="14"/>
      <c r="MNA4" s="324"/>
      <c r="MNB4" s="329"/>
      <c r="MNC4" s="1"/>
      <c r="MND4" s="327"/>
      <c r="MNE4" s="14"/>
      <c r="MNH4" s="324"/>
      <c r="MNI4" s="329"/>
      <c r="MNJ4" s="1"/>
      <c r="MNK4" s="327"/>
      <c r="MNL4" s="14"/>
      <c r="MNO4" s="324"/>
      <c r="MNP4" s="329"/>
      <c r="MNQ4" s="1"/>
      <c r="MNR4" s="327"/>
      <c r="MNS4" s="14"/>
      <c r="MNV4" s="324"/>
      <c r="MNW4" s="329"/>
      <c r="MNX4" s="1"/>
      <c r="MNY4" s="327"/>
      <c r="MNZ4" s="14"/>
      <c r="MOC4" s="324"/>
      <c r="MOD4" s="329"/>
      <c r="MOE4" s="1"/>
      <c r="MOF4" s="327"/>
      <c r="MOG4" s="14"/>
      <c r="MOJ4" s="324"/>
      <c r="MOK4" s="329"/>
      <c r="MOL4" s="1"/>
      <c r="MOM4" s="327"/>
      <c r="MON4" s="14"/>
      <c r="MOQ4" s="324"/>
      <c r="MOR4" s="329"/>
      <c r="MOS4" s="1"/>
      <c r="MOT4" s="327"/>
      <c r="MOU4" s="14"/>
      <c r="MOX4" s="324"/>
      <c r="MOY4" s="329"/>
      <c r="MOZ4" s="1"/>
      <c r="MPA4" s="327"/>
      <c r="MPB4" s="14"/>
      <c r="MPE4" s="324"/>
      <c r="MPF4" s="329"/>
      <c r="MPG4" s="1"/>
      <c r="MPH4" s="327"/>
      <c r="MPI4" s="14"/>
      <c r="MPL4" s="324"/>
      <c r="MPM4" s="329"/>
      <c r="MPN4" s="1"/>
      <c r="MPO4" s="327"/>
      <c r="MPP4" s="14"/>
      <c r="MPS4" s="324"/>
      <c r="MPT4" s="329"/>
      <c r="MPU4" s="1"/>
      <c r="MPV4" s="327"/>
      <c r="MPW4" s="14"/>
      <c r="MPZ4" s="324"/>
      <c r="MQA4" s="329"/>
      <c r="MQB4" s="1"/>
      <c r="MQC4" s="327"/>
      <c r="MQD4" s="14"/>
      <c r="MQG4" s="324"/>
      <c r="MQH4" s="329"/>
      <c r="MQI4" s="1"/>
      <c r="MQJ4" s="327"/>
      <c r="MQK4" s="14"/>
      <c r="MQN4" s="324"/>
      <c r="MQO4" s="329"/>
      <c r="MQP4" s="1"/>
      <c r="MQQ4" s="327"/>
      <c r="MQR4" s="14"/>
      <c r="MQU4" s="324"/>
      <c r="MQV4" s="329"/>
      <c r="MQW4" s="1"/>
      <c r="MQX4" s="327"/>
      <c r="MQY4" s="14"/>
      <c r="MRB4" s="324"/>
      <c r="MRC4" s="329"/>
      <c r="MRD4" s="1"/>
      <c r="MRE4" s="327"/>
      <c r="MRF4" s="14"/>
      <c r="MRI4" s="324"/>
      <c r="MRJ4" s="329"/>
      <c r="MRK4" s="1"/>
      <c r="MRL4" s="327"/>
      <c r="MRM4" s="14"/>
      <c r="MRP4" s="324"/>
      <c r="MRQ4" s="329"/>
      <c r="MRR4" s="1"/>
      <c r="MRS4" s="327"/>
      <c r="MRT4" s="14"/>
      <c r="MRW4" s="324"/>
      <c r="MRX4" s="329"/>
      <c r="MRY4" s="1"/>
      <c r="MRZ4" s="327"/>
      <c r="MSA4" s="14"/>
      <c r="MSD4" s="324"/>
      <c r="MSE4" s="329"/>
      <c r="MSF4" s="1"/>
      <c r="MSG4" s="327"/>
      <c r="MSH4" s="14"/>
      <c r="MSK4" s="324"/>
      <c r="MSL4" s="329"/>
      <c r="MSM4" s="1"/>
      <c r="MSN4" s="327"/>
      <c r="MSO4" s="14"/>
      <c r="MSR4" s="324"/>
      <c r="MSS4" s="329"/>
      <c r="MST4" s="1"/>
      <c r="MSU4" s="327"/>
      <c r="MSV4" s="14"/>
      <c r="MSY4" s="324"/>
      <c r="MSZ4" s="329"/>
      <c r="MTA4" s="1"/>
      <c r="MTB4" s="327"/>
      <c r="MTC4" s="14"/>
      <c r="MTF4" s="324"/>
      <c r="MTG4" s="329"/>
      <c r="MTH4" s="1"/>
      <c r="MTI4" s="327"/>
      <c r="MTJ4" s="14"/>
      <c r="MTM4" s="324"/>
      <c r="MTN4" s="329"/>
      <c r="MTO4" s="1"/>
      <c r="MTP4" s="327"/>
      <c r="MTQ4" s="14"/>
      <c r="MTT4" s="324"/>
      <c r="MTU4" s="329"/>
      <c r="MTV4" s="1"/>
      <c r="MTW4" s="327"/>
      <c r="MTX4" s="14"/>
      <c r="MUA4" s="324"/>
      <c r="MUB4" s="329"/>
      <c r="MUC4" s="1"/>
      <c r="MUD4" s="327"/>
      <c r="MUE4" s="14"/>
      <c r="MUH4" s="324"/>
      <c r="MUI4" s="329"/>
      <c r="MUJ4" s="1"/>
      <c r="MUK4" s="327"/>
      <c r="MUL4" s="14"/>
      <c r="MUO4" s="324"/>
      <c r="MUP4" s="329"/>
      <c r="MUQ4" s="1"/>
      <c r="MUR4" s="327"/>
      <c r="MUS4" s="14"/>
      <c r="MUV4" s="324"/>
      <c r="MUW4" s="329"/>
      <c r="MUX4" s="1"/>
      <c r="MUY4" s="327"/>
      <c r="MUZ4" s="14"/>
      <c r="MVC4" s="324"/>
      <c r="MVD4" s="329"/>
      <c r="MVE4" s="1"/>
      <c r="MVF4" s="327"/>
      <c r="MVG4" s="14"/>
      <c r="MVJ4" s="324"/>
      <c r="MVK4" s="329"/>
      <c r="MVL4" s="1"/>
      <c r="MVM4" s="327"/>
      <c r="MVN4" s="14"/>
      <c r="MVQ4" s="324"/>
      <c r="MVR4" s="329"/>
      <c r="MVS4" s="1"/>
      <c r="MVT4" s="327"/>
      <c r="MVU4" s="14"/>
      <c r="MVX4" s="324"/>
      <c r="MVY4" s="329"/>
      <c r="MVZ4" s="1"/>
      <c r="MWA4" s="327"/>
      <c r="MWB4" s="14"/>
      <c r="MWE4" s="324"/>
      <c r="MWF4" s="329"/>
      <c r="MWG4" s="1"/>
      <c r="MWH4" s="327"/>
      <c r="MWI4" s="14"/>
      <c r="MWL4" s="324"/>
      <c r="MWM4" s="329"/>
      <c r="MWN4" s="1"/>
      <c r="MWO4" s="327"/>
      <c r="MWP4" s="14"/>
      <c r="MWS4" s="324"/>
      <c r="MWT4" s="329"/>
      <c r="MWU4" s="1"/>
      <c r="MWV4" s="327"/>
      <c r="MWW4" s="14"/>
      <c r="MWZ4" s="324"/>
      <c r="MXA4" s="329"/>
      <c r="MXB4" s="1"/>
      <c r="MXC4" s="327"/>
      <c r="MXD4" s="14"/>
      <c r="MXG4" s="324"/>
      <c r="MXH4" s="329"/>
      <c r="MXI4" s="1"/>
      <c r="MXJ4" s="327"/>
      <c r="MXK4" s="14"/>
      <c r="MXN4" s="324"/>
      <c r="MXO4" s="329"/>
      <c r="MXP4" s="1"/>
      <c r="MXQ4" s="327"/>
      <c r="MXR4" s="14"/>
      <c r="MXU4" s="324"/>
      <c r="MXV4" s="329"/>
      <c r="MXW4" s="1"/>
      <c r="MXX4" s="327"/>
      <c r="MXY4" s="14"/>
      <c r="MYB4" s="324"/>
      <c r="MYC4" s="329"/>
      <c r="MYD4" s="1"/>
      <c r="MYE4" s="327"/>
      <c r="MYF4" s="14"/>
      <c r="MYI4" s="324"/>
      <c r="MYJ4" s="329"/>
      <c r="MYK4" s="1"/>
      <c r="MYL4" s="327"/>
      <c r="MYM4" s="14"/>
      <c r="MYP4" s="324"/>
      <c r="MYQ4" s="329"/>
      <c r="MYR4" s="1"/>
      <c r="MYS4" s="327"/>
      <c r="MYT4" s="14"/>
      <c r="MYW4" s="324"/>
      <c r="MYX4" s="329"/>
      <c r="MYY4" s="1"/>
      <c r="MYZ4" s="327"/>
      <c r="MZA4" s="14"/>
      <c r="MZD4" s="324"/>
      <c r="MZE4" s="329"/>
      <c r="MZF4" s="1"/>
      <c r="MZG4" s="327"/>
      <c r="MZH4" s="14"/>
      <c r="MZK4" s="324"/>
      <c r="MZL4" s="329"/>
      <c r="MZM4" s="1"/>
      <c r="MZN4" s="327"/>
      <c r="MZO4" s="14"/>
      <c r="MZR4" s="324"/>
      <c r="MZS4" s="329"/>
      <c r="MZT4" s="1"/>
      <c r="MZU4" s="327"/>
      <c r="MZV4" s="14"/>
      <c r="MZY4" s="324"/>
      <c r="MZZ4" s="329"/>
      <c r="NAA4" s="1"/>
      <c r="NAB4" s="327"/>
      <c r="NAC4" s="14"/>
      <c r="NAF4" s="324"/>
      <c r="NAG4" s="329"/>
      <c r="NAH4" s="1"/>
      <c r="NAI4" s="327"/>
      <c r="NAJ4" s="14"/>
      <c r="NAM4" s="324"/>
      <c r="NAN4" s="329"/>
      <c r="NAO4" s="1"/>
      <c r="NAP4" s="327"/>
      <c r="NAQ4" s="14"/>
      <c r="NAT4" s="324"/>
      <c r="NAU4" s="329"/>
      <c r="NAV4" s="1"/>
      <c r="NAW4" s="327"/>
      <c r="NAX4" s="14"/>
      <c r="NBA4" s="324"/>
      <c r="NBB4" s="329"/>
      <c r="NBC4" s="1"/>
      <c r="NBD4" s="327"/>
      <c r="NBE4" s="14"/>
      <c r="NBH4" s="324"/>
      <c r="NBI4" s="329"/>
      <c r="NBJ4" s="1"/>
      <c r="NBK4" s="327"/>
      <c r="NBL4" s="14"/>
      <c r="NBO4" s="324"/>
      <c r="NBP4" s="329"/>
      <c r="NBQ4" s="1"/>
      <c r="NBR4" s="327"/>
      <c r="NBS4" s="14"/>
      <c r="NBV4" s="324"/>
      <c r="NBW4" s="329"/>
      <c r="NBX4" s="1"/>
      <c r="NBY4" s="327"/>
      <c r="NBZ4" s="14"/>
      <c r="NCC4" s="324"/>
      <c r="NCD4" s="329"/>
      <c r="NCE4" s="1"/>
      <c r="NCF4" s="327"/>
      <c r="NCG4" s="14"/>
      <c r="NCJ4" s="324"/>
      <c r="NCK4" s="329"/>
      <c r="NCL4" s="1"/>
      <c r="NCM4" s="327"/>
      <c r="NCN4" s="14"/>
      <c r="NCQ4" s="324"/>
      <c r="NCR4" s="329"/>
      <c r="NCS4" s="1"/>
      <c r="NCT4" s="327"/>
      <c r="NCU4" s="14"/>
      <c r="NCX4" s="324"/>
      <c r="NCY4" s="329"/>
      <c r="NCZ4" s="1"/>
      <c r="NDA4" s="327"/>
      <c r="NDB4" s="14"/>
      <c r="NDE4" s="324"/>
      <c r="NDF4" s="329"/>
      <c r="NDG4" s="1"/>
      <c r="NDH4" s="327"/>
      <c r="NDI4" s="14"/>
      <c r="NDL4" s="324"/>
      <c r="NDM4" s="329"/>
      <c r="NDN4" s="1"/>
      <c r="NDO4" s="327"/>
      <c r="NDP4" s="14"/>
      <c r="NDS4" s="324"/>
      <c r="NDT4" s="329"/>
      <c r="NDU4" s="1"/>
      <c r="NDV4" s="327"/>
      <c r="NDW4" s="14"/>
      <c r="NDZ4" s="324"/>
      <c r="NEA4" s="329"/>
      <c r="NEB4" s="1"/>
      <c r="NEC4" s="327"/>
      <c r="NED4" s="14"/>
      <c r="NEG4" s="324"/>
      <c r="NEH4" s="329"/>
      <c r="NEI4" s="1"/>
      <c r="NEJ4" s="327"/>
      <c r="NEK4" s="14"/>
      <c r="NEN4" s="324"/>
      <c r="NEO4" s="329"/>
      <c r="NEP4" s="1"/>
      <c r="NEQ4" s="327"/>
      <c r="NER4" s="14"/>
      <c r="NEU4" s="324"/>
      <c r="NEV4" s="329"/>
      <c r="NEW4" s="1"/>
      <c r="NEX4" s="327"/>
      <c r="NEY4" s="14"/>
      <c r="NFB4" s="324"/>
      <c r="NFC4" s="329"/>
      <c r="NFD4" s="1"/>
      <c r="NFE4" s="327"/>
      <c r="NFF4" s="14"/>
      <c r="NFI4" s="324"/>
      <c r="NFJ4" s="329"/>
      <c r="NFK4" s="1"/>
      <c r="NFL4" s="327"/>
      <c r="NFM4" s="14"/>
      <c r="NFP4" s="324"/>
      <c r="NFQ4" s="329"/>
      <c r="NFR4" s="1"/>
      <c r="NFS4" s="327"/>
      <c r="NFT4" s="14"/>
      <c r="NFW4" s="324"/>
      <c r="NFX4" s="329"/>
      <c r="NFY4" s="1"/>
      <c r="NFZ4" s="327"/>
      <c r="NGA4" s="14"/>
      <c r="NGD4" s="324"/>
      <c r="NGE4" s="329"/>
      <c r="NGF4" s="1"/>
      <c r="NGG4" s="327"/>
      <c r="NGH4" s="14"/>
      <c r="NGK4" s="324"/>
      <c r="NGL4" s="329"/>
      <c r="NGM4" s="1"/>
      <c r="NGN4" s="327"/>
      <c r="NGO4" s="14"/>
      <c r="NGR4" s="324"/>
      <c r="NGS4" s="329"/>
      <c r="NGT4" s="1"/>
      <c r="NGU4" s="327"/>
      <c r="NGV4" s="14"/>
      <c r="NGY4" s="324"/>
      <c r="NGZ4" s="329"/>
      <c r="NHA4" s="1"/>
      <c r="NHB4" s="327"/>
      <c r="NHC4" s="14"/>
      <c r="NHF4" s="324"/>
      <c r="NHG4" s="329"/>
      <c r="NHH4" s="1"/>
      <c r="NHI4" s="327"/>
      <c r="NHJ4" s="14"/>
      <c r="NHM4" s="324"/>
      <c r="NHN4" s="329"/>
      <c r="NHO4" s="1"/>
      <c r="NHP4" s="327"/>
      <c r="NHQ4" s="14"/>
      <c r="NHT4" s="324"/>
      <c r="NHU4" s="329"/>
      <c r="NHV4" s="1"/>
      <c r="NHW4" s="327"/>
      <c r="NHX4" s="14"/>
      <c r="NIA4" s="324"/>
      <c r="NIB4" s="329"/>
      <c r="NIC4" s="1"/>
      <c r="NID4" s="327"/>
      <c r="NIE4" s="14"/>
      <c r="NIH4" s="324"/>
      <c r="NII4" s="329"/>
      <c r="NIJ4" s="1"/>
      <c r="NIK4" s="327"/>
      <c r="NIL4" s="14"/>
      <c r="NIO4" s="324"/>
      <c r="NIP4" s="329"/>
      <c r="NIQ4" s="1"/>
      <c r="NIR4" s="327"/>
      <c r="NIS4" s="14"/>
      <c r="NIV4" s="324"/>
      <c r="NIW4" s="329"/>
      <c r="NIX4" s="1"/>
      <c r="NIY4" s="327"/>
      <c r="NIZ4" s="14"/>
      <c r="NJC4" s="324"/>
      <c r="NJD4" s="329"/>
      <c r="NJE4" s="1"/>
      <c r="NJF4" s="327"/>
      <c r="NJG4" s="14"/>
      <c r="NJJ4" s="324"/>
      <c r="NJK4" s="329"/>
      <c r="NJL4" s="1"/>
      <c r="NJM4" s="327"/>
      <c r="NJN4" s="14"/>
      <c r="NJQ4" s="324"/>
      <c r="NJR4" s="329"/>
      <c r="NJS4" s="1"/>
      <c r="NJT4" s="327"/>
      <c r="NJU4" s="14"/>
      <c r="NJX4" s="324"/>
      <c r="NJY4" s="329"/>
      <c r="NJZ4" s="1"/>
      <c r="NKA4" s="327"/>
      <c r="NKB4" s="14"/>
      <c r="NKE4" s="324"/>
      <c r="NKF4" s="329"/>
      <c r="NKG4" s="1"/>
      <c r="NKH4" s="327"/>
      <c r="NKI4" s="14"/>
      <c r="NKL4" s="324"/>
      <c r="NKM4" s="329"/>
      <c r="NKN4" s="1"/>
      <c r="NKO4" s="327"/>
      <c r="NKP4" s="14"/>
      <c r="NKS4" s="324"/>
      <c r="NKT4" s="329"/>
      <c r="NKU4" s="1"/>
      <c r="NKV4" s="327"/>
      <c r="NKW4" s="14"/>
      <c r="NKZ4" s="324"/>
      <c r="NLA4" s="329"/>
      <c r="NLB4" s="1"/>
      <c r="NLC4" s="327"/>
      <c r="NLD4" s="14"/>
      <c r="NLG4" s="324"/>
      <c r="NLH4" s="329"/>
      <c r="NLI4" s="1"/>
      <c r="NLJ4" s="327"/>
      <c r="NLK4" s="14"/>
      <c r="NLN4" s="324"/>
      <c r="NLO4" s="329"/>
      <c r="NLP4" s="1"/>
      <c r="NLQ4" s="327"/>
      <c r="NLR4" s="14"/>
      <c r="NLU4" s="324"/>
      <c r="NLV4" s="329"/>
      <c r="NLW4" s="1"/>
      <c r="NLX4" s="327"/>
      <c r="NLY4" s="14"/>
      <c r="NMB4" s="324"/>
      <c r="NMC4" s="329"/>
      <c r="NMD4" s="1"/>
      <c r="NME4" s="327"/>
      <c r="NMF4" s="14"/>
      <c r="NMI4" s="324"/>
      <c r="NMJ4" s="329"/>
      <c r="NMK4" s="1"/>
      <c r="NML4" s="327"/>
      <c r="NMM4" s="14"/>
      <c r="NMP4" s="324"/>
      <c r="NMQ4" s="329"/>
      <c r="NMR4" s="1"/>
      <c r="NMS4" s="327"/>
      <c r="NMT4" s="14"/>
      <c r="NMW4" s="324"/>
      <c r="NMX4" s="329"/>
      <c r="NMY4" s="1"/>
      <c r="NMZ4" s="327"/>
      <c r="NNA4" s="14"/>
      <c r="NND4" s="324"/>
      <c r="NNE4" s="329"/>
      <c r="NNF4" s="1"/>
      <c r="NNG4" s="327"/>
      <c r="NNH4" s="14"/>
      <c r="NNK4" s="324"/>
      <c r="NNL4" s="329"/>
      <c r="NNM4" s="1"/>
      <c r="NNN4" s="327"/>
      <c r="NNO4" s="14"/>
      <c r="NNR4" s="324"/>
      <c r="NNS4" s="329"/>
      <c r="NNT4" s="1"/>
      <c r="NNU4" s="327"/>
      <c r="NNV4" s="14"/>
      <c r="NNY4" s="324"/>
      <c r="NNZ4" s="329"/>
      <c r="NOA4" s="1"/>
      <c r="NOB4" s="327"/>
      <c r="NOC4" s="14"/>
      <c r="NOF4" s="324"/>
      <c r="NOG4" s="329"/>
      <c r="NOH4" s="1"/>
      <c r="NOI4" s="327"/>
      <c r="NOJ4" s="14"/>
      <c r="NOM4" s="324"/>
      <c r="NON4" s="329"/>
      <c r="NOO4" s="1"/>
      <c r="NOP4" s="327"/>
      <c r="NOQ4" s="14"/>
      <c r="NOT4" s="324"/>
      <c r="NOU4" s="329"/>
      <c r="NOV4" s="1"/>
      <c r="NOW4" s="327"/>
      <c r="NOX4" s="14"/>
      <c r="NPA4" s="324"/>
      <c r="NPB4" s="329"/>
      <c r="NPC4" s="1"/>
      <c r="NPD4" s="327"/>
      <c r="NPE4" s="14"/>
      <c r="NPH4" s="324"/>
      <c r="NPI4" s="329"/>
      <c r="NPJ4" s="1"/>
      <c r="NPK4" s="327"/>
      <c r="NPL4" s="14"/>
      <c r="NPO4" s="324"/>
      <c r="NPP4" s="329"/>
      <c r="NPQ4" s="1"/>
      <c r="NPR4" s="327"/>
      <c r="NPS4" s="14"/>
      <c r="NPV4" s="324"/>
      <c r="NPW4" s="329"/>
      <c r="NPX4" s="1"/>
      <c r="NPY4" s="327"/>
      <c r="NPZ4" s="14"/>
      <c r="NQC4" s="324"/>
      <c r="NQD4" s="329"/>
      <c r="NQE4" s="1"/>
      <c r="NQF4" s="327"/>
      <c r="NQG4" s="14"/>
      <c r="NQJ4" s="324"/>
      <c r="NQK4" s="329"/>
      <c r="NQL4" s="1"/>
      <c r="NQM4" s="327"/>
      <c r="NQN4" s="14"/>
      <c r="NQQ4" s="324"/>
      <c r="NQR4" s="329"/>
      <c r="NQS4" s="1"/>
      <c r="NQT4" s="327"/>
      <c r="NQU4" s="14"/>
      <c r="NQX4" s="324"/>
      <c r="NQY4" s="329"/>
      <c r="NQZ4" s="1"/>
      <c r="NRA4" s="327"/>
      <c r="NRB4" s="14"/>
      <c r="NRE4" s="324"/>
      <c r="NRF4" s="329"/>
      <c r="NRG4" s="1"/>
      <c r="NRH4" s="327"/>
      <c r="NRI4" s="14"/>
      <c r="NRL4" s="324"/>
      <c r="NRM4" s="329"/>
      <c r="NRN4" s="1"/>
      <c r="NRO4" s="327"/>
      <c r="NRP4" s="14"/>
      <c r="NRS4" s="324"/>
      <c r="NRT4" s="329"/>
      <c r="NRU4" s="1"/>
      <c r="NRV4" s="327"/>
      <c r="NRW4" s="14"/>
      <c r="NRZ4" s="324"/>
      <c r="NSA4" s="329"/>
      <c r="NSB4" s="1"/>
      <c r="NSC4" s="327"/>
      <c r="NSD4" s="14"/>
      <c r="NSG4" s="324"/>
      <c r="NSH4" s="329"/>
      <c r="NSI4" s="1"/>
      <c r="NSJ4" s="327"/>
      <c r="NSK4" s="14"/>
      <c r="NSN4" s="324"/>
      <c r="NSO4" s="329"/>
      <c r="NSP4" s="1"/>
      <c r="NSQ4" s="327"/>
      <c r="NSR4" s="14"/>
      <c r="NSU4" s="324"/>
      <c r="NSV4" s="329"/>
      <c r="NSW4" s="1"/>
      <c r="NSX4" s="327"/>
      <c r="NSY4" s="14"/>
      <c r="NTB4" s="324"/>
      <c r="NTC4" s="329"/>
      <c r="NTD4" s="1"/>
      <c r="NTE4" s="327"/>
      <c r="NTF4" s="14"/>
      <c r="NTI4" s="324"/>
      <c r="NTJ4" s="329"/>
      <c r="NTK4" s="1"/>
      <c r="NTL4" s="327"/>
      <c r="NTM4" s="14"/>
      <c r="NTP4" s="324"/>
      <c r="NTQ4" s="329"/>
      <c r="NTR4" s="1"/>
      <c r="NTS4" s="327"/>
      <c r="NTT4" s="14"/>
      <c r="NTW4" s="324"/>
      <c r="NTX4" s="329"/>
      <c r="NTY4" s="1"/>
      <c r="NTZ4" s="327"/>
      <c r="NUA4" s="14"/>
      <c r="NUD4" s="324"/>
      <c r="NUE4" s="329"/>
      <c r="NUF4" s="1"/>
      <c r="NUG4" s="327"/>
      <c r="NUH4" s="14"/>
      <c r="NUK4" s="324"/>
      <c r="NUL4" s="329"/>
      <c r="NUM4" s="1"/>
      <c r="NUN4" s="327"/>
      <c r="NUO4" s="14"/>
      <c r="NUR4" s="324"/>
      <c r="NUS4" s="329"/>
      <c r="NUT4" s="1"/>
      <c r="NUU4" s="327"/>
      <c r="NUV4" s="14"/>
      <c r="NUY4" s="324"/>
      <c r="NUZ4" s="329"/>
      <c r="NVA4" s="1"/>
      <c r="NVB4" s="327"/>
      <c r="NVC4" s="14"/>
      <c r="NVF4" s="324"/>
      <c r="NVG4" s="329"/>
      <c r="NVH4" s="1"/>
      <c r="NVI4" s="327"/>
      <c r="NVJ4" s="14"/>
      <c r="NVM4" s="324"/>
      <c r="NVN4" s="329"/>
      <c r="NVO4" s="1"/>
      <c r="NVP4" s="327"/>
      <c r="NVQ4" s="14"/>
      <c r="NVT4" s="324"/>
      <c r="NVU4" s="329"/>
      <c r="NVV4" s="1"/>
      <c r="NVW4" s="327"/>
      <c r="NVX4" s="14"/>
      <c r="NWA4" s="324"/>
      <c r="NWB4" s="329"/>
      <c r="NWC4" s="1"/>
      <c r="NWD4" s="327"/>
      <c r="NWE4" s="14"/>
      <c r="NWH4" s="324"/>
      <c r="NWI4" s="329"/>
      <c r="NWJ4" s="1"/>
      <c r="NWK4" s="327"/>
      <c r="NWL4" s="14"/>
      <c r="NWO4" s="324"/>
      <c r="NWP4" s="329"/>
      <c r="NWQ4" s="1"/>
      <c r="NWR4" s="327"/>
      <c r="NWS4" s="14"/>
      <c r="NWV4" s="324"/>
      <c r="NWW4" s="329"/>
      <c r="NWX4" s="1"/>
      <c r="NWY4" s="327"/>
      <c r="NWZ4" s="14"/>
      <c r="NXC4" s="324"/>
      <c r="NXD4" s="329"/>
      <c r="NXE4" s="1"/>
      <c r="NXF4" s="327"/>
      <c r="NXG4" s="14"/>
      <c r="NXJ4" s="324"/>
      <c r="NXK4" s="329"/>
      <c r="NXL4" s="1"/>
      <c r="NXM4" s="327"/>
      <c r="NXN4" s="14"/>
      <c r="NXQ4" s="324"/>
      <c r="NXR4" s="329"/>
      <c r="NXS4" s="1"/>
      <c r="NXT4" s="327"/>
      <c r="NXU4" s="14"/>
      <c r="NXX4" s="324"/>
      <c r="NXY4" s="329"/>
      <c r="NXZ4" s="1"/>
      <c r="NYA4" s="327"/>
      <c r="NYB4" s="14"/>
      <c r="NYE4" s="324"/>
      <c r="NYF4" s="329"/>
      <c r="NYG4" s="1"/>
      <c r="NYH4" s="327"/>
      <c r="NYI4" s="14"/>
      <c r="NYL4" s="324"/>
      <c r="NYM4" s="329"/>
      <c r="NYN4" s="1"/>
      <c r="NYO4" s="327"/>
      <c r="NYP4" s="14"/>
      <c r="NYS4" s="324"/>
      <c r="NYT4" s="329"/>
      <c r="NYU4" s="1"/>
      <c r="NYV4" s="327"/>
      <c r="NYW4" s="14"/>
      <c r="NYZ4" s="324"/>
      <c r="NZA4" s="329"/>
      <c r="NZB4" s="1"/>
      <c r="NZC4" s="327"/>
      <c r="NZD4" s="14"/>
      <c r="NZG4" s="324"/>
      <c r="NZH4" s="329"/>
      <c r="NZI4" s="1"/>
      <c r="NZJ4" s="327"/>
      <c r="NZK4" s="14"/>
      <c r="NZN4" s="324"/>
      <c r="NZO4" s="329"/>
      <c r="NZP4" s="1"/>
      <c r="NZQ4" s="327"/>
      <c r="NZR4" s="14"/>
      <c r="NZU4" s="324"/>
      <c r="NZV4" s="329"/>
      <c r="NZW4" s="1"/>
      <c r="NZX4" s="327"/>
      <c r="NZY4" s="14"/>
      <c r="OAB4" s="324"/>
      <c r="OAC4" s="329"/>
      <c r="OAD4" s="1"/>
      <c r="OAE4" s="327"/>
      <c r="OAF4" s="14"/>
      <c r="OAI4" s="324"/>
      <c r="OAJ4" s="329"/>
      <c r="OAK4" s="1"/>
      <c r="OAL4" s="327"/>
      <c r="OAM4" s="14"/>
      <c r="OAP4" s="324"/>
      <c r="OAQ4" s="329"/>
      <c r="OAR4" s="1"/>
      <c r="OAS4" s="327"/>
      <c r="OAT4" s="14"/>
      <c r="OAW4" s="324"/>
      <c r="OAX4" s="329"/>
      <c r="OAY4" s="1"/>
      <c r="OAZ4" s="327"/>
      <c r="OBA4" s="14"/>
      <c r="OBD4" s="324"/>
      <c r="OBE4" s="329"/>
      <c r="OBF4" s="1"/>
      <c r="OBG4" s="327"/>
      <c r="OBH4" s="14"/>
      <c r="OBK4" s="324"/>
      <c r="OBL4" s="329"/>
      <c r="OBM4" s="1"/>
      <c r="OBN4" s="327"/>
      <c r="OBO4" s="14"/>
      <c r="OBR4" s="324"/>
      <c r="OBS4" s="329"/>
      <c r="OBT4" s="1"/>
      <c r="OBU4" s="327"/>
      <c r="OBV4" s="14"/>
      <c r="OBY4" s="324"/>
      <c r="OBZ4" s="329"/>
      <c r="OCA4" s="1"/>
      <c r="OCB4" s="327"/>
      <c r="OCC4" s="14"/>
      <c r="OCF4" s="324"/>
      <c r="OCG4" s="329"/>
      <c r="OCH4" s="1"/>
      <c r="OCI4" s="327"/>
      <c r="OCJ4" s="14"/>
      <c r="OCM4" s="324"/>
      <c r="OCN4" s="329"/>
      <c r="OCO4" s="1"/>
      <c r="OCP4" s="327"/>
      <c r="OCQ4" s="14"/>
      <c r="OCT4" s="324"/>
      <c r="OCU4" s="329"/>
      <c r="OCV4" s="1"/>
      <c r="OCW4" s="327"/>
      <c r="OCX4" s="14"/>
      <c r="ODA4" s="324"/>
      <c r="ODB4" s="329"/>
      <c r="ODC4" s="1"/>
      <c r="ODD4" s="327"/>
      <c r="ODE4" s="14"/>
      <c r="ODH4" s="324"/>
      <c r="ODI4" s="329"/>
      <c r="ODJ4" s="1"/>
      <c r="ODK4" s="327"/>
      <c r="ODL4" s="14"/>
      <c r="ODO4" s="324"/>
      <c r="ODP4" s="329"/>
      <c r="ODQ4" s="1"/>
      <c r="ODR4" s="327"/>
      <c r="ODS4" s="14"/>
      <c r="ODV4" s="324"/>
      <c r="ODW4" s="329"/>
      <c r="ODX4" s="1"/>
      <c r="ODY4" s="327"/>
      <c r="ODZ4" s="14"/>
      <c r="OEC4" s="324"/>
      <c r="OED4" s="329"/>
      <c r="OEE4" s="1"/>
      <c r="OEF4" s="327"/>
      <c r="OEG4" s="14"/>
      <c r="OEJ4" s="324"/>
      <c r="OEK4" s="329"/>
      <c r="OEL4" s="1"/>
      <c r="OEM4" s="327"/>
      <c r="OEN4" s="14"/>
      <c r="OEQ4" s="324"/>
      <c r="OER4" s="329"/>
      <c r="OES4" s="1"/>
      <c r="OET4" s="327"/>
      <c r="OEU4" s="14"/>
      <c r="OEX4" s="324"/>
      <c r="OEY4" s="329"/>
      <c r="OEZ4" s="1"/>
      <c r="OFA4" s="327"/>
      <c r="OFB4" s="14"/>
      <c r="OFE4" s="324"/>
      <c r="OFF4" s="329"/>
      <c r="OFG4" s="1"/>
      <c r="OFH4" s="327"/>
      <c r="OFI4" s="14"/>
      <c r="OFL4" s="324"/>
      <c r="OFM4" s="329"/>
      <c r="OFN4" s="1"/>
      <c r="OFO4" s="327"/>
      <c r="OFP4" s="14"/>
      <c r="OFS4" s="324"/>
      <c r="OFT4" s="329"/>
      <c r="OFU4" s="1"/>
      <c r="OFV4" s="327"/>
      <c r="OFW4" s="14"/>
      <c r="OFZ4" s="324"/>
      <c r="OGA4" s="329"/>
      <c r="OGB4" s="1"/>
      <c r="OGC4" s="327"/>
      <c r="OGD4" s="14"/>
      <c r="OGG4" s="324"/>
      <c r="OGH4" s="329"/>
      <c r="OGI4" s="1"/>
      <c r="OGJ4" s="327"/>
      <c r="OGK4" s="14"/>
      <c r="OGN4" s="324"/>
      <c r="OGO4" s="329"/>
      <c r="OGP4" s="1"/>
      <c r="OGQ4" s="327"/>
      <c r="OGR4" s="14"/>
      <c r="OGU4" s="324"/>
      <c r="OGV4" s="329"/>
      <c r="OGW4" s="1"/>
      <c r="OGX4" s="327"/>
      <c r="OGY4" s="14"/>
      <c r="OHB4" s="324"/>
      <c r="OHC4" s="329"/>
      <c r="OHD4" s="1"/>
      <c r="OHE4" s="327"/>
      <c r="OHF4" s="14"/>
      <c r="OHI4" s="324"/>
      <c r="OHJ4" s="329"/>
      <c r="OHK4" s="1"/>
      <c r="OHL4" s="327"/>
      <c r="OHM4" s="14"/>
      <c r="OHP4" s="324"/>
      <c r="OHQ4" s="329"/>
      <c r="OHR4" s="1"/>
      <c r="OHS4" s="327"/>
      <c r="OHT4" s="14"/>
      <c r="OHW4" s="324"/>
      <c r="OHX4" s="329"/>
      <c r="OHY4" s="1"/>
      <c r="OHZ4" s="327"/>
      <c r="OIA4" s="14"/>
      <c r="OID4" s="324"/>
      <c r="OIE4" s="329"/>
      <c r="OIF4" s="1"/>
      <c r="OIG4" s="327"/>
      <c r="OIH4" s="14"/>
      <c r="OIK4" s="324"/>
      <c r="OIL4" s="329"/>
      <c r="OIM4" s="1"/>
      <c r="OIN4" s="327"/>
      <c r="OIO4" s="14"/>
      <c r="OIR4" s="324"/>
      <c r="OIS4" s="329"/>
      <c r="OIT4" s="1"/>
      <c r="OIU4" s="327"/>
      <c r="OIV4" s="14"/>
      <c r="OIY4" s="324"/>
      <c r="OIZ4" s="329"/>
      <c r="OJA4" s="1"/>
      <c r="OJB4" s="327"/>
      <c r="OJC4" s="14"/>
      <c r="OJF4" s="324"/>
      <c r="OJG4" s="329"/>
      <c r="OJH4" s="1"/>
      <c r="OJI4" s="327"/>
      <c r="OJJ4" s="14"/>
      <c r="OJM4" s="324"/>
      <c r="OJN4" s="329"/>
      <c r="OJO4" s="1"/>
      <c r="OJP4" s="327"/>
      <c r="OJQ4" s="14"/>
      <c r="OJT4" s="324"/>
      <c r="OJU4" s="329"/>
      <c r="OJV4" s="1"/>
      <c r="OJW4" s="327"/>
      <c r="OJX4" s="14"/>
      <c r="OKA4" s="324"/>
      <c r="OKB4" s="329"/>
      <c r="OKC4" s="1"/>
      <c r="OKD4" s="327"/>
      <c r="OKE4" s="14"/>
      <c r="OKH4" s="324"/>
      <c r="OKI4" s="329"/>
      <c r="OKJ4" s="1"/>
      <c r="OKK4" s="327"/>
      <c r="OKL4" s="14"/>
      <c r="OKO4" s="324"/>
      <c r="OKP4" s="329"/>
      <c r="OKQ4" s="1"/>
      <c r="OKR4" s="327"/>
      <c r="OKS4" s="14"/>
      <c r="OKV4" s="324"/>
      <c r="OKW4" s="329"/>
      <c r="OKX4" s="1"/>
      <c r="OKY4" s="327"/>
      <c r="OKZ4" s="14"/>
      <c r="OLC4" s="324"/>
      <c r="OLD4" s="329"/>
      <c r="OLE4" s="1"/>
      <c r="OLF4" s="327"/>
      <c r="OLG4" s="14"/>
      <c r="OLJ4" s="324"/>
      <c r="OLK4" s="329"/>
      <c r="OLL4" s="1"/>
      <c r="OLM4" s="327"/>
      <c r="OLN4" s="14"/>
      <c r="OLQ4" s="324"/>
      <c r="OLR4" s="329"/>
      <c r="OLS4" s="1"/>
      <c r="OLT4" s="327"/>
      <c r="OLU4" s="14"/>
      <c r="OLX4" s="324"/>
      <c r="OLY4" s="329"/>
      <c r="OLZ4" s="1"/>
      <c r="OMA4" s="327"/>
      <c r="OMB4" s="14"/>
      <c r="OME4" s="324"/>
      <c r="OMF4" s="329"/>
      <c r="OMG4" s="1"/>
      <c r="OMH4" s="327"/>
      <c r="OMI4" s="14"/>
      <c r="OML4" s="324"/>
      <c r="OMM4" s="329"/>
      <c r="OMN4" s="1"/>
      <c r="OMO4" s="327"/>
      <c r="OMP4" s="14"/>
      <c r="OMS4" s="324"/>
      <c r="OMT4" s="329"/>
      <c r="OMU4" s="1"/>
      <c r="OMV4" s="327"/>
      <c r="OMW4" s="14"/>
      <c r="OMZ4" s="324"/>
      <c r="ONA4" s="329"/>
      <c r="ONB4" s="1"/>
      <c r="ONC4" s="327"/>
      <c r="OND4" s="14"/>
      <c r="ONG4" s="324"/>
      <c r="ONH4" s="329"/>
      <c r="ONI4" s="1"/>
      <c r="ONJ4" s="327"/>
      <c r="ONK4" s="14"/>
      <c r="ONN4" s="324"/>
      <c r="ONO4" s="329"/>
      <c r="ONP4" s="1"/>
      <c r="ONQ4" s="327"/>
      <c r="ONR4" s="14"/>
      <c r="ONU4" s="324"/>
      <c r="ONV4" s="329"/>
      <c r="ONW4" s="1"/>
      <c r="ONX4" s="327"/>
      <c r="ONY4" s="14"/>
      <c r="OOB4" s="324"/>
      <c r="OOC4" s="329"/>
      <c r="OOD4" s="1"/>
      <c r="OOE4" s="327"/>
      <c r="OOF4" s="14"/>
      <c r="OOI4" s="324"/>
      <c r="OOJ4" s="329"/>
      <c r="OOK4" s="1"/>
      <c r="OOL4" s="327"/>
      <c r="OOM4" s="14"/>
      <c r="OOP4" s="324"/>
      <c r="OOQ4" s="329"/>
      <c r="OOR4" s="1"/>
      <c r="OOS4" s="327"/>
      <c r="OOT4" s="14"/>
      <c r="OOW4" s="324"/>
      <c r="OOX4" s="329"/>
      <c r="OOY4" s="1"/>
      <c r="OOZ4" s="327"/>
      <c r="OPA4" s="14"/>
      <c r="OPD4" s="324"/>
      <c r="OPE4" s="329"/>
      <c r="OPF4" s="1"/>
      <c r="OPG4" s="327"/>
      <c r="OPH4" s="14"/>
      <c r="OPK4" s="324"/>
      <c r="OPL4" s="329"/>
      <c r="OPM4" s="1"/>
      <c r="OPN4" s="327"/>
      <c r="OPO4" s="14"/>
      <c r="OPR4" s="324"/>
      <c r="OPS4" s="329"/>
      <c r="OPT4" s="1"/>
      <c r="OPU4" s="327"/>
      <c r="OPV4" s="14"/>
      <c r="OPY4" s="324"/>
      <c r="OPZ4" s="329"/>
      <c r="OQA4" s="1"/>
      <c r="OQB4" s="327"/>
      <c r="OQC4" s="14"/>
      <c r="OQF4" s="324"/>
      <c r="OQG4" s="329"/>
      <c r="OQH4" s="1"/>
      <c r="OQI4" s="327"/>
      <c r="OQJ4" s="14"/>
      <c r="OQM4" s="324"/>
      <c r="OQN4" s="329"/>
      <c r="OQO4" s="1"/>
      <c r="OQP4" s="327"/>
      <c r="OQQ4" s="14"/>
      <c r="OQT4" s="324"/>
      <c r="OQU4" s="329"/>
      <c r="OQV4" s="1"/>
      <c r="OQW4" s="327"/>
      <c r="OQX4" s="14"/>
      <c r="ORA4" s="324"/>
      <c r="ORB4" s="329"/>
      <c r="ORC4" s="1"/>
      <c r="ORD4" s="327"/>
      <c r="ORE4" s="14"/>
      <c r="ORH4" s="324"/>
      <c r="ORI4" s="329"/>
      <c r="ORJ4" s="1"/>
      <c r="ORK4" s="327"/>
      <c r="ORL4" s="14"/>
      <c r="ORO4" s="324"/>
      <c r="ORP4" s="329"/>
      <c r="ORQ4" s="1"/>
      <c r="ORR4" s="327"/>
      <c r="ORS4" s="14"/>
      <c r="ORV4" s="324"/>
      <c r="ORW4" s="329"/>
      <c r="ORX4" s="1"/>
      <c r="ORY4" s="327"/>
      <c r="ORZ4" s="14"/>
      <c r="OSC4" s="324"/>
      <c r="OSD4" s="329"/>
      <c r="OSE4" s="1"/>
      <c r="OSF4" s="327"/>
      <c r="OSG4" s="14"/>
      <c r="OSJ4" s="324"/>
      <c r="OSK4" s="329"/>
      <c r="OSL4" s="1"/>
      <c r="OSM4" s="327"/>
      <c r="OSN4" s="14"/>
      <c r="OSQ4" s="324"/>
      <c r="OSR4" s="329"/>
      <c r="OSS4" s="1"/>
      <c r="OST4" s="327"/>
      <c r="OSU4" s="14"/>
      <c r="OSX4" s="324"/>
      <c r="OSY4" s="329"/>
      <c r="OSZ4" s="1"/>
      <c r="OTA4" s="327"/>
      <c r="OTB4" s="14"/>
      <c r="OTE4" s="324"/>
      <c r="OTF4" s="329"/>
      <c r="OTG4" s="1"/>
      <c r="OTH4" s="327"/>
      <c r="OTI4" s="14"/>
      <c r="OTL4" s="324"/>
      <c r="OTM4" s="329"/>
      <c r="OTN4" s="1"/>
      <c r="OTO4" s="327"/>
      <c r="OTP4" s="14"/>
      <c r="OTS4" s="324"/>
      <c r="OTT4" s="329"/>
      <c r="OTU4" s="1"/>
      <c r="OTV4" s="327"/>
      <c r="OTW4" s="14"/>
      <c r="OTZ4" s="324"/>
      <c r="OUA4" s="329"/>
      <c r="OUB4" s="1"/>
      <c r="OUC4" s="327"/>
      <c r="OUD4" s="14"/>
      <c r="OUG4" s="324"/>
      <c r="OUH4" s="329"/>
      <c r="OUI4" s="1"/>
      <c r="OUJ4" s="327"/>
      <c r="OUK4" s="14"/>
      <c r="OUN4" s="324"/>
      <c r="OUO4" s="329"/>
      <c r="OUP4" s="1"/>
      <c r="OUQ4" s="327"/>
      <c r="OUR4" s="14"/>
      <c r="OUU4" s="324"/>
      <c r="OUV4" s="329"/>
      <c r="OUW4" s="1"/>
      <c r="OUX4" s="327"/>
      <c r="OUY4" s="14"/>
      <c r="OVB4" s="324"/>
      <c r="OVC4" s="329"/>
      <c r="OVD4" s="1"/>
      <c r="OVE4" s="327"/>
      <c r="OVF4" s="14"/>
      <c r="OVI4" s="324"/>
      <c r="OVJ4" s="329"/>
      <c r="OVK4" s="1"/>
      <c r="OVL4" s="327"/>
      <c r="OVM4" s="14"/>
      <c r="OVP4" s="324"/>
      <c r="OVQ4" s="329"/>
      <c r="OVR4" s="1"/>
      <c r="OVS4" s="327"/>
      <c r="OVT4" s="14"/>
      <c r="OVW4" s="324"/>
      <c r="OVX4" s="329"/>
      <c r="OVY4" s="1"/>
      <c r="OVZ4" s="327"/>
      <c r="OWA4" s="14"/>
      <c r="OWD4" s="324"/>
      <c r="OWE4" s="329"/>
      <c r="OWF4" s="1"/>
      <c r="OWG4" s="327"/>
      <c r="OWH4" s="14"/>
      <c r="OWK4" s="324"/>
      <c r="OWL4" s="329"/>
      <c r="OWM4" s="1"/>
      <c r="OWN4" s="327"/>
      <c r="OWO4" s="14"/>
      <c r="OWR4" s="324"/>
      <c r="OWS4" s="329"/>
      <c r="OWT4" s="1"/>
      <c r="OWU4" s="327"/>
      <c r="OWV4" s="14"/>
      <c r="OWY4" s="324"/>
      <c r="OWZ4" s="329"/>
      <c r="OXA4" s="1"/>
      <c r="OXB4" s="327"/>
      <c r="OXC4" s="14"/>
      <c r="OXF4" s="324"/>
      <c r="OXG4" s="329"/>
      <c r="OXH4" s="1"/>
      <c r="OXI4" s="327"/>
      <c r="OXJ4" s="14"/>
      <c r="OXM4" s="324"/>
      <c r="OXN4" s="329"/>
      <c r="OXO4" s="1"/>
      <c r="OXP4" s="327"/>
      <c r="OXQ4" s="14"/>
      <c r="OXT4" s="324"/>
      <c r="OXU4" s="329"/>
      <c r="OXV4" s="1"/>
      <c r="OXW4" s="327"/>
      <c r="OXX4" s="14"/>
      <c r="OYA4" s="324"/>
      <c r="OYB4" s="329"/>
      <c r="OYC4" s="1"/>
      <c r="OYD4" s="327"/>
      <c r="OYE4" s="14"/>
      <c r="OYH4" s="324"/>
      <c r="OYI4" s="329"/>
      <c r="OYJ4" s="1"/>
      <c r="OYK4" s="327"/>
      <c r="OYL4" s="14"/>
      <c r="OYO4" s="324"/>
      <c r="OYP4" s="329"/>
      <c r="OYQ4" s="1"/>
      <c r="OYR4" s="327"/>
      <c r="OYS4" s="14"/>
      <c r="OYV4" s="324"/>
      <c r="OYW4" s="329"/>
      <c r="OYX4" s="1"/>
      <c r="OYY4" s="327"/>
      <c r="OYZ4" s="14"/>
      <c r="OZC4" s="324"/>
      <c r="OZD4" s="329"/>
      <c r="OZE4" s="1"/>
      <c r="OZF4" s="327"/>
      <c r="OZG4" s="14"/>
      <c r="OZJ4" s="324"/>
      <c r="OZK4" s="329"/>
      <c r="OZL4" s="1"/>
      <c r="OZM4" s="327"/>
      <c r="OZN4" s="14"/>
      <c r="OZQ4" s="324"/>
      <c r="OZR4" s="329"/>
      <c r="OZS4" s="1"/>
      <c r="OZT4" s="327"/>
      <c r="OZU4" s="14"/>
      <c r="OZX4" s="324"/>
      <c r="OZY4" s="329"/>
      <c r="OZZ4" s="1"/>
      <c r="PAA4" s="327"/>
      <c r="PAB4" s="14"/>
      <c r="PAE4" s="324"/>
      <c r="PAF4" s="329"/>
      <c r="PAG4" s="1"/>
      <c r="PAH4" s="327"/>
      <c r="PAI4" s="14"/>
      <c r="PAL4" s="324"/>
      <c r="PAM4" s="329"/>
      <c r="PAN4" s="1"/>
      <c r="PAO4" s="327"/>
      <c r="PAP4" s="14"/>
      <c r="PAS4" s="324"/>
      <c r="PAT4" s="329"/>
      <c r="PAU4" s="1"/>
      <c r="PAV4" s="327"/>
      <c r="PAW4" s="14"/>
      <c r="PAZ4" s="324"/>
      <c r="PBA4" s="329"/>
      <c r="PBB4" s="1"/>
      <c r="PBC4" s="327"/>
      <c r="PBD4" s="14"/>
      <c r="PBG4" s="324"/>
      <c r="PBH4" s="329"/>
      <c r="PBI4" s="1"/>
      <c r="PBJ4" s="327"/>
      <c r="PBK4" s="14"/>
      <c r="PBN4" s="324"/>
      <c r="PBO4" s="329"/>
      <c r="PBP4" s="1"/>
      <c r="PBQ4" s="327"/>
      <c r="PBR4" s="14"/>
      <c r="PBU4" s="324"/>
      <c r="PBV4" s="329"/>
      <c r="PBW4" s="1"/>
      <c r="PBX4" s="327"/>
      <c r="PBY4" s="14"/>
      <c r="PCB4" s="324"/>
      <c r="PCC4" s="329"/>
      <c r="PCD4" s="1"/>
      <c r="PCE4" s="327"/>
      <c r="PCF4" s="14"/>
      <c r="PCI4" s="324"/>
      <c r="PCJ4" s="329"/>
      <c r="PCK4" s="1"/>
      <c r="PCL4" s="327"/>
      <c r="PCM4" s="14"/>
      <c r="PCP4" s="324"/>
      <c r="PCQ4" s="329"/>
      <c r="PCR4" s="1"/>
      <c r="PCS4" s="327"/>
      <c r="PCT4" s="14"/>
      <c r="PCW4" s="324"/>
      <c r="PCX4" s="329"/>
      <c r="PCY4" s="1"/>
      <c r="PCZ4" s="327"/>
      <c r="PDA4" s="14"/>
      <c r="PDD4" s="324"/>
      <c r="PDE4" s="329"/>
      <c r="PDF4" s="1"/>
      <c r="PDG4" s="327"/>
      <c r="PDH4" s="14"/>
      <c r="PDK4" s="324"/>
      <c r="PDL4" s="329"/>
      <c r="PDM4" s="1"/>
      <c r="PDN4" s="327"/>
      <c r="PDO4" s="14"/>
      <c r="PDR4" s="324"/>
      <c r="PDS4" s="329"/>
      <c r="PDT4" s="1"/>
      <c r="PDU4" s="327"/>
      <c r="PDV4" s="14"/>
      <c r="PDY4" s="324"/>
      <c r="PDZ4" s="329"/>
      <c r="PEA4" s="1"/>
      <c r="PEB4" s="327"/>
      <c r="PEC4" s="14"/>
      <c r="PEF4" s="324"/>
      <c r="PEG4" s="329"/>
      <c r="PEH4" s="1"/>
      <c r="PEI4" s="327"/>
      <c r="PEJ4" s="14"/>
      <c r="PEM4" s="324"/>
      <c r="PEN4" s="329"/>
      <c r="PEO4" s="1"/>
      <c r="PEP4" s="327"/>
      <c r="PEQ4" s="14"/>
      <c r="PET4" s="324"/>
      <c r="PEU4" s="329"/>
      <c r="PEV4" s="1"/>
      <c r="PEW4" s="327"/>
      <c r="PEX4" s="14"/>
      <c r="PFA4" s="324"/>
      <c r="PFB4" s="329"/>
      <c r="PFC4" s="1"/>
      <c r="PFD4" s="327"/>
      <c r="PFE4" s="14"/>
      <c r="PFH4" s="324"/>
      <c r="PFI4" s="329"/>
      <c r="PFJ4" s="1"/>
      <c r="PFK4" s="327"/>
      <c r="PFL4" s="14"/>
      <c r="PFO4" s="324"/>
      <c r="PFP4" s="329"/>
      <c r="PFQ4" s="1"/>
      <c r="PFR4" s="327"/>
      <c r="PFS4" s="14"/>
      <c r="PFV4" s="324"/>
      <c r="PFW4" s="329"/>
      <c r="PFX4" s="1"/>
      <c r="PFY4" s="327"/>
      <c r="PFZ4" s="14"/>
      <c r="PGC4" s="324"/>
      <c r="PGD4" s="329"/>
      <c r="PGE4" s="1"/>
      <c r="PGF4" s="327"/>
      <c r="PGG4" s="14"/>
      <c r="PGJ4" s="324"/>
      <c r="PGK4" s="329"/>
      <c r="PGL4" s="1"/>
      <c r="PGM4" s="327"/>
      <c r="PGN4" s="14"/>
      <c r="PGQ4" s="324"/>
      <c r="PGR4" s="329"/>
      <c r="PGS4" s="1"/>
      <c r="PGT4" s="327"/>
      <c r="PGU4" s="14"/>
      <c r="PGX4" s="324"/>
      <c r="PGY4" s="329"/>
      <c r="PGZ4" s="1"/>
      <c r="PHA4" s="327"/>
      <c r="PHB4" s="14"/>
      <c r="PHE4" s="324"/>
      <c r="PHF4" s="329"/>
      <c r="PHG4" s="1"/>
      <c r="PHH4" s="327"/>
      <c r="PHI4" s="14"/>
      <c r="PHL4" s="324"/>
      <c r="PHM4" s="329"/>
      <c r="PHN4" s="1"/>
      <c r="PHO4" s="327"/>
      <c r="PHP4" s="14"/>
      <c r="PHS4" s="324"/>
      <c r="PHT4" s="329"/>
      <c r="PHU4" s="1"/>
      <c r="PHV4" s="327"/>
      <c r="PHW4" s="14"/>
      <c r="PHZ4" s="324"/>
      <c r="PIA4" s="329"/>
      <c r="PIB4" s="1"/>
      <c r="PIC4" s="327"/>
      <c r="PID4" s="14"/>
      <c r="PIG4" s="324"/>
      <c r="PIH4" s="329"/>
      <c r="PII4" s="1"/>
      <c r="PIJ4" s="327"/>
      <c r="PIK4" s="14"/>
      <c r="PIN4" s="324"/>
      <c r="PIO4" s="329"/>
      <c r="PIP4" s="1"/>
      <c r="PIQ4" s="327"/>
      <c r="PIR4" s="14"/>
      <c r="PIU4" s="324"/>
      <c r="PIV4" s="329"/>
      <c r="PIW4" s="1"/>
      <c r="PIX4" s="327"/>
      <c r="PIY4" s="14"/>
      <c r="PJB4" s="324"/>
      <c r="PJC4" s="329"/>
      <c r="PJD4" s="1"/>
      <c r="PJE4" s="327"/>
      <c r="PJF4" s="14"/>
      <c r="PJI4" s="324"/>
      <c r="PJJ4" s="329"/>
      <c r="PJK4" s="1"/>
      <c r="PJL4" s="327"/>
      <c r="PJM4" s="14"/>
      <c r="PJP4" s="324"/>
      <c r="PJQ4" s="329"/>
      <c r="PJR4" s="1"/>
      <c r="PJS4" s="327"/>
      <c r="PJT4" s="14"/>
      <c r="PJW4" s="324"/>
      <c r="PJX4" s="329"/>
      <c r="PJY4" s="1"/>
      <c r="PJZ4" s="327"/>
      <c r="PKA4" s="14"/>
      <c r="PKD4" s="324"/>
      <c r="PKE4" s="329"/>
      <c r="PKF4" s="1"/>
      <c r="PKG4" s="327"/>
      <c r="PKH4" s="14"/>
      <c r="PKK4" s="324"/>
      <c r="PKL4" s="329"/>
      <c r="PKM4" s="1"/>
      <c r="PKN4" s="327"/>
      <c r="PKO4" s="14"/>
      <c r="PKR4" s="324"/>
      <c r="PKS4" s="329"/>
      <c r="PKT4" s="1"/>
      <c r="PKU4" s="327"/>
      <c r="PKV4" s="14"/>
      <c r="PKY4" s="324"/>
      <c r="PKZ4" s="329"/>
      <c r="PLA4" s="1"/>
      <c r="PLB4" s="327"/>
      <c r="PLC4" s="14"/>
      <c r="PLF4" s="324"/>
      <c r="PLG4" s="329"/>
      <c r="PLH4" s="1"/>
      <c r="PLI4" s="327"/>
      <c r="PLJ4" s="14"/>
      <c r="PLM4" s="324"/>
      <c r="PLN4" s="329"/>
      <c r="PLO4" s="1"/>
      <c r="PLP4" s="327"/>
      <c r="PLQ4" s="14"/>
      <c r="PLT4" s="324"/>
      <c r="PLU4" s="329"/>
      <c r="PLV4" s="1"/>
      <c r="PLW4" s="327"/>
      <c r="PLX4" s="14"/>
      <c r="PMA4" s="324"/>
      <c r="PMB4" s="329"/>
      <c r="PMC4" s="1"/>
      <c r="PMD4" s="327"/>
      <c r="PME4" s="14"/>
      <c r="PMH4" s="324"/>
      <c r="PMI4" s="329"/>
      <c r="PMJ4" s="1"/>
      <c r="PMK4" s="327"/>
      <c r="PML4" s="14"/>
      <c r="PMO4" s="324"/>
      <c r="PMP4" s="329"/>
      <c r="PMQ4" s="1"/>
      <c r="PMR4" s="327"/>
      <c r="PMS4" s="14"/>
      <c r="PMV4" s="324"/>
      <c r="PMW4" s="329"/>
      <c r="PMX4" s="1"/>
      <c r="PMY4" s="327"/>
      <c r="PMZ4" s="14"/>
      <c r="PNC4" s="324"/>
      <c r="PND4" s="329"/>
      <c r="PNE4" s="1"/>
      <c r="PNF4" s="327"/>
      <c r="PNG4" s="14"/>
      <c r="PNJ4" s="324"/>
      <c r="PNK4" s="329"/>
      <c r="PNL4" s="1"/>
      <c r="PNM4" s="327"/>
      <c r="PNN4" s="14"/>
      <c r="PNQ4" s="324"/>
      <c r="PNR4" s="329"/>
      <c r="PNS4" s="1"/>
      <c r="PNT4" s="327"/>
      <c r="PNU4" s="14"/>
      <c r="PNX4" s="324"/>
      <c r="PNY4" s="329"/>
      <c r="PNZ4" s="1"/>
      <c r="POA4" s="327"/>
      <c r="POB4" s="14"/>
      <c r="POE4" s="324"/>
      <c r="POF4" s="329"/>
      <c r="POG4" s="1"/>
      <c r="POH4" s="327"/>
      <c r="POI4" s="14"/>
      <c r="POL4" s="324"/>
      <c r="POM4" s="329"/>
      <c r="PON4" s="1"/>
      <c r="POO4" s="327"/>
      <c r="POP4" s="14"/>
      <c r="POS4" s="324"/>
      <c r="POT4" s="329"/>
      <c r="POU4" s="1"/>
      <c r="POV4" s="327"/>
      <c r="POW4" s="14"/>
      <c r="POZ4" s="324"/>
      <c r="PPA4" s="329"/>
      <c r="PPB4" s="1"/>
      <c r="PPC4" s="327"/>
      <c r="PPD4" s="14"/>
      <c r="PPG4" s="324"/>
      <c r="PPH4" s="329"/>
      <c r="PPI4" s="1"/>
      <c r="PPJ4" s="327"/>
      <c r="PPK4" s="14"/>
      <c r="PPN4" s="324"/>
      <c r="PPO4" s="329"/>
      <c r="PPP4" s="1"/>
      <c r="PPQ4" s="327"/>
      <c r="PPR4" s="14"/>
      <c r="PPU4" s="324"/>
      <c r="PPV4" s="329"/>
      <c r="PPW4" s="1"/>
      <c r="PPX4" s="327"/>
      <c r="PPY4" s="14"/>
      <c r="PQB4" s="324"/>
      <c r="PQC4" s="329"/>
      <c r="PQD4" s="1"/>
      <c r="PQE4" s="327"/>
      <c r="PQF4" s="14"/>
      <c r="PQI4" s="324"/>
      <c r="PQJ4" s="329"/>
      <c r="PQK4" s="1"/>
      <c r="PQL4" s="327"/>
      <c r="PQM4" s="14"/>
      <c r="PQP4" s="324"/>
      <c r="PQQ4" s="329"/>
      <c r="PQR4" s="1"/>
      <c r="PQS4" s="327"/>
      <c r="PQT4" s="14"/>
      <c r="PQW4" s="324"/>
      <c r="PQX4" s="329"/>
      <c r="PQY4" s="1"/>
      <c r="PQZ4" s="327"/>
      <c r="PRA4" s="14"/>
      <c r="PRD4" s="324"/>
      <c r="PRE4" s="329"/>
      <c r="PRF4" s="1"/>
      <c r="PRG4" s="327"/>
      <c r="PRH4" s="14"/>
      <c r="PRK4" s="324"/>
      <c r="PRL4" s="329"/>
      <c r="PRM4" s="1"/>
      <c r="PRN4" s="327"/>
      <c r="PRO4" s="14"/>
      <c r="PRR4" s="324"/>
      <c r="PRS4" s="329"/>
      <c r="PRT4" s="1"/>
      <c r="PRU4" s="327"/>
      <c r="PRV4" s="14"/>
      <c r="PRY4" s="324"/>
      <c r="PRZ4" s="329"/>
      <c r="PSA4" s="1"/>
      <c r="PSB4" s="327"/>
      <c r="PSC4" s="14"/>
      <c r="PSF4" s="324"/>
      <c r="PSG4" s="329"/>
      <c r="PSH4" s="1"/>
      <c r="PSI4" s="327"/>
      <c r="PSJ4" s="14"/>
      <c r="PSM4" s="324"/>
      <c r="PSN4" s="329"/>
      <c r="PSO4" s="1"/>
      <c r="PSP4" s="327"/>
      <c r="PSQ4" s="14"/>
      <c r="PST4" s="324"/>
      <c r="PSU4" s="329"/>
      <c r="PSV4" s="1"/>
      <c r="PSW4" s="327"/>
      <c r="PSX4" s="14"/>
      <c r="PTA4" s="324"/>
      <c r="PTB4" s="329"/>
      <c r="PTC4" s="1"/>
      <c r="PTD4" s="327"/>
      <c r="PTE4" s="14"/>
      <c r="PTH4" s="324"/>
      <c r="PTI4" s="329"/>
      <c r="PTJ4" s="1"/>
      <c r="PTK4" s="327"/>
      <c r="PTL4" s="14"/>
      <c r="PTO4" s="324"/>
      <c r="PTP4" s="329"/>
      <c r="PTQ4" s="1"/>
      <c r="PTR4" s="327"/>
      <c r="PTS4" s="14"/>
      <c r="PTV4" s="324"/>
      <c r="PTW4" s="329"/>
      <c r="PTX4" s="1"/>
      <c r="PTY4" s="327"/>
      <c r="PTZ4" s="14"/>
      <c r="PUC4" s="324"/>
      <c r="PUD4" s="329"/>
      <c r="PUE4" s="1"/>
      <c r="PUF4" s="327"/>
      <c r="PUG4" s="14"/>
      <c r="PUJ4" s="324"/>
      <c r="PUK4" s="329"/>
      <c r="PUL4" s="1"/>
      <c r="PUM4" s="327"/>
      <c r="PUN4" s="14"/>
      <c r="PUQ4" s="324"/>
      <c r="PUR4" s="329"/>
      <c r="PUS4" s="1"/>
      <c r="PUT4" s="327"/>
      <c r="PUU4" s="14"/>
      <c r="PUX4" s="324"/>
      <c r="PUY4" s="329"/>
      <c r="PUZ4" s="1"/>
      <c r="PVA4" s="327"/>
      <c r="PVB4" s="14"/>
      <c r="PVE4" s="324"/>
      <c r="PVF4" s="329"/>
      <c r="PVG4" s="1"/>
      <c r="PVH4" s="327"/>
      <c r="PVI4" s="14"/>
      <c r="PVL4" s="324"/>
      <c r="PVM4" s="329"/>
      <c r="PVN4" s="1"/>
      <c r="PVO4" s="327"/>
      <c r="PVP4" s="14"/>
      <c r="PVS4" s="324"/>
      <c r="PVT4" s="329"/>
      <c r="PVU4" s="1"/>
      <c r="PVV4" s="327"/>
      <c r="PVW4" s="14"/>
      <c r="PVZ4" s="324"/>
      <c r="PWA4" s="329"/>
      <c r="PWB4" s="1"/>
      <c r="PWC4" s="327"/>
      <c r="PWD4" s="14"/>
      <c r="PWG4" s="324"/>
      <c r="PWH4" s="329"/>
      <c r="PWI4" s="1"/>
      <c r="PWJ4" s="327"/>
      <c r="PWK4" s="14"/>
      <c r="PWN4" s="324"/>
      <c r="PWO4" s="329"/>
      <c r="PWP4" s="1"/>
      <c r="PWQ4" s="327"/>
      <c r="PWR4" s="14"/>
      <c r="PWU4" s="324"/>
      <c r="PWV4" s="329"/>
      <c r="PWW4" s="1"/>
      <c r="PWX4" s="327"/>
      <c r="PWY4" s="14"/>
      <c r="PXB4" s="324"/>
      <c r="PXC4" s="329"/>
      <c r="PXD4" s="1"/>
      <c r="PXE4" s="327"/>
      <c r="PXF4" s="14"/>
      <c r="PXI4" s="324"/>
      <c r="PXJ4" s="329"/>
      <c r="PXK4" s="1"/>
      <c r="PXL4" s="327"/>
      <c r="PXM4" s="14"/>
      <c r="PXP4" s="324"/>
      <c r="PXQ4" s="329"/>
      <c r="PXR4" s="1"/>
      <c r="PXS4" s="327"/>
      <c r="PXT4" s="14"/>
      <c r="PXW4" s="324"/>
      <c r="PXX4" s="329"/>
      <c r="PXY4" s="1"/>
      <c r="PXZ4" s="327"/>
      <c r="PYA4" s="14"/>
      <c r="PYD4" s="324"/>
      <c r="PYE4" s="329"/>
      <c r="PYF4" s="1"/>
      <c r="PYG4" s="327"/>
      <c r="PYH4" s="14"/>
      <c r="PYK4" s="324"/>
      <c r="PYL4" s="329"/>
      <c r="PYM4" s="1"/>
      <c r="PYN4" s="327"/>
      <c r="PYO4" s="14"/>
      <c r="PYR4" s="324"/>
      <c r="PYS4" s="329"/>
      <c r="PYT4" s="1"/>
      <c r="PYU4" s="327"/>
      <c r="PYV4" s="14"/>
      <c r="PYY4" s="324"/>
      <c r="PYZ4" s="329"/>
      <c r="PZA4" s="1"/>
      <c r="PZB4" s="327"/>
      <c r="PZC4" s="14"/>
      <c r="PZF4" s="324"/>
      <c r="PZG4" s="329"/>
      <c r="PZH4" s="1"/>
      <c r="PZI4" s="327"/>
      <c r="PZJ4" s="14"/>
      <c r="PZM4" s="324"/>
      <c r="PZN4" s="329"/>
      <c r="PZO4" s="1"/>
      <c r="PZP4" s="327"/>
      <c r="PZQ4" s="14"/>
      <c r="PZT4" s="324"/>
      <c r="PZU4" s="329"/>
      <c r="PZV4" s="1"/>
      <c r="PZW4" s="327"/>
      <c r="PZX4" s="14"/>
      <c r="QAA4" s="324"/>
      <c r="QAB4" s="329"/>
      <c r="QAC4" s="1"/>
      <c r="QAD4" s="327"/>
      <c r="QAE4" s="14"/>
      <c r="QAH4" s="324"/>
      <c r="QAI4" s="329"/>
      <c r="QAJ4" s="1"/>
      <c r="QAK4" s="327"/>
      <c r="QAL4" s="14"/>
      <c r="QAO4" s="324"/>
      <c r="QAP4" s="329"/>
      <c r="QAQ4" s="1"/>
      <c r="QAR4" s="327"/>
      <c r="QAS4" s="14"/>
      <c r="QAV4" s="324"/>
      <c r="QAW4" s="329"/>
      <c r="QAX4" s="1"/>
      <c r="QAY4" s="327"/>
      <c r="QAZ4" s="14"/>
      <c r="QBC4" s="324"/>
      <c r="QBD4" s="329"/>
      <c r="QBE4" s="1"/>
      <c r="QBF4" s="327"/>
      <c r="QBG4" s="14"/>
      <c r="QBJ4" s="324"/>
      <c r="QBK4" s="329"/>
      <c r="QBL4" s="1"/>
      <c r="QBM4" s="327"/>
      <c r="QBN4" s="14"/>
      <c r="QBQ4" s="324"/>
      <c r="QBR4" s="329"/>
      <c r="QBS4" s="1"/>
      <c r="QBT4" s="327"/>
      <c r="QBU4" s="14"/>
      <c r="QBX4" s="324"/>
      <c r="QBY4" s="329"/>
      <c r="QBZ4" s="1"/>
      <c r="QCA4" s="327"/>
      <c r="QCB4" s="14"/>
      <c r="QCE4" s="324"/>
      <c r="QCF4" s="329"/>
      <c r="QCG4" s="1"/>
      <c r="QCH4" s="327"/>
      <c r="QCI4" s="14"/>
      <c r="QCL4" s="324"/>
      <c r="QCM4" s="329"/>
      <c r="QCN4" s="1"/>
      <c r="QCO4" s="327"/>
      <c r="QCP4" s="14"/>
      <c r="QCS4" s="324"/>
      <c r="QCT4" s="329"/>
      <c r="QCU4" s="1"/>
      <c r="QCV4" s="327"/>
      <c r="QCW4" s="14"/>
      <c r="QCZ4" s="324"/>
      <c r="QDA4" s="329"/>
      <c r="QDB4" s="1"/>
      <c r="QDC4" s="327"/>
      <c r="QDD4" s="14"/>
      <c r="QDG4" s="324"/>
      <c r="QDH4" s="329"/>
      <c r="QDI4" s="1"/>
      <c r="QDJ4" s="327"/>
      <c r="QDK4" s="14"/>
      <c r="QDN4" s="324"/>
      <c r="QDO4" s="329"/>
      <c r="QDP4" s="1"/>
      <c r="QDQ4" s="327"/>
      <c r="QDR4" s="14"/>
      <c r="QDU4" s="324"/>
      <c r="QDV4" s="329"/>
      <c r="QDW4" s="1"/>
      <c r="QDX4" s="327"/>
      <c r="QDY4" s="14"/>
      <c r="QEB4" s="324"/>
      <c r="QEC4" s="329"/>
      <c r="QED4" s="1"/>
      <c r="QEE4" s="327"/>
      <c r="QEF4" s="14"/>
      <c r="QEI4" s="324"/>
      <c r="QEJ4" s="329"/>
      <c r="QEK4" s="1"/>
      <c r="QEL4" s="327"/>
      <c r="QEM4" s="14"/>
      <c r="QEP4" s="324"/>
      <c r="QEQ4" s="329"/>
      <c r="QER4" s="1"/>
      <c r="QES4" s="327"/>
      <c r="QET4" s="14"/>
      <c r="QEW4" s="324"/>
      <c r="QEX4" s="329"/>
      <c r="QEY4" s="1"/>
      <c r="QEZ4" s="327"/>
      <c r="QFA4" s="14"/>
      <c r="QFD4" s="324"/>
      <c r="QFE4" s="329"/>
      <c r="QFF4" s="1"/>
      <c r="QFG4" s="327"/>
      <c r="QFH4" s="14"/>
      <c r="QFK4" s="324"/>
      <c r="QFL4" s="329"/>
      <c r="QFM4" s="1"/>
      <c r="QFN4" s="327"/>
      <c r="QFO4" s="14"/>
      <c r="QFR4" s="324"/>
      <c r="QFS4" s="329"/>
      <c r="QFT4" s="1"/>
      <c r="QFU4" s="327"/>
      <c r="QFV4" s="14"/>
      <c r="QFY4" s="324"/>
      <c r="QFZ4" s="329"/>
      <c r="QGA4" s="1"/>
      <c r="QGB4" s="327"/>
      <c r="QGC4" s="14"/>
      <c r="QGF4" s="324"/>
      <c r="QGG4" s="329"/>
      <c r="QGH4" s="1"/>
      <c r="QGI4" s="327"/>
      <c r="QGJ4" s="14"/>
      <c r="QGM4" s="324"/>
      <c r="QGN4" s="329"/>
      <c r="QGO4" s="1"/>
      <c r="QGP4" s="327"/>
      <c r="QGQ4" s="14"/>
      <c r="QGT4" s="324"/>
      <c r="QGU4" s="329"/>
      <c r="QGV4" s="1"/>
      <c r="QGW4" s="327"/>
      <c r="QGX4" s="14"/>
      <c r="QHA4" s="324"/>
      <c r="QHB4" s="329"/>
      <c r="QHC4" s="1"/>
      <c r="QHD4" s="327"/>
      <c r="QHE4" s="14"/>
      <c r="QHH4" s="324"/>
      <c r="QHI4" s="329"/>
      <c r="QHJ4" s="1"/>
      <c r="QHK4" s="327"/>
      <c r="QHL4" s="14"/>
      <c r="QHO4" s="324"/>
      <c r="QHP4" s="329"/>
      <c r="QHQ4" s="1"/>
      <c r="QHR4" s="327"/>
      <c r="QHS4" s="14"/>
      <c r="QHV4" s="324"/>
      <c r="QHW4" s="329"/>
      <c r="QHX4" s="1"/>
      <c r="QHY4" s="327"/>
      <c r="QHZ4" s="14"/>
      <c r="QIC4" s="324"/>
      <c r="QID4" s="329"/>
      <c r="QIE4" s="1"/>
      <c r="QIF4" s="327"/>
      <c r="QIG4" s="14"/>
      <c r="QIJ4" s="324"/>
      <c r="QIK4" s="329"/>
      <c r="QIL4" s="1"/>
      <c r="QIM4" s="327"/>
      <c r="QIN4" s="14"/>
      <c r="QIQ4" s="324"/>
      <c r="QIR4" s="329"/>
      <c r="QIS4" s="1"/>
      <c r="QIT4" s="327"/>
      <c r="QIU4" s="14"/>
      <c r="QIX4" s="324"/>
      <c r="QIY4" s="329"/>
      <c r="QIZ4" s="1"/>
      <c r="QJA4" s="327"/>
      <c r="QJB4" s="14"/>
      <c r="QJE4" s="324"/>
      <c r="QJF4" s="329"/>
      <c r="QJG4" s="1"/>
      <c r="QJH4" s="327"/>
      <c r="QJI4" s="14"/>
      <c r="QJL4" s="324"/>
      <c r="QJM4" s="329"/>
      <c r="QJN4" s="1"/>
      <c r="QJO4" s="327"/>
      <c r="QJP4" s="14"/>
      <c r="QJS4" s="324"/>
      <c r="QJT4" s="329"/>
      <c r="QJU4" s="1"/>
      <c r="QJV4" s="327"/>
      <c r="QJW4" s="14"/>
      <c r="QJZ4" s="324"/>
      <c r="QKA4" s="329"/>
      <c r="QKB4" s="1"/>
      <c r="QKC4" s="327"/>
      <c r="QKD4" s="14"/>
      <c r="QKG4" s="324"/>
      <c r="QKH4" s="329"/>
      <c r="QKI4" s="1"/>
      <c r="QKJ4" s="327"/>
      <c r="QKK4" s="14"/>
      <c r="QKN4" s="324"/>
      <c r="QKO4" s="329"/>
      <c r="QKP4" s="1"/>
      <c r="QKQ4" s="327"/>
      <c r="QKR4" s="14"/>
      <c r="QKU4" s="324"/>
      <c r="QKV4" s="329"/>
      <c r="QKW4" s="1"/>
      <c r="QKX4" s="327"/>
      <c r="QKY4" s="14"/>
      <c r="QLB4" s="324"/>
      <c r="QLC4" s="329"/>
      <c r="QLD4" s="1"/>
      <c r="QLE4" s="327"/>
      <c r="QLF4" s="14"/>
      <c r="QLI4" s="324"/>
      <c r="QLJ4" s="329"/>
      <c r="QLK4" s="1"/>
      <c r="QLL4" s="327"/>
      <c r="QLM4" s="14"/>
      <c r="QLP4" s="324"/>
      <c r="QLQ4" s="329"/>
      <c r="QLR4" s="1"/>
      <c r="QLS4" s="327"/>
      <c r="QLT4" s="14"/>
      <c r="QLW4" s="324"/>
      <c r="QLX4" s="329"/>
      <c r="QLY4" s="1"/>
      <c r="QLZ4" s="327"/>
      <c r="QMA4" s="14"/>
      <c r="QMD4" s="324"/>
      <c r="QME4" s="329"/>
      <c r="QMF4" s="1"/>
      <c r="QMG4" s="327"/>
      <c r="QMH4" s="14"/>
      <c r="QMK4" s="324"/>
      <c r="QML4" s="329"/>
      <c r="QMM4" s="1"/>
      <c r="QMN4" s="327"/>
      <c r="QMO4" s="14"/>
      <c r="QMR4" s="324"/>
      <c r="QMS4" s="329"/>
      <c r="QMT4" s="1"/>
      <c r="QMU4" s="327"/>
      <c r="QMV4" s="14"/>
      <c r="QMY4" s="324"/>
      <c r="QMZ4" s="329"/>
      <c r="QNA4" s="1"/>
      <c r="QNB4" s="327"/>
      <c r="QNC4" s="14"/>
      <c r="QNF4" s="324"/>
      <c r="QNG4" s="329"/>
      <c r="QNH4" s="1"/>
      <c r="QNI4" s="327"/>
      <c r="QNJ4" s="14"/>
      <c r="QNM4" s="324"/>
      <c r="QNN4" s="329"/>
      <c r="QNO4" s="1"/>
      <c r="QNP4" s="327"/>
      <c r="QNQ4" s="14"/>
      <c r="QNT4" s="324"/>
      <c r="QNU4" s="329"/>
      <c r="QNV4" s="1"/>
      <c r="QNW4" s="327"/>
      <c r="QNX4" s="14"/>
      <c r="QOA4" s="324"/>
      <c r="QOB4" s="329"/>
      <c r="QOC4" s="1"/>
      <c r="QOD4" s="327"/>
      <c r="QOE4" s="14"/>
      <c r="QOH4" s="324"/>
      <c r="QOI4" s="329"/>
      <c r="QOJ4" s="1"/>
      <c r="QOK4" s="327"/>
      <c r="QOL4" s="14"/>
      <c r="QOO4" s="324"/>
      <c r="QOP4" s="329"/>
      <c r="QOQ4" s="1"/>
      <c r="QOR4" s="327"/>
      <c r="QOS4" s="14"/>
      <c r="QOV4" s="324"/>
      <c r="QOW4" s="329"/>
      <c r="QOX4" s="1"/>
      <c r="QOY4" s="327"/>
      <c r="QOZ4" s="14"/>
      <c r="QPC4" s="324"/>
      <c r="QPD4" s="329"/>
      <c r="QPE4" s="1"/>
      <c r="QPF4" s="327"/>
      <c r="QPG4" s="14"/>
      <c r="QPJ4" s="324"/>
      <c r="QPK4" s="329"/>
      <c r="QPL4" s="1"/>
      <c r="QPM4" s="327"/>
      <c r="QPN4" s="14"/>
      <c r="QPQ4" s="324"/>
      <c r="QPR4" s="329"/>
      <c r="QPS4" s="1"/>
      <c r="QPT4" s="327"/>
      <c r="QPU4" s="14"/>
      <c r="QPX4" s="324"/>
      <c r="QPY4" s="329"/>
      <c r="QPZ4" s="1"/>
      <c r="QQA4" s="327"/>
      <c r="QQB4" s="14"/>
      <c r="QQE4" s="324"/>
      <c r="QQF4" s="329"/>
      <c r="QQG4" s="1"/>
      <c r="QQH4" s="327"/>
      <c r="QQI4" s="14"/>
      <c r="QQL4" s="324"/>
      <c r="QQM4" s="329"/>
      <c r="QQN4" s="1"/>
      <c r="QQO4" s="327"/>
      <c r="QQP4" s="14"/>
      <c r="QQS4" s="324"/>
      <c r="QQT4" s="329"/>
      <c r="QQU4" s="1"/>
      <c r="QQV4" s="327"/>
      <c r="QQW4" s="14"/>
      <c r="QQZ4" s="324"/>
      <c r="QRA4" s="329"/>
      <c r="QRB4" s="1"/>
      <c r="QRC4" s="327"/>
      <c r="QRD4" s="14"/>
      <c r="QRG4" s="324"/>
      <c r="QRH4" s="329"/>
      <c r="QRI4" s="1"/>
      <c r="QRJ4" s="327"/>
      <c r="QRK4" s="14"/>
      <c r="QRN4" s="324"/>
      <c r="QRO4" s="329"/>
      <c r="QRP4" s="1"/>
      <c r="QRQ4" s="327"/>
      <c r="QRR4" s="14"/>
      <c r="QRU4" s="324"/>
      <c r="QRV4" s="329"/>
      <c r="QRW4" s="1"/>
      <c r="QRX4" s="327"/>
      <c r="QRY4" s="14"/>
      <c r="QSB4" s="324"/>
      <c r="QSC4" s="329"/>
      <c r="QSD4" s="1"/>
      <c r="QSE4" s="327"/>
      <c r="QSF4" s="14"/>
      <c r="QSI4" s="324"/>
      <c r="QSJ4" s="329"/>
      <c r="QSK4" s="1"/>
      <c r="QSL4" s="327"/>
      <c r="QSM4" s="14"/>
      <c r="QSP4" s="324"/>
      <c r="QSQ4" s="329"/>
      <c r="QSR4" s="1"/>
      <c r="QSS4" s="327"/>
      <c r="QST4" s="14"/>
      <c r="QSW4" s="324"/>
      <c r="QSX4" s="329"/>
      <c r="QSY4" s="1"/>
      <c r="QSZ4" s="327"/>
      <c r="QTA4" s="14"/>
      <c r="QTD4" s="324"/>
      <c r="QTE4" s="329"/>
      <c r="QTF4" s="1"/>
      <c r="QTG4" s="327"/>
      <c r="QTH4" s="14"/>
      <c r="QTK4" s="324"/>
      <c r="QTL4" s="329"/>
      <c r="QTM4" s="1"/>
      <c r="QTN4" s="327"/>
      <c r="QTO4" s="14"/>
      <c r="QTR4" s="324"/>
      <c r="QTS4" s="329"/>
      <c r="QTT4" s="1"/>
      <c r="QTU4" s="327"/>
      <c r="QTV4" s="14"/>
      <c r="QTY4" s="324"/>
      <c r="QTZ4" s="329"/>
      <c r="QUA4" s="1"/>
      <c r="QUB4" s="327"/>
      <c r="QUC4" s="14"/>
      <c r="QUF4" s="324"/>
      <c r="QUG4" s="329"/>
      <c r="QUH4" s="1"/>
      <c r="QUI4" s="327"/>
      <c r="QUJ4" s="14"/>
      <c r="QUM4" s="324"/>
      <c r="QUN4" s="329"/>
      <c r="QUO4" s="1"/>
      <c r="QUP4" s="327"/>
      <c r="QUQ4" s="14"/>
      <c r="QUT4" s="324"/>
      <c r="QUU4" s="329"/>
      <c r="QUV4" s="1"/>
      <c r="QUW4" s="327"/>
      <c r="QUX4" s="14"/>
      <c r="QVA4" s="324"/>
      <c r="QVB4" s="329"/>
      <c r="QVC4" s="1"/>
      <c r="QVD4" s="327"/>
      <c r="QVE4" s="14"/>
      <c r="QVH4" s="324"/>
      <c r="QVI4" s="329"/>
      <c r="QVJ4" s="1"/>
      <c r="QVK4" s="327"/>
      <c r="QVL4" s="14"/>
      <c r="QVO4" s="324"/>
      <c r="QVP4" s="329"/>
      <c r="QVQ4" s="1"/>
      <c r="QVR4" s="327"/>
      <c r="QVS4" s="14"/>
      <c r="QVV4" s="324"/>
      <c r="QVW4" s="329"/>
      <c r="QVX4" s="1"/>
      <c r="QVY4" s="327"/>
      <c r="QVZ4" s="14"/>
      <c r="QWC4" s="324"/>
      <c r="QWD4" s="329"/>
      <c r="QWE4" s="1"/>
      <c r="QWF4" s="327"/>
      <c r="QWG4" s="14"/>
      <c r="QWJ4" s="324"/>
      <c r="QWK4" s="329"/>
      <c r="QWL4" s="1"/>
      <c r="QWM4" s="327"/>
      <c r="QWN4" s="14"/>
      <c r="QWQ4" s="324"/>
      <c r="QWR4" s="329"/>
      <c r="QWS4" s="1"/>
      <c r="QWT4" s="327"/>
      <c r="QWU4" s="14"/>
      <c r="QWX4" s="324"/>
      <c r="QWY4" s="329"/>
      <c r="QWZ4" s="1"/>
      <c r="QXA4" s="327"/>
      <c r="QXB4" s="14"/>
      <c r="QXE4" s="324"/>
      <c r="QXF4" s="329"/>
      <c r="QXG4" s="1"/>
      <c r="QXH4" s="327"/>
      <c r="QXI4" s="14"/>
      <c r="QXL4" s="324"/>
      <c r="QXM4" s="329"/>
      <c r="QXN4" s="1"/>
      <c r="QXO4" s="327"/>
      <c r="QXP4" s="14"/>
      <c r="QXS4" s="324"/>
      <c r="QXT4" s="329"/>
      <c r="QXU4" s="1"/>
      <c r="QXV4" s="327"/>
      <c r="QXW4" s="14"/>
      <c r="QXZ4" s="324"/>
      <c r="QYA4" s="329"/>
      <c r="QYB4" s="1"/>
      <c r="QYC4" s="327"/>
      <c r="QYD4" s="14"/>
      <c r="QYG4" s="324"/>
      <c r="QYH4" s="329"/>
      <c r="QYI4" s="1"/>
      <c r="QYJ4" s="327"/>
      <c r="QYK4" s="14"/>
      <c r="QYN4" s="324"/>
      <c r="QYO4" s="329"/>
      <c r="QYP4" s="1"/>
      <c r="QYQ4" s="327"/>
      <c r="QYR4" s="14"/>
      <c r="QYU4" s="324"/>
      <c r="QYV4" s="329"/>
      <c r="QYW4" s="1"/>
      <c r="QYX4" s="327"/>
      <c r="QYY4" s="14"/>
      <c r="QZB4" s="324"/>
      <c r="QZC4" s="329"/>
      <c r="QZD4" s="1"/>
      <c r="QZE4" s="327"/>
      <c r="QZF4" s="14"/>
      <c r="QZI4" s="324"/>
      <c r="QZJ4" s="329"/>
      <c r="QZK4" s="1"/>
      <c r="QZL4" s="327"/>
      <c r="QZM4" s="14"/>
      <c r="QZP4" s="324"/>
      <c r="QZQ4" s="329"/>
      <c r="QZR4" s="1"/>
      <c r="QZS4" s="327"/>
      <c r="QZT4" s="14"/>
      <c r="QZW4" s="324"/>
      <c r="QZX4" s="329"/>
      <c r="QZY4" s="1"/>
      <c r="QZZ4" s="327"/>
      <c r="RAA4" s="14"/>
      <c r="RAD4" s="324"/>
      <c r="RAE4" s="329"/>
      <c r="RAF4" s="1"/>
      <c r="RAG4" s="327"/>
      <c r="RAH4" s="14"/>
      <c r="RAK4" s="324"/>
      <c r="RAL4" s="329"/>
      <c r="RAM4" s="1"/>
      <c r="RAN4" s="327"/>
      <c r="RAO4" s="14"/>
      <c r="RAR4" s="324"/>
      <c r="RAS4" s="329"/>
      <c r="RAT4" s="1"/>
      <c r="RAU4" s="327"/>
      <c r="RAV4" s="14"/>
      <c r="RAY4" s="324"/>
      <c r="RAZ4" s="329"/>
      <c r="RBA4" s="1"/>
      <c r="RBB4" s="327"/>
      <c r="RBC4" s="14"/>
      <c r="RBF4" s="324"/>
      <c r="RBG4" s="329"/>
      <c r="RBH4" s="1"/>
      <c r="RBI4" s="327"/>
      <c r="RBJ4" s="14"/>
      <c r="RBM4" s="324"/>
      <c r="RBN4" s="329"/>
      <c r="RBO4" s="1"/>
      <c r="RBP4" s="327"/>
      <c r="RBQ4" s="14"/>
      <c r="RBT4" s="324"/>
      <c r="RBU4" s="329"/>
      <c r="RBV4" s="1"/>
      <c r="RBW4" s="327"/>
      <c r="RBX4" s="14"/>
      <c r="RCA4" s="324"/>
      <c r="RCB4" s="329"/>
      <c r="RCC4" s="1"/>
      <c r="RCD4" s="327"/>
      <c r="RCE4" s="14"/>
      <c r="RCH4" s="324"/>
      <c r="RCI4" s="329"/>
      <c r="RCJ4" s="1"/>
      <c r="RCK4" s="327"/>
      <c r="RCL4" s="14"/>
      <c r="RCO4" s="324"/>
      <c r="RCP4" s="329"/>
      <c r="RCQ4" s="1"/>
      <c r="RCR4" s="327"/>
      <c r="RCS4" s="14"/>
      <c r="RCV4" s="324"/>
      <c r="RCW4" s="329"/>
      <c r="RCX4" s="1"/>
      <c r="RCY4" s="327"/>
      <c r="RCZ4" s="14"/>
      <c r="RDC4" s="324"/>
      <c r="RDD4" s="329"/>
      <c r="RDE4" s="1"/>
      <c r="RDF4" s="327"/>
      <c r="RDG4" s="14"/>
      <c r="RDJ4" s="324"/>
      <c r="RDK4" s="329"/>
      <c r="RDL4" s="1"/>
      <c r="RDM4" s="327"/>
      <c r="RDN4" s="14"/>
      <c r="RDQ4" s="324"/>
      <c r="RDR4" s="329"/>
      <c r="RDS4" s="1"/>
      <c r="RDT4" s="327"/>
      <c r="RDU4" s="14"/>
      <c r="RDX4" s="324"/>
      <c r="RDY4" s="329"/>
      <c r="RDZ4" s="1"/>
      <c r="REA4" s="327"/>
      <c r="REB4" s="14"/>
      <c r="REE4" s="324"/>
      <c r="REF4" s="329"/>
      <c r="REG4" s="1"/>
      <c r="REH4" s="327"/>
      <c r="REI4" s="14"/>
      <c r="REL4" s="324"/>
      <c r="REM4" s="329"/>
      <c r="REN4" s="1"/>
      <c r="REO4" s="327"/>
      <c r="REP4" s="14"/>
      <c r="RES4" s="324"/>
      <c r="RET4" s="329"/>
      <c r="REU4" s="1"/>
      <c r="REV4" s="327"/>
      <c r="REW4" s="14"/>
      <c r="REZ4" s="324"/>
      <c r="RFA4" s="329"/>
      <c r="RFB4" s="1"/>
      <c r="RFC4" s="327"/>
      <c r="RFD4" s="14"/>
      <c r="RFG4" s="324"/>
      <c r="RFH4" s="329"/>
      <c r="RFI4" s="1"/>
      <c r="RFJ4" s="327"/>
      <c r="RFK4" s="14"/>
      <c r="RFN4" s="324"/>
      <c r="RFO4" s="329"/>
      <c r="RFP4" s="1"/>
      <c r="RFQ4" s="327"/>
      <c r="RFR4" s="14"/>
      <c r="RFU4" s="324"/>
      <c r="RFV4" s="329"/>
      <c r="RFW4" s="1"/>
      <c r="RFX4" s="327"/>
      <c r="RFY4" s="14"/>
      <c r="RGB4" s="324"/>
      <c r="RGC4" s="329"/>
      <c r="RGD4" s="1"/>
      <c r="RGE4" s="327"/>
      <c r="RGF4" s="14"/>
      <c r="RGI4" s="324"/>
      <c r="RGJ4" s="329"/>
      <c r="RGK4" s="1"/>
      <c r="RGL4" s="327"/>
      <c r="RGM4" s="14"/>
      <c r="RGP4" s="324"/>
      <c r="RGQ4" s="329"/>
      <c r="RGR4" s="1"/>
      <c r="RGS4" s="327"/>
      <c r="RGT4" s="14"/>
      <c r="RGW4" s="324"/>
      <c r="RGX4" s="329"/>
      <c r="RGY4" s="1"/>
      <c r="RGZ4" s="327"/>
      <c r="RHA4" s="14"/>
      <c r="RHD4" s="324"/>
      <c r="RHE4" s="329"/>
      <c r="RHF4" s="1"/>
      <c r="RHG4" s="327"/>
      <c r="RHH4" s="14"/>
      <c r="RHK4" s="324"/>
      <c r="RHL4" s="329"/>
      <c r="RHM4" s="1"/>
      <c r="RHN4" s="327"/>
      <c r="RHO4" s="14"/>
      <c r="RHR4" s="324"/>
      <c r="RHS4" s="329"/>
      <c r="RHT4" s="1"/>
      <c r="RHU4" s="327"/>
      <c r="RHV4" s="14"/>
      <c r="RHY4" s="324"/>
      <c r="RHZ4" s="329"/>
      <c r="RIA4" s="1"/>
      <c r="RIB4" s="327"/>
      <c r="RIC4" s="14"/>
      <c r="RIF4" s="324"/>
      <c r="RIG4" s="329"/>
      <c r="RIH4" s="1"/>
      <c r="RII4" s="327"/>
      <c r="RIJ4" s="14"/>
      <c r="RIM4" s="324"/>
      <c r="RIN4" s="329"/>
      <c r="RIO4" s="1"/>
      <c r="RIP4" s="327"/>
      <c r="RIQ4" s="14"/>
      <c r="RIT4" s="324"/>
      <c r="RIU4" s="329"/>
      <c r="RIV4" s="1"/>
      <c r="RIW4" s="327"/>
      <c r="RIX4" s="14"/>
      <c r="RJA4" s="324"/>
      <c r="RJB4" s="329"/>
      <c r="RJC4" s="1"/>
      <c r="RJD4" s="327"/>
      <c r="RJE4" s="14"/>
      <c r="RJH4" s="324"/>
      <c r="RJI4" s="329"/>
      <c r="RJJ4" s="1"/>
      <c r="RJK4" s="327"/>
      <c r="RJL4" s="14"/>
      <c r="RJO4" s="324"/>
      <c r="RJP4" s="329"/>
      <c r="RJQ4" s="1"/>
      <c r="RJR4" s="327"/>
      <c r="RJS4" s="14"/>
      <c r="RJV4" s="324"/>
      <c r="RJW4" s="329"/>
      <c r="RJX4" s="1"/>
      <c r="RJY4" s="327"/>
      <c r="RJZ4" s="14"/>
      <c r="RKC4" s="324"/>
      <c r="RKD4" s="329"/>
      <c r="RKE4" s="1"/>
      <c r="RKF4" s="327"/>
      <c r="RKG4" s="14"/>
      <c r="RKJ4" s="324"/>
      <c r="RKK4" s="329"/>
      <c r="RKL4" s="1"/>
      <c r="RKM4" s="327"/>
      <c r="RKN4" s="14"/>
      <c r="RKQ4" s="324"/>
      <c r="RKR4" s="329"/>
      <c r="RKS4" s="1"/>
      <c r="RKT4" s="327"/>
      <c r="RKU4" s="14"/>
      <c r="RKX4" s="324"/>
      <c r="RKY4" s="329"/>
      <c r="RKZ4" s="1"/>
      <c r="RLA4" s="327"/>
      <c r="RLB4" s="14"/>
      <c r="RLE4" s="324"/>
      <c r="RLF4" s="329"/>
      <c r="RLG4" s="1"/>
      <c r="RLH4" s="327"/>
      <c r="RLI4" s="14"/>
      <c r="RLL4" s="324"/>
      <c r="RLM4" s="329"/>
      <c r="RLN4" s="1"/>
      <c r="RLO4" s="327"/>
      <c r="RLP4" s="14"/>
      <c r="RLS4" s="324"/>
      <c r="RLT4" s="329"/>
      <c r="RLU4" s="1"/>
      <c r="RLV4" s="327"/>
      <c r="RLW4" s="14"/>
      <c r="RLZ4" s="324"/>
      <c r="RMA4" s="329"/>
      <c r="RMB4" s="1"/>
      <c r="RMC4" s="327"/>
      <c r="RMD4" s="14"/>
      <c r="RMG4" s="324"/>
      <c r="RMH4" s="329"/>
      <c r="RMI4" s="1"/>
      <c r="RMJ4" s="327"/>
      <c r="RMK4" s="14"/>
      <c r="RMN4" s="324"/>
      <c r="RMO4" s="329"/>
      <c r="RMP4" s="1"/>
      <c r="RMQ4" s="327"/>
      <c r="RMR4" s="14"/>
      <c r="RMU4" s="324"/>
      <c r="RMV4" s="329"/>
      <c r="RMW4" s="1"/>
      <c r="RMX4" s="327"/>
      <c r="RMY4" s="14"/>
      <c r="RNB4" s="324"/>
      <c r="RNC4" s="329"/>
      <c r="RND4" s="1"/>
      <c r="RNE4" s="327"/>
      <c r="RNF4" s="14"/>
      <c r="RNI4" s="324"/>
      <c r="RNJ4" s="329"/>
      <c r="RNK4" s="1"/>
      <c r="RNL4" s="327"/>
      <c r="RNM4" s="14"/>
      <c r="RNP4" s="324"/>
      <c r="RNQ4" s="329"/>
      <c r="RNR4" s="1"/>
      <c r="RNS4" s="327"/>
      <c r="RNT4" s="14"/>
      <c r="RNW4" s="324"/>
      <c r="RNX4" s="329"/>
      <c r="RNY4" s="1"/>
      <c r="RNZ4" s="327"/>
      <c r="ROA4" s="14"/>
      <c r="ROD4" s="324"/>
      <c r="ROE4" s="329"/>
      <c r="ROF4" s="1"/>
      <c r="ROG4" s="327"/>
      <c r="ROH4" s="14"/>
      <c r="ROK4" s="324"/>
      <c r="ROL4" s="329"/>
      <c r="ROM4" s="1"/>
      <c r="RON4" s="327"/>
      <c r="ROO4" s="14"/>
      <c r="ROR4" s="324"/>
      <c r="ROS4" s="329"/>
      <c r="ROT4" s="1"/>
      <c r="ROU4" s="327"/>
      <c r="ROV4" s="14"/>
      <c r="ROY4" s="324"/>
      <c r="ROZ4" s="329"/>
      <c r="RPA4" s="1"/>
      <c r="RPB4" s="327"/>
      <c r="RPC4" s="14"/>
      <c r="RPF4" s="324"/>
      <c r="RPG4" s="329"/>
      <c r="RPH4" s="1"/>
      <c r="RPI4" s="327"/>
      <c r="RPJ4" s="14"/>
      <c r="RPM4" s="324"/>
      <c r="RPN4" s="329"/>
      <c r="RPO4" s="1"/>
      <c r="RPP4" s="327"/>
      <c r="RPQ4" s="14"/>
      <c r="RPT4" s="324"/>
      <c r="RPU4" s="329"/>
      <c r="RPV4" s="1"/>
      <c r="RPW4" s="327"/>
      <c r="RPX4" s="14"/>
      <c r="RQA4" s="324"/>
      <c r="RQB4" s="329"/>
      <c r="RQC4" s="1"/>
      <c r="RQD4" s="327"/>
      <c r="RQE4" s="14"/>
      <c r="RQH4" s="324"/>
      <c r="RQI4" s="329"/>
      <c r="RQJ4" s="1"/>
      <c r="RQK4" s="327"/>
      <c r="RQL4" s="14"/>
      <c r="RQO4" s="324"/>
      <c r="RQP4" s="329"/>
      <c r="RQQ4" s="1"/>
      <c r="RQR4" s="327"/>
      <c r="RQS4" s="14"/>
      <c r="RQV4" s="324"/>
      <c r="RQW4" s="329"/>
      <c r="RQX4" s="1"/>
      <c r="RQY4" s="327"/>
      <c r="RQZ4" s="14"/>
      <c r="RRC4" s="324"/>
      <c r="RRD4" s="329"/>
      <c r="RRE4" s="1"/>
      <c r="RRF4" s="327"/>
      <c r="RRG4" s="14"/>
      <c r="RRJ4" s="324"/>
      <c r="RRK4" s="329"/>
      <c r="RRL4" s="1"/>
      <c r="RRM4" s="327"/>
      <c r="RRN4" s="14"/>
      <c r="RRQ4" s="324"/>
      <c r="RRR4" s="329"/>
      <c r="RRS4" s="1"/>
      <c r="RRT4" s="327"/>
      <c r="RRU4" s="14"/>
      <c r="RRX4" s="324"/>
      <c r="RRY4" s="329"/>
      <c r="RRZ4" s="1"/>
      <c r="RSA4" s="327"/>
      <c r="RSB4" s="14"/>
      <c r="RSE4" s="324"/>
      <c r="RSF4" s="329"/>
      <c r="RSG4" s="1"/>
      <c r="RSH4" s="327"/>
      <c r="RSI4" s="14"/>
      <c r="RSL4" s="324"/>
      <c r="RSM4" s="329"/>
      <c r="RSN4" s="1"/>
      <c r="RSO4" s="327"/>
      <c r="RSP4" s="14"/>
      <c r="RSS4" s="324"/>
      <c r="RST4" s="329"/>
      <c r="RSU4" s="1"/>
      <c r="RSV4" s="327"/>
      <c r="RSW4" s="14"/>
      <c r="RSZ4" s="324"/>
      <c r="RTA4" s="329"/>
      <c r="RTB4" s="1"/>
      <c r="RTC4" s="327"/>
      <c r="RTD4" s="14"/>
      <c r="RTG4" s="324"/>
      <c r="RTH4" s="329"/>
      <c r="RTI4" s="1"/>
      <c r="RTJ4" s="327"/>
      <c r="RTK4" s="14"/>
      <c r="RTN4" s="324"/>
      <c r="RTO4" s="329"/>
      <c r="RTP4" s="1"/>
      <c r="RTQ4" s="327"/>
      <c r="RTR4" s="14"/>
      <c r="RTU4" s="324"/>
      <c r="RTV4" s="329"/>
      <c r="RTW4" s="1"/>
      <c r="RTX4" s="327"/>
      <c r="RTY4" s="14"/>
      <c r="RUB4" s="324"/>
      <c r="RUC4" s="329"/>
      <c r="RUD4" s="1"/>
      <c r="RUE4" s="327"/>
      <c r="RUF4" s="14"/>
      <c r="RUI4" s="324"/>
      <c r="RUJ4" s="329"/>
      <c r="RUK4" s="1"/>
      <c r="RUL4" s="327"/>
      <c r="RUM4" s="14"/>
      <c r="RUP4" s="324"/>
      <c r="RUQ4" s="329"/>
      <c r="RUR4" s="1"/>
      <c r="RUS4" s="327"/>
      <c r="RUT4" s="14"/>
      <c r="RUW4" s="324"/>
      <c r="RUX4" s="329"/>
      <c r="RUY4" s="1"/>
      <c r="RUZ4" s="327"/>
      <c r="RVA4" s="14"/>
      <c r="RVD4" s="324"/>
      <c r="RVE4" s="329"/>
      <c r="RVF4" s="1"/>
      <c r="RVG4" s="327"/>
      <c r="RVH4" s="14"/>
      <c r="RVK4" s="324"/>
      <c r="RVL4" s="329"/>
      <c r="RVM4" s="1"/>
      <c r="RVN4" s="327"/>
      <c r="RVO4" s="14"/>
      <c r="RVR4" s="324"/>
      <c r="RVS4" s="329"/>
      <c r="RVT4" s="1"/>
      <c r="RVU4" s="327"/>
      <c r="RVV4" s="14"/>
      <c r="RVY4" s="324"/>
      <c r="RVZ4" s="329"/>
      <c r="RWA4" s="1"/>
      <c r="RWB4" s="327"/>
      <c r="RWC4" s="14"/>
      <c r="RWF4" s="324"/>
      <c r="RWG4" s="329"/>
      <c r="RWH4" s="1"/>
      <c r="RWI4" s="327"/>
      <c r="RWJ4" s="14"/>
      <c r="RWM4" s="324"/>
      <c r="RWN4" s="329"/>
      <c r="RWO4" s="1"/>
      <c r="RWP4" s="327"/>
      <c r="RWQ4" s="14"/>
      <c r="RWT4" s="324"/>
      <c r="RWU4" s="329"/>
      <c r="RWV4" s="1"/>
      <c r="RWW4" s="327"/>
      <c r="RWX4" s="14"/>
      <c r="RXA4" s="324"/>
      <c r="RXB4" s="329"/>
      <c r="RXC4" s="1"/>
      <c r="RXD4" s="327"/>
      <c r="RXE4" s="14"/>
      <c r="RXH4" s="324"/>
      <c r="RXI4" s="329"/>
      <c r="RXJ4" s="1"/>
      <c r="RXK4" s="327"/>
      <c r="RXL4" s="14"/>
      <c r="RXO4" s="324"/>
      <c r="RXP4" s="329"/>
      <c r="RXQ4" s="1"/>
      <c r="RXR4" s="327"/>
      <c r="RXS4" s="14"/>
      <c r="RXV4" s="324"/>
      <c r="RXW4" s="329"/>
      <c r="RXX4" s="1"/>
      <c r="RXY4" s="327"/>
      <c r="RXZ4" s="14"/>
      <c r="RYC4" s="324"/>
      <c r="RYD4" s="329"/>
      <c r="RYE4" s="1"/>
      <c r="RYF4" s="327"/>
      <c r="RYG4" s="14"/>
      <c r="RYJ4" s="324"/>
      <c r="RYK4" s="329"/>
      <c r="RYL4" s="1"/>
      <c r="RYM4" s="327"/>
      <c r="RYN4" s="14"/>
      <c r="RYQ4" s="324"/>
      <c r="RYR4" s="329"/>
      <c r="RYS4" s="1"/>
      <c r="RYT4" s="327"/>
      <c r="RYU4" s="14"/>
      <c r="RYX4" s="324"/>
      <c r="RYY4" s="329"/>
      <c r="RYZ4" s="1"/>
      <c r="RZA4" s="327"/>
      <c r="RZB4" s="14"/>
      <c r="RZE4" s="324"/>
      <c r="RZF4" s="329"/>
      <c r="RZG4" s="1"/>
      <c r="RZH4" s="327"/>
      <c r="RZI4" s="14"/>
      <c r="RZL4" s="324"/>
      <c r="RZM4" s="329"/>
      <c r="RZN4" s="1"/>
      <c r="RZO4" s="327"/>
      <c r="RZP4" s="14"/>
      <c r="RZS4" s="324"/>
      <c r="RZT4" s="329"/>
      <c r="RZU4" s="1"/>
      <c r="RZV4" s="327"/>
      <c r="RZW4" s="14"/>
      <c r="RZZ4" s="324"/>
      <c r="SAA4" s="329"/>
      <c r="SAB4" s="1"/>
      <c r="SAC4" s="327"/>
      <c r="SAD4" s="14"/>
      <c r="SAG4" s="324"/>
      <c r="SAH4" s="329"/>
      <c r="SAI4" s="1"/>
      <c r="SAJ4" s="327"/>
      <c r="SAK4" s="14"/>
      <c r="SAN4" s="324"/>
      <c r="SAO4" s="329"/>
      <c r="SAP4" s="1"/>
      <c r="SAQ4" s="327"/>
      <c r="SAR4" s="14"/>
      <c r="SAU4" s="324"/>
      <c r="SAV4" s="329"/>
      <c r="SAW4" s="1"/>
      <c r="SAX4" s="327"/>
      <c r="SAY4" s="14"/>
      <c r="SBB4" s="324"/>
      <c r="SBC4" s="329"/>
      <c r="SBD4" s="1"/>
      <c r="SBE4" s="327"/>
      <c r="SBF4" s="14"/>
      <c r="SBI4" s="324"/>
      <c r="SBJ4" s="329"/>
      <c r="SBK4" s="1"/>
      <c r="SBL4" s="327"/>
      <c r="SBM4" s="14"/>
      <c r="SBP4" s="324"/>
      <c r="SBQ4" s="329"/>
      <c r="SBR4" s="1"/>
      <c r="SBS4" s="327"/>
      <c r="SBT4" s="14"/>
      <c r="SBW4" s="324"/>
      <c r="SBX4" s="329"/>
      <c r="SBY4" s="1"/>
      <c r="SBZ4" s="327"/>
      <c r="SCA4" s="14"/>
      <c r="SCD4" s="324"/>
      <c r="SCE4" s="329"/>
      <c r="SCF4" s="1"/>
      <c r="SCG4" s="327"/>
      <c r="SCH4" s="14"/>
      <c r="SCK4" s="324"/>
      <c r="SCL4" s="329"/>
      <c r="SCM4" s="1"/>
      <c r="SCN4" s="327"/>
      <c r="SCO4" s="14"/>
      <c r="SCR4" s="324"/>
      <c r="SCS4" s="329"/>
      <c r="SCT4" s="1"/>
      <c r="SCU4" s="327"/>
      <c r="SCV4" s="14"/>
      <c r="SCY4" s="324"/>
      <c r="SCZ4" s="329"/>
      <c r="SDA4" s="1"/>
      <c r="SDB4" s="327"/>
      <c r="SDC4" s="14"/>
      <c r="SDF4" s="324"/>
      <c r="SDG4" s="329"/>
      <c r="SDH4" s="1"/>
      <c r="SDI4" s="327"/>
      <c r="SDJ4" s="14"/>
      <c r="SDM4" s="324"/>
      <c r="SDN4" s="329"/>
      <c r="SDO4" s="1"/>
      <c r="SDP4" s="327"/>
      <c r="SDQ4" s="14"/>
      <c r="SDT4" s="324"/>
      <c r="SDU4" s="329"/>
      <c r="SDV4" s="1"/>
      <c r="SDW4" s="327"/>
      <c r="SDX4" s="14"/>
      <c r="SEA4" s="324"/>
      <c r="SEB4" s="329"/>
      <c r="SEC4" s="1"/>
      <c r="SED4" s="327"/>
      <c r="SEE4" s="14"/>
      <c r="SEH4" s="324"/>
      <c r="SEI4" s="329"/>
      <c r="SEJ4" s="1"/>
      <c r="SEK4" s="327"/>
      <c r="SEL4" s="14"/>
      <c r="SEO4" s="324"/>
      <c r="SEP4" s="329"/>
      <c r="SEQ4" s="1"/>
      <c r="SER4" s="327"/>
      <c r="SES4" s="14"/>
      <c r="SEV4" s="324"/>
      <c r="SEW4" s="329"/>
      <c r="SEX4" s="1"/>
      <c r="SEY4" s="327"/>
      <c r="SEZ4" s="14"/>
      <c r="SFC4" s="324"/>
      <c r="SFD4" s="329"/>
      <c r="SFE4" s="1"/>
      <c r="SFF4" s="327"/>
      <c r="SFG4" s="14"/>
      <c r="SFJ4" s="324"/>
      <c r="SFK4" s="329"/>
      <c r="SFL4" s="1"/>
      <c r="SFM4" s="327"/>
      <c r="SFN4" s="14"/>
      <c r="SFQ4" s="324"/>
      <c r="SFR4" s="329"/>
      <c r="SFS4" s="1"/>
      <c r="SFT4" s="327"/>
      <c r="SFU4" s="14"/>
      <c r="SFX4" s="324"/>
      <c r="SFY4" s="329"/>
      <c r="SFZ4" s="1"/>
      <c r="SGA4" s="327"/>
      <c r="SGB4" s="14"/>
      <c r="SGE4" s="324"/>
      <c r="SGF4" s="329"/>
      <c r="SGG4" s="1"/>
      <c r="SGH4" s="327"/>
      <c r="SGI4" s="14"/>
      <c r="SGL4" s="324"/>
      <c r="SGM4" s="329"/>
      <c r="SGN4" s="1"/>
      <c r="SGO4" s="327"/>
      <c r="SGP4" s="14"/>
      <c r="SGS4" s="324"/>
      <c r="SGT4" s="329"/>
      <c r="SGU4" s="1"/>
      <c r="SGV4" s="327"/>
      <c r="SGW4" s="14"/>
      <c r="SGZ4" s="324"/>
      <c r="SHA4" s="329"/>
      <c r="SHB4" s="1"/>
      <c r="SHC4" s="327"/>
      <c r="SHD4" s="14"/>
      <c r="SHG4" s="324"/>
      <c r="SHH4" s="329"/>
      <c r="SHI4" s="1"/>
      <c r="SHJ4" s="327"/>
      <c r="SHK4" s="14"/>
      <c r="SHN4" s="324"/>
      <c r="SHO4" s="329"/>
      <c r="SHP4" s="1"/>
      <c r="SHQ4" s="327"/>
      <c r="SHR4" s="14"/>
      <c r="SHU4" s="324"/>
      <c r="SHV4" s="329"/>
      <c r="SHW4" s="1"/>
      <c r="SHX4" s="327"/>
      <c r="SHY4" s="14"/>
      <c r="SIB4" s="324"/>
      <c r="SIC4" s="329"/>
      <c r="SID4" s="1"/>
      <c r="SIE4" s="327"/>
      <c r="SIF4" s="14"/>
      <c r="SII4" s="324"/>
      <c r="SIJ4" s="329"/>
      <c r="SIK4" s="1"/>
      <c r="SIL4" s="327"/>
      <c r="SIM4" s="14"/>
      <c r="SIP4" s="324"/>
      <c r="SIQ4" s="329"/>
      <c r="SIR4" s="1"/>
      <c r="SIS4" s="327"/>
      <c r="SIT4" s="14"/>
      <c r="SIW4" s="324"/>
      <c r="SIX4" s="329"/>
      <c r="SIY4" s="1"/>
      <c r="SIZ4" s="327"/>
      <c r="SJA4" s="14"/>
      <c r="SJD4" s="324"/>
      <c r="SJE4" s="329"/>
      <c r="SJF4" s="1"/>
      <c r="SJG4" s="327"/>
      <c r="SJH4" s="14"/>
      <c r="SJK4" s="324"/>
      <c r="SJL4" s="329"/>
      <c r="SJM4" s="1"/>
      <c r="SJN4" s="327"/>
      <c r="SJO4" s="14"/>
      <c r="SJR4" s="324"/>
      <c r="SJS4" s="329"/>
      <c r="SJT4" s="1"/>
      <c r="SJU4" s="327"/>
      <c r="SJV4" s="14"/>
      <c r="SJY4" s="324"/>
      <c r="SJZ4" s="329"/>
      <c r="SKA4" s="1"/>
      <c r="SKB4" s="327"/>
      <c r="SKC4" s="14"/>
      <c r="SKF4" s="324"/>
      <c r="SKG4" s="329"/>
      <c r="SKH4" s="1"/>
      <c r="SKI4" s="327"/>
      <c r="SKJ4" s="14"/>
      <c r="SKM4" s="324"/>
      <c r="SKN4" s="329"/>
      <c r="SKO4" s="1"/>
      <c r="SKP4" s="327"/>
      <c r="SKQ4" s="14"/>
      <c r="SKT4" s="324"/>
      <c r="SKU4" s="329"/>
      <c r="SKV4" s="1"/>
      <c r="SKW4" s="327"/>
      <c r="SKX4" s="14"/>
      <c r="SLA4" s="324"/>
      <c r="SLB4" s="329"/>
      <c r="SLC4" s="1"/>
      <c r="SLD4" s="327"/>
      <c r="SLE4" s="14"/>
      <c r="SLH4" s="324"/>
      <c r="SLI4" s="329"/>
      <c r="SLJ4" s="1"/>
      <c r="SLK4" s="327"/>
      <c r="SLL4" s="14"/>
      <c r="SLO4" s="324"/>
      <c r="SLP4" s="329"/>
      <c r="SLQ4" s="1"/>
      <c r="SLR4" s="327"/>
      <c r="SLS4" s="14"/>
      <c r="SLV4" s="324"/>
      <c r="SLW4" s="329"/>
      <c r="SLX4" s="1"/>
      <c r="SLY4" s="327"/>
      <c r="SLZ4" s="14"/>
      <c r="SMC4" s="324"/>
      <c r="SMD4" s="329"/>
      <c r="SME4" s="1"/>
      <c r="SMF4" s="327"/>
      <c r="SMG4" s="14"/>
      <c r="SMJ4" s="324"/>
      <c r="SMK4" s="329"/>
      <c r="SML4" s="1"/>
      <c r="SMM4" s="327"/>
      <c r="SMN4" s="14"/>
      <c r="SMQ4" s="324"/>
      <c r="SMR4" s="329"/>
      <c r="SMS4" s="1"/>
      <c r="SMT4" s="327"/>
      <c r="SMU4" s="14"/>
      <c r="SMX4" s="324"/>
      <c r="SMY4" s="329"/>
      <c r="SMZ4" s="1"/>
      <c r="SNA4" s="327"/>
      <c r="SNB4" s="14"/>
      <c r="SNE4" s="324"/>
      <c r="SNF4" s="329"/>
      <c r="SNG4" s="1"/>
      <c r="SNH4" s="327"/>
      <c r="SNI4" s="14"/>
      <c r="SNL4" s="324"/>
      <c r="SNM4" s="329"/>
      <c r="SNN4" s="1"/>
      <c r="SNO4" s="327"/>
      <c r="SNP4" s="14"/>
      <c r="SNS4" s="324"/>
      <c r="SNT4" s="329"/>
      <c r="SNU4" s="1"/>
      <c r="SNV4" s="327"/>
      <c r="SNW4" s="14"/>
      <c r="SNZ4" s="324"/>
      <c r="SOA4" s="329"/>
      <c r="SOB4" s="1"/>
      <c r="SOC4" s="327"/>
      <c r="SOD4" s="14"/>
      <c r="SOG4" s="324"/>
      <c r="SOH4" s="329"/>
      <c r="SOI4" s="1"/>
      <c r="SOJ4" s="327"/>
      <c r="SOK4" s="14"/>
      <c r="SON4" s="324"/>
      <c r="SOO4" s="329"/>
      <c r="SOP4" s="1"/>
      <c r="SOQ4" s="327"/>
      <c r="SOR4" s="14"/>
      <c r="SOU4" s="324"/>
      <c r="SOV4" s="329"/>
      <c r="SOW4" s="1"/>
      <c r="SOX4" s="327"/>
      <c r="SOY4" s="14"/>
      <c r="SPB4" s="324"/>
      <c r="SPC4" s="329"/>
      <c r="SPD4" s="1"/>
      <c r="SPE4" s="327"/>
      <c r="SPF4" s="14"/>
      <c r="SPI4" s="324"/>
      <c r="SPJ4" s="329"/>
      <c r="SPK4" s="1"/>
      <c r="SPL4" s="327"/>
      <c r="SPM4" s="14"/>
      <c r="SPP4" s="324"/>
      <c r="SPQ4" s="329"/>
      <c r="SPR4" s="1"/>
      <c r="SPS4" s="327"/>
      <c r="SPT4" s="14"/>
      <c r="SPW4" s="324"/>
      <c r="SPX4" s="329"/>
      <c r="SPY4" s="1"/>
      <c r="SPZ4" s="327"/>
      <c r="SQA4" s="14"/>
      <c r="SQD4" s="324"/>
      <c r="SQE4" s="329"/>
      <c r="SQF4" s="1"/>
      <c r="SQG4" s="327"/>
      <c r="SQH4" s="14"/>
      <c r="SQK4" s="324"/>
      <c r="SQL4" s="329"/>
      <c r="SQM4" s="1"/>
      <c r="SQN4" s="327"/>
      <c r="SQO4" s="14"/>
      <c r="SQR4" s="324"/>
      <c r="SQS4" s="329"/>
      <c r="SQT4" s="1"/>
      <c r="SQU4" s="327"/>
      <c r="SQV4" s="14"/>
      <c r="SQY4" s="324"/>
      <c r="SQZ4" s="329"/>
      <c r="SRA4" s="1"/>
      <c r="SRB4" s="327"/>
      <c r="SRC4" s="14"/>
      <c r="SRF4" s="324"/>
      <c r="SRG4" s="329"/>
      <c r="SRH4" s="1"/>
      <c r="SRI4" s="327"/>
      <c r="SRJ4" s="14"/>
      <c r="SRM4" s="324"/>
      <c r="SRN4" s="329"/>
      <c r="SRO4" s="1"/>
      <c r="SRP4" s="327"/>
      <c r="SRQ4" s="14"/>
      <c r="SRT4" s="324"/>
      <c r="SRU4" s="329"/>
      <c r="SRV4" s="1"/>
      <c r="SRW4" s="327"/>
      <c r="SRX4" s="14"/>
      <c r="SSA4" s="324"/>
      <c r="SSB4" s="329"/>
      <c r="SSC4" s="1"/>
      <c r="SSD4" s="327"/>
      <c r="SSE4" s="14"/>
      <c r="SSH4" s="324"/>
      <c r="SSI4" s="329"/>
      <c r="SSJ4" s="1"/>
      <c r="SSK4" s="327"/>
      <c r="SSL4" s="14"/>
      <c r="SSO4" s="324"/>
      <c r="SSP4" s="329"/>
      <c r="SSQ4" s="1"/>
      <c r="SSR4" s="327"/>
      <c r="SSS4" s="14"/>
      <c r="SSV4" s="324"/>
      <c r="SSW4" s="329"/>
      <c r="SSX4" s="1"/>
      <c r="SSY4" s="327"/>
      <c r="SSZ4" s="14"/>
      <c r="STC4" s="324"/>
      <c r="STD4" s="329"/>
      <c r="STE4" s="1"/>
      <c r="STF4" s="327"/>
      <c r="STG4" s="14"/>
      <c r="STJ4" s="324"/>
      <c r="STK4" s="329"/>
      <c r="STL4" s="1"/>
      <c r="STM4" s="327"/>
      <c r="STN4" s="14"/>
      <c r="STQ4" s="324"/>
      <c r="STR4" s="329"/>
      <c r="STS4" s="1"/>
      <c r="STT4" s="327"/>
      <c r="STU4" s="14"/>
      <c r="STX4" s="324"/>
      <c r="STY4" s="329"/>
      <c r="STZ4" s="1"/>
      <c r="SUA4" s="327"/>
      <c r="SUB4" s="14"/>
      <c r="SUE4" s="324"/>
      <c r="SUF4" s="329"/>
      <c r="SUG4" s="1"/>
      <c r="SUH4" s="327"/>
      <c r="SUI4" s="14"/>
      <c r="SUL4" s="324"/>
      <c r="SUM4" s="329"/>
      <c r="SUN4" s="1"/>
      <c r="SUO4" s="327"/>
      <c r="SUP4" s="14"/>
      <c r="SUS4" s="324"/>
      <c r="SUT4" s="329"/>
      <c r="SUU4" s="1"/>
      <c r="SUV4" s="327"/>
      <c r="SUW4" s="14"/>
      <c r="SUZ4" s="324"/>
      <c r="SVA4" s="329"/>
      <c r="SVB4" s="1"/>
      <c r="SVC4" s="327"/>
      <c r="SVD4" s="14"/>
      <c r="SVG4" s="324"/>
      <c r="SVH4" s="329"/>
      <c r="SVI4" s="1"/>
      <c r="SVJ4" s="327"/>
      <c r="SVK4" s="14"/>
      <c r="SVN4" s="324"/>
      <c r="SVO4" s="329"/>
      <c r="SVP4" s="1"/>
      <c r="SVQ4" s="327"/>
      <c r="SVR4" s="14"/>
      <c r="SVU4" s="324"/>
      <c r="SVV4" s="329"/>
      <c r="SVW4" s="1"/>
      <c r="SVX4" s="327"/>
      <c r="SVY4" s="14"/>
      <c r="SWB4" s="324"/>
      <c r="SWC4" s="329"/>
      <c r="SWD4" s="1"/>
      <c r="SWE4" s="327"/>
      <c r="SWF4" s="14"/>
      <c r="SWI4" s="324"/>
      <c r="SWJ4" s="329"/>
      <c r="SWK4" s="1"/>
      <c r="SWL4" s="327"/>
      <c r="SWM4" s="14"/>
      <c r="SWP4" s="324"/>
      <c r="SWQ4" s="329"/>
      <c r="SWR4" s="1"/>
      <c r="SWS4" s="327"/>
      <c r="SWT4" s="14"/>
      <c r="SWW4" s="324"/>
      <c r="SWX4" s="329"/>
      <c r="SWY4" s="1"/>
      <c r="SWZ4" s="327"/>
      <c r="SXA4" s="14"/>
      <c r="SXD4" s="324"/>
      <c r="SXE4" s="329"/>
      <c r="SXF4" s="1"/>
      <c r="SXG4" s="327"/>
      <c r="SXH4" s="14"/>
      <c r="SXK4" s="324"/>
      <c r="SXL4" s="329"/>
      <c r="SXM4" s="1"/>
      <c r="SXN4" s="327"/>
      <c r="SXO4" s="14"/>
      <c r="SXR4" s="324"/>
      <c r="SXS4" s="329"/>
      <c r="SXT4" s="1"/>
      <c r="SXU4" s="327"/>
      <c r="SXV4" s="14"/>
      <c r="SXY4" s="324"/>
      <c r="SXZ4" s="329"/>
      <c r="SYA4" s="1"/>
      <c r="SYB4" s="327"/>
      <c r="SYC4" s="14"/>
      <c r="SYF4" s="324"/>
      <c r="SYG4" s="329"/>
      <c r="SYH4" s="1"/>
      <c r="SYI4" s="327"/>
      <c r="SYJ4" s="14"/>
      <c r="SYM4" s="324"/>
      <c r="SYN4" s="329"/>
      <c r="SYO4" s="1"/>
      <c r="SYP4" s="327"/>
      <c r="SYQ4" s="14"/>
      <c r="SYT4" s="324"/>
      <c r="SYU4" s="329"/>
      <c r="SYV4" s="1"/>
      <c r="SYW4" s="327"/>
      <c r="SYX4" s="14"/>
      <c r="SZA4" s="324"/>
      <c r="SZB4" s="329"/>
      <c r="SZC4" s="1"/>
      <c r="SZD4" s="327"/>
      <c r="SZE4" s="14"/>
      <c r="SZH4" s="324"/>
      <c r="SZI4" s="329"/>
      <c r="SZJ4" s="1"/>
      <c r="SZK4" s="327"/>
      <c r="SZL4" s="14"/>
      <c r="SZO4" s="324"/>
      <c r="SZP4" s="329"/>
      <c r="SZQ4" s="1"/>
      <c r="SZR4" s="327"/>
      <c r="SZS4" s="14"/>
      <c r="SZV4" s="324"/>
      <c r="SZW4" s="329"/>
      <c r="SZX4" s="1"/>
      <c r="SZY4" s="327"/>
      <c r="SZZ4" s="14"/>
      <c r="TAC4" s="324"/>
      <c r="TAD4" s="329"/>
      <c r="TAE4" s="1"/>
      <c r="TAF4" s="327"/>
      <c r="TAG4" s="14"/>
      <c r="TAJ4" s="324"/>
      <c r="TAK4" s="329"/>
      <c r="TAL4" s="1"/>
      <c r="TAM4" s="327"/>
      <c r="TAN4" s="14"/>
      <c r="TAQ4" s="324"/>
      <c r="TAR4" s="329"/>
      <c r="TAS4" s="1"/>
      <c r="TAT4" s="327"/>
      <c r="TAU4" s="14"/>
      <c r="TAX4" s="324"/>
      <c r="TAY4" s="329"/>
      <c r="TAZ4" s="1"/>
      <c r="TBA4" s="327"/>
      <c r="TBB4" s="14"/>
      <c r="TBE4" s="324"/>
      <c r="TBF4" s="329"/>
      <c r="TBG4" s="1"/>
      <c r="TBH4" s="327"/>
      <c r="TBI4" s="14"/>
      <c r="TBL4" s="324"/>
      <c r="TBM4" s="329"/>
      <c r="TBN4" s="1"/>
      <c r="TBO4" s="327"/>
      <c r="TBP4" s="14"/>
      <c r="TBS4" s="324"/>
      <c r="TBT4" s="329"/>
      <c r="TBU4" s="1"/>
      <c r="TBV4" s="327"/>
      <c r="TBW4" s="14"/>
      <c r="TBZ4" s="324"/>
      <c r="TCA4" s="329"/>
      <c r="TCB4" s="1"/>
      <c r="TCC4" s="327"/>
      <c r="TCD4" s="14"/>
      <c r="TCG4" s="324"/>
      <c r="TCH4" s="329"/>
      <c r="TCI4" s="1"/>
      <c r="TCJ4" s="327"/>
      <c r="TCK4" s="14"/>
      <c r="TCN4" s="324"/>
      <c r="TCO4" s="329"/>
      <c r="TCP4" s="1"/>
      <c r="TCQ4" s="327"/>
      <c r="TCR4" s="14"/>
      <c r="TCU4" s="324"/>
      <c r="TCV4" s="329"/>
      <c r="TCW4" s="1"/>
      <c r="TCX4" s="327"/>
      <c r="TCY4" s="14"/>
      <c r="TDB4" s="324"/>
      <c r="TDC4" s="329"/>
      <c r="TDD4" s="1"/>
      <c r="TDE4" s="327"/>
      <c r="TDF4" s="14"/>
      <c r="TDI4" s="324"/>
      <c r="TDJ4" s="329"/>
      <c r="TDK4" s="1"/>
      <c r="TDL4" s="327"/>
      <c r="TDM4" s="14"/>
      <c r="TDP4" s="324"/>
      <c r="TDQ4" s="329"/>
      <c r="TDR4" s="1"/>
      <c r="TDS4" s="327"/>
      <c r="TDT4" s="14"/>
      <c r="TDW4" s="324"/>
      <c r="TDX4" s="329"/>
      <c r="TDY4" s="1"/>
      <c r="TDZ4" s="327"/>
      <c r="TEA4" s="14"/>
      <c r="TED4" s="324"/>
      <c r="TEE4" s="329"/>
      <c r="TEF4" s="1"/>
      <c r="TEG4" s="327"/>
      <c r="TEH4" s="14"/>
      <c r="TEK4" s="324"/>
      <c r="TEL4" s="329"/>
      <c r="TEM4" s="1"/>
      <c r="TEN4" s="327"/>
      <c r="TEO4" s="14"/>
      <c r="TER4" s="324"/>
      <c r="TES4" s="329"/>
      <c r="TET4" s="1"/>
      <c r="TEU4" s="327"/>
      <c r="TEV4" s="14"/>
      <c r="TEY4" s="324"/>
      <c r="TEZ4" s="329"/>
      <c r="TFA4" s="1"/>
      <c r="TFB4" s="327"/>
      <c r="TFC4" s="14"/>
      <c r="TFF4" s="324"/>
      <c r="TFG4" s="329"/>
      <c r="TFH4" s="1"/>
      <c r="TFI4" s="327"/>
      <c r="TFJ4" s="14"/>
      <c r="TFM4" s="324"/>
      <c r="TFN4" s="329"/>
      <c r="TFO4" s="1"/>
      <c r="TFP4" s="327"/>
      <c r="TFQ4" s="14"/>
      <c r="TFT4" s="324"/>
      <c r="TFU4" s="329"/>
      <c r="TFV4" s="1"/>
      <c r="TFW4" s="327"/>
      <c r="TFX4" s="14"/>
      <c r="TGA4" s="324"/>
      <c r="TGB4" s="329"/>
      <c r="TGC4" s="1"/>
      <c r="TGD4" s="327"/>
      <c r="TGE4" s="14"/>
      <c r="TGH4" s="324"/>
      <c r="TGI4" s="329"/>
      <c r="TGJ4" s="1"/>
      <c r="TGK4" s="327"/>
      <c r="TGL4" s="14"/>
      <c r="TGO4" s="324"/>
      <c r="TGP4" s="329"/>
      <c r="TGQ4" s="1"/>
      <c r="TGR4" s="327"/>
      <c r="TGS4" s="14"/>
      <c r="TGV4" s="324"/>
      <c r="TGW4" s="329"/>
      <c r="TGX4" s="1"/>
      <c r="TGY4" s="327"/>
      <c r="TGZ4" s="14"/>
      <c r="THC4" s="324"/>
      <c r="THD4" s="329"/>
      <c r="THE4" s="1"/>
      <c r="THF4" s="327"/>
      <c r="THG4" s="14"/>
      <c r="THJ4" s="324"/>
      <c r="THK4" s="329"/>
      <c r="THL4" s="1"/>
      <c r="THM4" s="327"/>
      <c r="THN4" s="14"/>
      <c r="THQ4" s="324"/>
      <c r="THR4" s="329"/>
      <c r="THS4" s="1"/>
      <c r="THT4" s="327"/>
      <c r="THU4" s="14"/>
      <c r="THX4" s="324"/>
      <c r="THY4" s="329"/>
      <c r="THZ4" s="1"/>
      <c r="TIA4" s="327"/>
      <c r="TIB4" s="14"/>
      <c r="TIE4" s="324"/>
      <c r="TIF4" s="329"/>
      <c r="TIG4" s="1"/>
      <c r="TIH4" s="327"/>
      <c r="TII4" s="14"/>
      <c r="TIL4" s="324"/>
      <c r="TIM4" s="329"/>
      <c r="TIN4" s="1"/>
      <c r="TIO4" s="327"/>
      <c r="TIP4" s="14"/>
      <c r="TIS4" s="324"/>
      <c r="TIT4" s="329"/>
      <c r="TIU4" s="1"/>
      <c r="TIV4" s="327"/>
      <c r="TIW4" s="14"/>
      <c r="TIZ4" s="324"/>
      <c r="TJA4" s="329"/>
      <c r="TJB4" s="1"/>
      <c r="TJC4" s="327"/>
      <c r="TJD4" s="14"/>
      <c r="TJG4" s="324"/>
      <c r="TJH4" s="329"/>
      <c r="TJI4" s="1"/>
      <c r="TJJ4" s="327"/>
      <c r="TJK4" s="14"/>
      <c r="TJN4" s="324"/>
      <c r="TJO4" s="329"/>
      <c r="TJP4" s="1"/>
      <c r="TJQ4" s="327"/>
      <c r="TJR4" s="14"/>
      <c r="TJU4" s="324"/>
      <c r="TJV4" s="329"/>
      <c r="TJW4" s="1"/>
      <c r="TJX4" s="327"/>
      <c r="TJY4" s="14"/>
      <c r="TKB4" s="324"/>
      <c r="TKC4" s="329"/>
      <c r="TKD4" s="1"/>
      <c r="TKE4" s="327"/>
      <c r="TKF4" s="14"/>
      <c r="TKI4" s="324"/>
      <c r="TKJ4" s="329"/>
      <c r="TKK4" s="1"/>
      <c r="TKL4" s="327"/>
      <c r="TKM4" s="14"/>
      <c r="TKP4" s="324"/>
      <c r="TKQ4" s="329"/>
      <c r="TKR4" s="1"/>
      <c r="TKS4" s="327"/>
      <c r="TKT4" s="14"/>
      <c r="TKW4" s="324"/>
      <c r="TKX4" s="329"/>
      <c r="TKY4" s="1"/>
      <c r="TKZ4" s="327"/>
      <c r="TLA4" s="14"/>
      <c r="TLD4" s="324"/>
      <c r="TLE4" s="329"/>
      <c r="TLF4" s="1"/>
      <c r="TLG4" s="327"/>
      <c r="TLH4" s="14"/>
      <c r="TLK4" s="324"/>
      <c r="TLL4" s="329"/>
      <c r="TLM4" s="1"/>
      <c r="TLN4" s="327"/>
      <c r="TLO4" s="14"/>
      <c r="TLR4" s="324"/>
      <c r="TLS4" s="329"/>
      <c r="TLT4" s="1"/>
      <c r="TLU4" s="327"/>
      <c r="TLV4" s="14"/>
      <c r="TLY4" s="324"/>
      <c r="TLZ4" s="329"/>
      <c r="TMA4" s="1"/>
      <c r="TMB4" s="327"/>
      <c r="TMC4" s="14"/>
      <c r="TMF4" s="324"/>
      <c r="TMG4" s="329"/>
      <c r="TMH4" s="1"/>
      <c r="TMI4" s="327"/>
      <c r="TMJ4" s="14"/>
      <c r="TMM4" s="324"/>
      <c r="TMN4" s="329"/>
      <c r="TMO4" s="1"/>
      <c r="TMP4" s="327"/>
      <c r="TMQ4" s="14"/>
      <c r="TMT4" s="324"/>
      <c r="TMU4" s="329"/>
      <c r="TMV4" s="1"/>
      <c r="TMW4" s="327"/>
      <c r="TMX4" s="14"/>
      <c r="TNA4" s="324"/>
      <c r="TNB4" s="329"/>
      <c r="TNC4" s="1"/>
      <c r="TND4" s="327"/>
      <c r="TNE4" s="14"/>
      <c r="TNH4" s="324"/>
      <c r="TNI4" s="329"/>
      <c r="TNJ4" s="1"/>
      <c r="TNK4" s="327"/>
      <c r="TNL4" s="14"/>
      <c r="TNO4" s="324"/>
      <c r="TNP4" s="329"/>
      <c r="TNQ4" s="1"/>
      <c r="TNR4" s="327"/>
      <c r="TNS4" s="14"/>
      <c r="TNV4" s="324"/>
      <c r="TNW4" s="329"/>
      <c r="TNX4" s="1"/>
      <c r="TNY4" s="327"/>
      <c r="TNZ4" s="14"/>
      <c r="TOC4" s="324"/>
      <c r="TOD4" s="329"/>
      <c r="TOE4" s="1"/>
      <c r="TOF4" s="327"/>
      <c r="TOG4" s="14"/>
      <c r="TOJ4" s="324"/>
      <c r="TOK4" s="329"/>
      <c r="TOL4" s="1"/>
      <c r="TOM4" s="327"/>
      <c r="TON4" s="14"/>
      <c r="TOQ4" s="324"/>
      <c r="TOR4" s="329"/>
      <c r="TOS4" s="1"/>
      <c r="TOT4" s="327"/>
      <c r="TOU4" s="14"/>
      <c r="TOX4" s="324"/>
      <c r="TOY4" s="329"/>
      <c r="TOZ4" s="1"/>
      <c r="TPA4" s="327"/>
      <c r="TPB4" s="14"/>
      <c r="TPE4" s="324"/>
      <c r="TPF4" s="329"/>
      <c r="TPG4" s="1"/>
      <c r="TPH4" s="327"/>
      <c r="TPI4" s="14"/>
      <c r="TPL4" s="324"/>
      <c r="TPM4" s="329"/>
      <c r="TPN4" s="1"/>
      <c r="TPO4" s="327"/>
      <c r="TPP4" s="14"/>
      <c r="TPS4" s="324"/>
      <c r="TPT4" s="329"/>
      <c r="TPU4" s="1"/>
      <c r="TPV4" s="327"/>
      <c r="TPW4" s="14"/>
      <c r="TPZ4" s="324"/>
      <c r="TQA4" s="329"/>
      <c r="TQB4" s="1"/>
      <c r="TQC4" s="327"/>
      <c r="TQD4" s="14"/>
      <c r="TQG4" s="324"/>
      <c r="TQH4" s="329"/>
      <c r="TQI4" s="1"/>
      <c r="TQJ4" s="327"/>
      <c r="TQK4" s="14"/>
      <c r="TQN4" s="324"/>
      <c r="TQO4" s="329"/>
      <c r="TQP4" s="1"/>
      <c r="TQQ4" s="327"/>
      <c r="TQR4" s="14"/>
      <c r="TQU4" s="324"/>
      <c r="TQV4" s="329"/>
      <c r="TQW4" s="1"/>
      <c r="TQX4" s="327"/>
      <c r="TQY4" s="14"/>
      <c r="TRB4" s="324"/>
      <c r="TRC4" s="329"/>
      <c r="TRD4" s="1"/>
      <c r="TRE4" s="327"/>
      <c r="TRF4" s="14"/>
      <c r="TRI4" s="324"/>
      <c r="TRJ4" s="329"/>
      <c r="TRK4" s="1"/>
      <c r="TRL4" s="327"/>
      <c r="TRM4" s="14"/>
      <c r="TRP4" s="324"/>
      <c r="TRQ4" s="329"/>
      <c r="TRR4" s="1"/>
      <c r="TRS4" s="327"/>
      <c r="TRT4" s="14"/>
      <c r="TRW4" s="324"/>
      <c r="TRX4" s="329"/>
      <c r="TRY4" s="1"/>
      <c r="TRZ4" s="327"/>
      <c r="TSA4" s="14"/>
      <c r="TSD4" s="324"/>
      <c r="TSE4" s="329"/>
      <c r="TSF4" s="1"/>
      <c r="TSG4" s="327"/>
      <c r="TSH4" s="14"/>
      <c r="TSK4" s="324"/>
      <c r="TSL4" s="329"/>
      <c r="TSM4" s="1"/>
      <c r="TSN4" s="327"/>
      <c r="TSO4" s="14"/>
      <c r="TSR4" s="324"/>
      <c r="TSS4" s="329"/>
      <c r="TST4" s="1"/>
      <c r="TSU4" s="327"/>
      <c r="TSV4" s="14"/>
      <c r="TSY4" s="324"/>
      <c r="TSZ4" s="329"/>
      <c r="TTA4" s="1"/>
      <c r="TTB4" s="327"/>
      <c r="TTC4" s="14"/>
      <c r="TTF4" s="324"/>
      <c r="TTG4" s="329"/>
      <c r="TTH4" s="1"/>
      <c r="TTI4" s="327"/>
      <c r="TTJ4" s="14"/>
      <c r="TTM4" s="324"/>
      <c r="TTN4" s="329"/>
      <c r="TTO4" s="1"/>
      <c r="TTP4" s="327"/>
      <c r="TTQ4" s="14"/>
      <c r="TTT4" s="324"/>
      <c r="TTU4" s="329"/>
      <c r="TTV4" s="1"/>
      <c r="TTW4" s="327"/>
      <c r="TTX4" s="14"/>
      <c r="TUA4" s="324"/>
      <c r="TUB4" s="329"/>
      <c r="TUC4" s="1"/>
      <c r="TUD4" s="327"/>
      <c r="TUE4" s="14"/>
      <c r="TUH4" s="324"/>
      <c r="TUI4" s="329"/>
      <c r="TUJ4" s="1"/>
      <c r="TUK4" s="327"/>
      <c r="TUL4" s="14"/>
      <c r="TUO4" s="324"/>
      <c r="TUP4" s="329"/>
      <c r="TUQ4" s="1"/>
      <c r="TUR4" s="327"/>
      <c r="TUS4" s="14"/>
      <c r="TUV4" s="324"/>
      <c r="TUW4" s="329"/>
      <c r="TUX4" s="1"/>
      <c r="TUY4" s="327"/>
      <c r="TUZ4" s="14"/>
      <c r="TVC4" s="324"/>
      <c r="TVD4" s="329"/>
      <c r="TVE4" s="1"/>
      <c r="TVF4" s="327"/>
      <c r="TVG4" s="14"/>
      <c r="TVJ4" s="324"/>
      <c r="TVK4" s="329"/>
      <c r="TVL4" s="1"/>
      <c r="TVM4" s="327"/>
      <c r="TVN4" s="14"/>
      <c r="TVQ4" s="324"/>
      <c r="TVR4" s="329"/>
      <c r="TVS4" s="1"/>
      <c r="TVT4" s="327"/>
      <c r="TVU4" s="14"/>
      <c r="TVX4" s="324"/>
      <c r="TVY4" s="329"/>
      <c r="TVZ4" s="1"/>
      <c r="TWA4" s="327"/>
      <c r="TWB4" s="14"/>
      <c r="TWE4" s="324"/>
      <c r="TWF4" s="329"/>
      <c r="TWG4" s="1"/>
      <c r="TWH4" s="327"/>
      <c r="TWI4" s="14"/>
      <c r="TWL4" s="324"/>
      <c r="TWM4" s="329"/>
      <c r="TWN4" s="1"/>
      <c r="TWO4" s="327"/>
      <c r="TWP4" s="14"/>
      <c r="TWS4" s="324"/>
      <c r="TWT4" s="329"/>
      <c r="TWU4" s="1"/>
      <c r="TWV4" s="327"/>
      <c r="TWW4" s="14"/>
      <c r="TWZ4" s="324"/>
      <c r="TXA4" s="329"/>
      <c r="TXB4" s="1"/>
      <c r="TXC4" s="327"/>
      <c r="TXD4" s="14"/>
      <c r="TXG4" s="324"/>
      <c r="TXH4" s="329"/>
      <c r="TXI4" s="1"/>
      <c r="TXJ4" s="327"/>
      <c r="TXK4" s="14"/>
      <c r="TXN4" s="324"/>
      <c r="TXO4" s="329"/>
      <c r="TXP4" s="1"/>
      <c r="TXQ4" s="327"/>
      <c r="TXR4" s="14"/>
      <c r="TXU4" s="324"/>
      <c r="TXV4" s="329"/>
      <c r="TXW4" s="1"/>
      <c r="TXX4" s="327"/>
      <c r="TXY4" s="14"/>
      <c r="TYB4" s="324"/>
      <c r="TYC4" s="329"/>
      <c r="TYD4" s="1"/>
      <c r="TYE4" s="327"/>
      <c r="TYF4" s="14"/>
      <c r="TYI4" s="324"/>
      <c r="TYJ4" s="329"/>
      <c r="TYK4" s="1"/>
      <c r="TYL4" s="327"/>
      <c r="TYM4" s="14"/>
      <c r="TYP4" s="324"/>
      <c r="TYQ4" s="329"/>
      <c r="TYR4" s="1"/>
      <c r="TYS4" s="327"/>
      <c r="TYT4" s="14"/>
      <c r="TYW4" s="324"/>
      <c r="TYX4" s="329"/>
      <c r="TYY4" s="1"/>
      <c r="TYZ4" s="327"/>
      <c r="TZA4" s="14"/>
      <c r="TZD4" s="324"/>
      <c r="TZE4" s="329"/>
      <c r="TZF4" s="1"/>
      <c r="TZG4" s="327"/>
      <c r="TZH4" s="14"/>
      <c r="TZK4" s="324"/>
      <c r="TZL4" s="329"/>
      <c r="TZM4" s="1"/>
      <c r="TZN4" s="327"/>
      <c r="TZO4" s="14"/>
      <c r="TZR4" s="324"/>
      <c r="TZS4" s="329"/>
      <c r="TZT4" s="1"/>
      <c r="TZU4" s="327"/>
      <c r="TZV4" s="14"/>
      <c r="TZY4" s="324"/>
      <c r="TZZ4" s="329"/>
      <c r="UAA4" s="1"/>
      <c r="UAB4" s="327"/>
      <c r="UAC4" s="14"/>
      <c r="UAF4" s="324"/>
      <c r="UAG4" s="329"/>
      <c r="UAH4" s="1"/>
      <c r="UAI4" s="327"/>
      <c r="UAJ4" s="14"/>
      <c r="UAM4" s="324"/>
      <c r="UAN4" s="329"/>
      <c r="UAO4" s="1"/>
      <c r="UAP4" s="327"/>
      <c r="UAQ4" s="14"/>
      <c r="UAT4" s="324"/>
      <c r="UAU4" s="329"/>
      <c r="UAV4" s="1"/>
      <c r="UAW4" s="327"/>
      <c r="UAX4" s="14"/>
      <c r="UBA4" s="324"/>
      <c r="UBB4" s="329"/>
      <c r="UBC4" s="1"/>
      <c r="UBD4" s="327"/>
      <c r="UBE4" s="14"/>
      <c r="UBH4" s="324"/>
      <c r="UBI4" s="329"/>
      <c r="UBJ4" s="1"/>
      <c r="UBK4" s="327"/>
      <c r="UBL4" s="14"/>
      <c r="UBO4" s="324"/>
      <c r="UBP4" s="329"/>
      <c r="UBQ4" s="1"/>
      <c r="UBR4" s="327"/>
      <c r="UBS4" s="14"/>
      <c r="UBV4" s="324"/>
      <c r="UBW4" s="329"/>
      <c r="UBX4" s="1"/>
      <c r="UBY4" s="327"/>
      <c r="UBZ4" s="14"/>
      <c r="UCC4" s="324"/>
      <c r="UCD4" s="329"/>
      <c r="UCE4" s="1"/>
      <c r="UCF4" s="327"/>
      <c r="UCG4" s="14"/>
      <c r="UCJ4" s="324"/>
      <c r="UCK4" s="329"/>
      <c r="UCL4" s="1"/>
      <c r="UCM4" s="327"/>
      <c r="UCN4" s="14"/>
      <c r="UCQ4" s="324"/>
      <c r="UCR4" s="329"/>
      <c r="UCS4" s="1"/>
      <c r="UCT4" s="327"/>
      <c r="UCU4" s="14"/>
      <c r="UCX4" s="324"/>
      <c r="UCY4" s="329"/>
      <c r="UCZ4" s="1"/>
      <c r="UDA4" s="327"/>
      <c r="UDB4" s="14"/>
      <c r="UDE4" s="324"/>
      <c r="UDF4" s="329"/>
      <c r="UDG4" s="1"/>
      <c r="UDH4" s="327"/>
      <c r="UDI4" s="14"/>
      <c r="UDL4" s="324"/>
      <c r="UDM4" s="329"/>
      <c r="UDN4" s="1"/>
      <c r="UDO4" s="327"/>
      <c r="UDP4" s="14"/>
      <c r="UDS4" s="324"/>
      <c r="UDT4" s="329"/>
      <c r="UDU4" s="1"/>
      <c r="UDV4" s="327"/>
      <c r="UDW4" s="14"/>
      <c r="UDZ4" s="324"/>
      <c r="UEA4" s="329"/>
      <c r="UEB4" s="1"/>
      <c r="UEC4" s="327"/>
      <c r="UED4" s="14"/>
      <c r="UEG4" s="324"/>
      <c r="UEH4" s="329"/>
      <c r="UEI4" s="1"/>
      <c r="UEJ4" s="327"/>
      <c r="UEK4" s="14"/>
      <c r="UEN4" s="324"/>
      <c r="UEO4" s="329"/>
      <c r="UEP4" s="1"/>
      <c r="UEQ4" s="327"/>
      <c r="UER4" s="14"/>
      <c r="UEU4" s="324"/>
      <c r="UEV4" s="329"/>
      <c r="UEW4" s="1"/>
      <c r="UEX4" s="327"/>
      <c r="UEY4" s="14"/>
      <c r="UFB4" s="324"/>
      <c r="UFC4" s="329"/>
      <c r="UFD4" s="1"/>
      <c r="UFE4" s="327"/>
      <c r="UFF4" s="14"/>
      <c r="UFI4" s="324"/>
      <c r="UFJ4" s="329"/>
      <c r="UFK4" s="1"/>
      <c r="UFL4" s="327"/>
      <c r="UFM4" s="14"/>
      <c r="UFP4" s="324"/>
      <c r="UFQ4" s="329"/>
      <c r="UFR4" s="1"/>
      <c r="UFS4" s="327"/>
      <c r="UFT4" s="14"/>
      <c r="UFW4" s="324"/>
      <c r="UFX4" s="329"/>
      <c r="UFY4" s="1"/>
      <c r="UFZ4" s="327"/>
      <c r="UGA4" s="14"/>
      <c r="UGD4" s="324"/>
      <c r="UGE4" s="329"/>
      <c r="UGF4" s="1"/>
      <c r="UGG4" s="327"/>
      <c r="UGH4" s="14"/>
      <c r="UGK4" s="324"/>
      <c r="UGL4" s="329"/>
      <c r="UGM4" s="1"/>
      <c r="UGN4" s="327"/>
      <c r="UGO4" s="14"/>
      <c r="UGR4" s="324"/>
      <c r="UGS4" s="329"/>
      <c r="UGT4" s="1"/>
      <c r="UGU4" s="327"/>
      <c r="UGV4" s="14"/>
      <c r="UGY4" s="324"/>
      <c r="UGZ4" s="329"/>
      <c r="UHA4" s="1"/>
      <c r="UHB4" s="327"/>
      <c r="UHC4" s="14"/>
      <c r="UHF4" s="324"/>
      <c r="UHG4" s="329"/>
      <c r="UHH4" s="1"/>
      <c r="UHI4" s="327"/>
      <c r="UHJ4" s="14"/>
      <c r="UHM4" s="324"/>
      <c r="UHN4" s="329"/>
      <c r="UHO4" s="1"/>
      <c r="UHP4" s="327"/>
      <c r="UHQ4" s="14"/>
      <c r="UHT4" s="324"/>
      <c r="UHU4" s="329"/>
      <c r="UHV4" s="1"/>
      <c r="UHW4" s="327"/>
      <c r="UHX4" s="14"/>
      <c r="UIA4" s="324"/>
      <c r="UIB4" s="329"/>
      <c r="UIC4" s="1"/>
      <c r="UID4" s="327"/>
      <c r="UIE4" s="14"/>
      <c r="UIH4" s="324"/>
      <c r="UII4" s="329"/>
      <c r="UIJ4" s="1"/>
      <c r="UIK4" s="327"/>
      <c r="UIL4" s="14"/>
      <c r="UIO4" s="324"/>
      <c r="UIP4" s="329"/>
      <c r="UIQ4" s="1"/>
      <c r="UIR4" s="327"/>
      <c r="UIS4" s="14"/>
      <c r="UIV4" s="324"/>
      <c r="UIW4" s="329"/>
      <c r="UIX4" s="1"/>
      <c r="UIY4" s="327"/>
      <c r="UIZ4" s="14"/>
      <c r="UJC4" s="324"/>
      <c r="UJD4" s="329"/>
      <c r="UJE4" s="1"/>
      <c r="UJF4" s="327"/>
      <c r="UJG4" s="14"/>
      <c r="UJJ4" s="324"/>
      <c r="UJK4" s="329"/>
      <c r="UJL4" s="1"/>
      <c r="UJM4" s="327"/>
      <c r="UJN4" s="14"/>
      <c r="UJQ4" s="324"/>
      <c r="UJR4" s="329"/>
      <c r="UJS4" s="1"/>
      <c r="UJT4" s="327"/>
      <c r="UJU4" s="14"/>
      <c r="UJX4" s="324"/>
      <c r="UJY4" s="329"/>
      <c r="UJZ4" s="1"/>
      <c r="UKA4" s="327"/>
      <c r="UKB4" s="14"/>
      <c r="UKE4" s="324"/>
      <c r="UKF4" s="329"/>
      <c r="UKG4" s="1"/>
      <c r="UKH4" s="327"/>
      <c r="UKI4" s="14"/>
      <c r="UKL4" s="324"/>
      <c r="UKM4" s="329"/>
      <c r="UKN4" s="1"/>
      <c r="UKO4" s="327"/>
      <c r="UKP4" s="14"/>
      <c r="UKS4" s="324"/>
      <c r="UKT4" s="329"/>
      <c r="UKU4" s="1"/>
      <c r="UKV4" s="327"/>
      <c r="UKW4" s="14"/>
      <c r="UKZ4" s="324"/>
      <c r="ULA4" s="329"/>
      <c r="ULB4" s="1"/>
      <c r="ULC4" s="327"/>
      <c r="ULD4" s="14"/>
      <c r="ULG4" s="324"/>
      <c r="ULH4" s="329"/>
      <c r="ULI4" s="1"/>
      <c r="ULJ4" s="327"/>
      <c r="ULK4" s="14"/>
      <c r="ULN4" s="324"/>
      <c r="ULO4" s="329"/>
      <c r="ULP4" s="1"/>
      <c r="ULQ4" s="327"/>
      <c r="ULR4" s="14"/>
      <c r="ULU4" s="324"/>
      <c r="ULV4" s="329"/>
      <c r="ULW4" s="1"/>
      <c r="ULX4" s="327"/>
      <c r="ULY4" s="14"/>
      <c r="UMB4" s="324"/>
      <c r="UMC4" s="329"/>
      <c r="UMD4" s="1"/>
      <c r="UME4" s="327"/>
      <c r="UMF4" s="14"/>
      <c r="UMI4" s="324"/>
      <c r="UMJ4" s="329"/>
      <c r="UMK4" s="1"/>
      <c r="UML4" s="327"/>
      <c r="UMM4" s="14"/>
      <c r="UMP4" s="324"/>
      <c r="UMQ4" s="329"/>
      <c r="UMR4" s="1"/>
      <c r="UMS4" s="327"/>
      <c r="UMT4" s="14"/>
      <c r="UMW4" s="324"/>
      <c r="UMX4" s="329"/>
      <c r="UMY4" s="1"/>
      <c r="UMZ4" s="327"/>
      <c r="UNA4" s="14"/>
      <c r="UND4" s="324"/>
      <c r="UNE4" s="329"/>
      <c r="UNF4" s="1"/>
      <c r="UNG4" s="327"/>
      <c r="UNH4" s="14"/>
      <c r="UNK4" s="324"/>
      <c r="UNL4" s="329"/>
      <c r="UNM4" s="1"/>
      <c r="UNN4" s="327"/>
      <c r="UNO4" s="14"/>
      <c r="UNR4" s="324"/>
      <c r="UNS4" s="329"/>
      <c r="UNT4" s="1"/>
      <c r="UNU4" s="327"/>
      <c r="UNV4" s="14"/>
      <c r="UNY4" s="324"/>
      <c r="UNZ4" s="329"/>
      <c r="UOA4" s="1"/>
      <c r="UOB4" s="327"/>
      <c r="UOC4" s="14"/>
      <c r="UOF4" s="324"/>
      <c r="UOG4" s="329"/>
      <c r="UOH4" s="1"/>
      <c r="UOI4" s="327"/>
      <c r="UOJ4" s="14"/>
      <c r="UOM4" s="324"/>
      <c r="UON4" s="329"/>
      <c r="UOO4" s="1"/>
      <c r="UOP4" s="327"/>
      <c r="UOQ4" s="14"/>
      <c r="UOT4" s="324"/>
      <c r="UOU4" s="329"/>
      <c r="UOV4" s="1"/>
      <c r="UOW4" s="327"/>
      <c r="UOX4" s="14"/>
      <c r="UPA4" s="324"/>
      <c r="UPB4" s="329"/>
      <c r="UPC4" s="1"/>
      <c r="UPD4" s="327"/>
      <c r="UPE4" s="14"/>
      <c r="UPH4" s="324"/>
      <c r="UPI4" s="329"/>
      <c r="UPJ4" s="1"/>
      <c r="UPK4" s="327"/>
      <c r="UPL4" s="14"/>
      <c r="UPO4" s="324"/>
      <c r="UPP4" s="329"/>
      <c r="UPQ4" s="1"/>
      <c r="UPR4" s="327"/>
      <c r="UPS4" s="14"/>
      <c r="UPV4" s="324"/>
      <c r="UPW4" s="329"/>
      <c r="UPX4" s="1"/>
      <c r="UPY4" s="327"/>
      <c r="UPZ4" s="14"/>
      <c r="UQC4" s="324"/>
      <c r="UQD4" s="329"/>
      <c r="UQE4" s="1"/>
      <c r="UQF4" s="327"/>
      <c r="UQG4" s="14"/>
      <c r="UQJ4" s="324"/>
      <c r="UQK4" s="329"/>
      <c r="UQL4" s="1"/>
      <c r="UQM4" s="327"/>
      <c r="UQN4" s="14"/>
      <c r="UQQ4" s="324"/>
      <c r="UQR4" s="329"/>
      <c r="UQS4" s="1"/>
      <c r="UQT4" s="327"/>
      <c r="UQU4" s="14"/>
      <c r="UQX4" s="324"/>
      <c r="UQY4" s="329"/>
      <c r="UQZ4" s="1"/>
      <c r="URA4" s="327"/>
      <c r="URB4" s="14"/>
      <c r="URE4" s="324"/>
      <c r="URF4" s="329"/>
      <c r="URG4" s="1"/>
      <c r="URH4" s="327"/>
      <c r="URI4" s="14"/>
      <c r="URL4" s="324"/>
      <c r="URM4" s="329"/>
      <c r="URN4" s="1"/>
      <c r="URO4" s="327"/>
      <c r="URP4" s="14"/>
      <c r="URS4" s="324"/>
      <c r="URT4" s="329"/>
      <c r="URU4" s="1"/>
      <c r="URV4" s="327"/>
      <c r="URW4" s="14"/>
      <c r="URZ4" s="324"/>
      <c r="USA4" s="329"/>
      <c r="USB4" s="1"/>
      <c r="USC4" s="327"/>
      <c r="USD4" s="14"/>
      <c r="USG4" s="324"/>
      <c r="USH4" s="329"/>
      <c r="USI4" s="1"/>
      <c r="USJ4" s="327"/>
      <c r="USK4" s="14"/>
      <c r="USN4" s="324"/>
      <c r="USO4" s="329"/>
      <c r="USP4" s="1"/>
      <c r="USQ4" s="327"/>
      <c r="USR4" s="14"/>
      <c r="USU4" s="324"/>
      <c r="USV4" s="329"/>
      <c r="USW4" s="1"/>
      <c r="USX4" s="327"/>
      <c r="USY4" s="14"/>
      <c r="UTB4" s="324"/>
      <c r="UTC4" s="329"/>
      <c r="UTD4" s="1"/>
      <c r="UTE4" s="327"/>
      <c r="UTF4" s="14"/>
      <c r="UTI4" s="324"/>
      <c r="UTJ4" s="329"/>
      <c r="UTK4" s="1"/>
      <c r="UTL4" s="327"/>
      <c r="UTM4" s="14"/>
      <c r="UTP4" s="324"/>
      <c r="UTQ4" s="329"/>
      <c r="UTR4" s="1"/>
      <c r="UTS4" s="327"/>
      <c r="UTT4" s="14"/>
      <c r="UTW4" s="324"/>
      <c r="UTX4" s="329"/>
      <c r="UTY4" s="1"/>
      <c r="UTZ4" s="327"/>
      <c r="UUA4" s="14"/>
      <c r="UUD4" s="324"/>
      <c r="UUE4" s="329"/>
      <c r="UUF4" s="1"/>
      <c r="UUG4" s="327"/>
      <c r="UUH4" s="14"/>
      <c r="UUK4" s="324"/>
      <c r="UUL4" s="329"/>
      <c r="UUM4" s="1"/>
      <c r="UUN4" s="327"/>
      <c r="UUO4" s="14"/>
      <c r="UUR4" s="324"/>
      <c r="UUS4" s="329"/>
      <c r="UUT4" s="1"/>
      <c r="UUU4" s="327"/>
      <c r="UUV4" s="14"/>
      <c r="UUY4" s="324"/>
      <c r="UUZ4" s="329"/>
      <c r="UVA4" s="1"/>
      <c r="UVB4" s="327"/>
      <c r="UVC4" s="14"/>
      <c r="UVF4" s="324"/>
      <c r="UVG4" s="329"/>
      <c r="UVH4" s="1"/>
      <c r="UVI4" s="327"/>
      <c r="UVJ4" s="14"/>
      <c r="UVM4" s="324"/>
      <c r="UVN4" s="329"/>
      <c r="UVO4" s="1"/>
      <c r="UVP4" s="327"/>
      <c r="UVQ4" s="14"/>
      <c r="UVT4" s="324"/>
      <c r="UVU4" s="329"/>
      <c r="UVV4" s="1"/>
      <c r="UVW4" s="327"/>
      <c r="UVX4" s="14"/>
      <c r="UWA4" s="324"/>
      <c r="UWB4" s="329"/>
      <c r="UWC4" s="1"/>
      <c r="UWD4" s="327"/>
      <c r="UWE4" s="14"/>
      <c r="UWH4" s="324"/>
      <c r="UWI4" s="329"/>
      <c r="UWJ4" s="1"/>
      <c r="UWK4" s="327"/>
      <c r="UWL4" s="14"/>
      <c r="UWO4" s="324"/>
      <c r="UWP4" s="329"/>
      <c r="UWQ4" s="1"/>
      <c r="UWR4" s="327"/>
      <c r="UWS4" s="14"/>
      <c r="UWV4" s="324"/>
      <c r="UWW4" s="329"/>
      <c r="UWX4" s="1"/>
      <c r="UWY4" s="327"/>
      <c r="UWZ4" s="14"/>
      <c r="UXC4" s="324"/>
      <c r="UXD4" s="329"/>
      <c r="UXE4" s="1"/>
      <c r="UXF4" s="327"/>
      <c r="UXG4" s="14"/>
      <c r="UXJ4" s="324"/>
      <c r="UXK4" s="329"/>
      <c r="UXL4" s="1"/>
      <c r="UXM4" s="327"/>
      <c r="UXN4" s="14"/>
      <c r="UXQ4" s="324"/>
      <c r="UXR4" s="329"/>
      <c r="UXS4" s="1"/>
      <c r="UXT4" s="327"/>
      <c r="UXU4" s="14"/>
      <c r="UXX4" s="324"/>
      <c r="UXY4" s="329"/>
      <c r="UXZ4" s="1"/>
      <c r="UYA4" s="327"/>
      <c r="UYB4" s="14"/>
      <c r="UYE4" s="324"/>
      <c r="UYF4" s="329"/>
      <c r="UYG4" s="1"/>
      <c r="UYH4" s="327"/>
      <c r="UYI4" s="14"/>
      <c r="UYL4" s="324"/>
      <c r="UYM4" s="329"/>
      <c r="UYN4" s="1"/>
      <c r="UYO4" s="327"/>
      <c r="UYP4" s="14"/>
      <c r="UYS4" s="324"/>
      <c r="UYT4" s="329"/>
      <c r="UYU4" s="1"/>
      <c r="UYV4" s="327"/>
      <c r="UYW4" s="14"/>
      <c r="UYZ4" s="324"/>
      <c r="UZA4" s="329"/>
      <c r="UZB4" s="1"/>
      <c r="UZC4" s="327"/>
      <c r="UZD4" s="14"/>
      <c r="UZG4" s="324"/>
      <c r="UZH4" s="329"/>
      <c r="UZI4" s="1"/>
      <c r="UZJ4" s="327"/>
      <c r="UZK4" s="14"/>
      <c r="UZN4" s="324"/>
      <c r="UZO4" s="329"/>
      <c r="UZP4" s="1"/>
      <c r="UZQ4" s="327"/>
      <c r="UZR4" s="14"/>
      <c r="UZU4" s="324"/>
      <c r="UZV4" s="329"/>
      <c r="UZW4" s="1"/>
      <c r="UZX4" s="327"/>
      <c r="UZY4" s="14"/>
      <c r="VAB4" s="324"/>
      <c r="VAC4" s="329"/>
      <c r="VAD4" s="1"/>
      <c r="VAE4" s="327"/>
      <c r="VAF4" s="14"/>
      <c r="VAI4" s="324"/>
      <c r="VAJ4" s="329"/>
      <c r="VAK4" s="1"/>
      <c r="VAL4" s="327"/>
      <c r="VAM4" s="14"/>
      <c r="VAP4" s="324"/>
      <c r="VAQ4" s="329"/>
      <c r="VAR4" s="1"/>
      <c r="VAS4" s="327"/>
      <c r="VAT4" s="14"/>
      <c r="VAW4" s="324"/>
      <c r="VAX4" s="329"/>
      <c r="VAY4" s="1"/>
      <c r="VAZ4" s="327"/>
      <c r="VBA4" s="14"/>
      <c r="VBD4" s="324"/>
      <c r="VBE4" s="329"/>
      <c r="VBF4" s="1"/>
      <c r="VBG4" s="327"/>
      <c r="VBH4" s="14"/>
      <c r="VBK4" s="324"/>
      <c r="VBL4" s="329"/>
      <c r="VBM4" s="1"/>
      <c r="VBN4" s="327"/>
      <c r="VBO4" s="14"/>
      <c r="VBR4" s="324"/>
      <c r="VBS4" s="329"/>
      <c r="VBT4" s="1"/>
      <c r="VBU4" s="327"/>
      <c r="VBV4" s="14"/>
      <c r="VBY4" s="324"/>
      <c r="VBZ4" s="329"/>
      <c r="VCA4" s="1"/>
      <c r="VCB4" s="327"/>
      <c r="VCC4" s="14"/>
      <c r="VCF4" s="324"/>
      <c r="VCG4" s="329"/>
      <c r="VCH4" s="1"/>
      <c r="VCI4" s="327"/>
      <c r="VCJ4" s="14"/>
      <c r="VCM4" s="324"/>
      <c r="VCN4" s="329"/>
      <c r="VCO4" s="1"/>
      <c r="VCP4" s="327"/>
      <c r="VCQ4" s="14"/>
      <c r="VCT4" s="324"/>
      <c r="VCU4" s="329"/>
      <c r="VCV4" s="1"/>
      <c r="VCW4" s="327"/>
      <c r="VCX4" s="14"/>
      <c r="VDA4" s="324"/>
      <c r="VDB4" s="329"/>
      <c r="VDC4" s="1"/>
      <c r="VDD4" s="327"/>
      <c r="VDE4" s="14"/>
      <c r="VDH4" s="324"/>
      <c r="VDI4" s="329"/>
      <c r="VDJ4" s="1"/>
      <c r="VDK4" s="327"/>
      <c r="VDL4" s="14"/>
      <c r="VDO4" s="324"/>
      <c r="VDP4" s="329"/>
      <c r="VDQ4" s="1"/>
      <c r="VDR4" s="327"/>
      <c r="VDS4" s="14"/>
      <c r="VDV4" s="324"/>
      <c r="VDW4" s="329"/>
      <c r="VDX4" s="1"/>
      <c r="VDY4" s="327"/>
      <c r="VDZ4" s="14"/>
      <c r="VEC4" s="324"/>
      <c r="VED4" s="329"/>
      <c r="VEE4" s="1"/>
      <c r="VEF4" s="327"/>
      <c r="VEG4" s="14"/>
      <c r="VEJ4" s="324"/>
      <c r="VEK4" s="329"/>
      <c r="VEL4" s="1"/>
      <c r="VEM4" s="327"/>
      <c r="VEN4" s="14"/>
      <c r="VEQ4" s="324"/>
      <c r="VER4" s="329"/>
      <c r="VES4" s="1"/>
      <c r="VET4" s="327"/>
      <c r="VEU4" s="14"/>
      <c r="VEX4" s="324"/>
      <c r="VEY4" s="329"/>
      <c r="VEZ4" s="1"/>
      <c r="VFA4" s="327"/>
      <c r="VFB4" s="14"/>
      <c r="VFE4" s="324"/>
      <c r="VFF4" s="329"/>
      <c r="VFG4" s="1"/>
      <c r="VFH4" s="327"/>
      <c r="VFI4" s="14"/>
      <c r="VFL4" s="324"/>
      <c r="VFM4" s="329"/>
      <c r="VFN4" s="1"/>
      <c r="VFO4" s="327"/>
      <c r="VFP4" s="14"/>
      <c r="VFS4" s="324"/>
      <c r="VFT4" s="329"/>
      <c r="VFU4" s="1"/>
      <c r="VFV4" s="327"/>
      <c r="VFW4" s="14"/>
      <c r="VFZ4" s="324"/>
      <c r="VGA4" s="329"/>
      <c r="VGB4" s="1"/>
      <c r="VGC4" s="327"/>
      <c r="VGD4" s="14"/>
      <c r="VGG4" s="324"/>
      <c r="VGH4" s="329"/>
      <c r="VGI4" s="1"/>
      <c r="VGJ4" s="327"/>
      <c r="VGK4" s="14"/>
      <c r="VGN4" s="324"/>
      <c r="VGO4" s="329"/>
      <c r="VGP4" s="1"/>
      <c r="VGQ4" s="327"/>
      <c r="VGR4" s="14"/>
      <c r="VGU4" s="324"/>
      <c r="VGV4" s="329"/>
      <c r="VGW4" s="1"/>
      <c r="VGX4" s="327"/>
      <c r="VGY4" s="14"/>
      <c r="VHB4" s="324"/>
      <c r="VHC4" s="329"/>
      <c r="VHD4" s="1"/>
      <c r="VHE4" s="327"/>
      <c r="VHF4" s="14"/>
      <c r="VHI4" s="324"/>
      <c r="VHJ4" s="329"/>
      <c r="VHK4" s="1"/>
      <c r="VHL4" s="327"/>
      <c r="VHM4" s="14"/>
      <c r="VHP4" s="324"/>
      <c r="VHQ4" s="329"/>
      <c r="VHR4" s="1"/>
      <c r="VHS4" s="327"/>
      <c r="VHT4" s="14"/>
      <c r="VHW4" s="324"/>
      <c r="VHX4" s="329"/>
      <c r="VHY4" s="1"/>
      <c r="VHZ4" s="327"/>
      <c r="VIA4" s="14"/>
      <c r="VID4" s="324"/>
      <c r="VIE4" s="329"/>
      <c r="VIF4" s="1"/>
      <c r="VIG4" s="327"/>
      <c r="VIH4" s="14"/>
      <c r="VIK4" s="324"/>
      <c r="VIL4" s="329"/>
      <c r="VIM4" s="1"/>
      <c r="VIN4" s="327"/>
      <c r="VIO4" s="14"/>
      <c r="VIR4" s="324"/>
      <c r="VIS4" s="329"/>
      <c r="VIT4" s="1"/>
      <c r="VIU4" s="327"/>
      <c r="VIV4" s="14"/>
      <c r="VIY4" s="324"/>
      <c r="VIZ4" s="329"/>
      <c r="VJA4" s="1"/>
      <c r="VJB4" s="327"/>
      <c r="VJC4" s="14"/>
      <c r="VJF4" s="324"/>
      <c r="VJG4" s="329"/>
      <c r="VJH4" s="1"/>
      <c r="VJI4" s="327"/>
      <c r="VJJ4" s="14"/>
      <c r="VJM4" s="324"/>
      <c r="VJN4" s="329"/>
      <c r="VJO4" s="1"/>
      <c r="VJP4" s="327"/>
      <c r="VJQ4" s="14"/>
      <c r="VJT4" s="324"/>
      <c r="VJU4" s="329"/>
      <c r="VJV4" s="1"/>
      <c r="VJW4" s="327"/>
      <c r="VJX4" s="14"/>
      <c r="VKA4" s="324"/>
      <c r="VKB4" s="329"/>
      <c r="VKC4" s="1"/>
      <c r="VKD4" s="327"/>
      <c r="VKE4" s="14"/>
      <c r="VKH4" s="324"/>
      <c r="VKI4" s="329"/>
      <c r="VKJ4" s="1"/>
      <c r="VKK4" s="327"/>
      <c r="VKL4" s="14"/>
      <c r="VKO4" s="324"/>
      <c r="VKP4" s="329"/>
      <c r="VKQ4" s="1"/>
      <c r="VKR4" s="327"/>
      <c r="VKS4" s="14"/>
      <c r="VKV4" s="324"/>
      <c r="VKW4" s="329"/>
      <c r="VKX4" s="1"/>
      <c r="VKY4" s="327"/>
      <c r="VKZ4" s="14"/>
      <c r="VLC4" s="324"/>
      <c r="VLD4" s="329"/>
      <c r="VLE4" s="1"/>
      <c r="VLF4" s="327"/>
      <c r="VLG4" s="14"/>
      <c r="VLJ4" s="324"/>
      <c r="VLK4" s="329"/>
      <c r="VLL4" s="1"/>
      <c r="VLM4" s="327"/>
      <c r="VLN4" s="14"/>
      <c r="VLQ4" s="324"/>
      <c r="VLR4" s="329"/>
      <c r="VLS4" s="1"/>
      <c r="VLT4" s="327"/>
      <c r="VLU4" s="14"/>
      <c r="VLX4" s="324"/>
      <c r="VLY4" s="329"/>
      <c r="VLZ4" s="1"/>
      <c r="VMA4" s="327"/>
      <c r="VMB4" s="14"/>
      <c r="VME4" s="324"/>
      <c r="VMF4" s="329"/>
      <c r="VMG4" s="1"/>
      <c r="VMH4" s="327"/>
      <c r="VMI4" s="14"/>
      <c r="VML4" s="324"/>
      <c r="VMM4" s="329"/>
      <c r="VMN4" s="1"/>
      <c r="VMO4" s="327"/>
      <c r="VMP4" s="14"/>
      <c r="VMS4" s="324"/>
      <c r="VMT4" s="329"/>
      <c r="VMU4" s="1"/>
      <c r="VMV4" s="327"/>
      <c r="VMW4" s="14"/>
      <c r="VMZ4" s="324"/>
      <c r="VNA4" s="329"/>
      <c r="VNB4" s="1"/>
      <c r="VNC4" s="327"/>
      <c r="VND4" s="14"/>
      <c r="VNG4" s="324"/>
      <c r="VNH4" s="329"/>
      <c r="VNI4" s="1"/>
      <c r="VNJ4" s="327"/>
      <c r="VNK4" s="14"/>
      <c r="VNN4" s="324"/>
      <c r="VNO4" s="329"/>
      <c r="VNP4" s="1"/>
      <c r="VNQ4" s="327"/>
      <c r="VNR4" s="14"/>
      <c r="VNU4" s="324"/>
      <c r="VNV4" s="329"/>
      <c r="VNW4" s="1"/>
      <c r="VNX4" s="327"/>
      <c r="VNY4" s="14"/>
      <c r="VOB4" s="324"/>
      <c r="VOC4" s="329"/>
      <c r="VOD4" s="1"/>
      <c r="VOE4" s="327"/>
      <c r="VOF4" s="14"/>
      <c r="VOI4" s="324"/>
      <c r="VOJ4" s="329"/>
      <c r="VOK4" s="1"/>
      <c r="VOL4" s="327"/>
      <c r="VOM4" s="14"/>
      <c r="VOP4" s="324"/>
      <c r="VOQ4" s="329"/>
      <c r="VOR4" s="1"/>
      <c r="VOS4" s="327"/>
      <c r="VOT4" s="14"/>
      <c r="VOW4" s="324"/>
      <c r="VOX4" s="329"/>
      <c r="VOY4" s="1"/>
      <c r="VOZ4" s="327"/>
      <c r="VPA4" s="14"/>
      <c r="VPD4" s="324"/>
      <c r="VPE4" s="329"/>
      <c r="VPF4" s="1"/>
      <c r="VPG4" s="327"/>
      <c r="VPH4" s="14"/>
      <c r="VPK4" s="324"/>
      <c r="VPL4" s="329"/>
      <c r="VPM4" s="1"/>
      <c r="VPN4" s="327"/>
      <c r="VPO4" s="14"/>
      <c r="VPR4" s="324"/>
      <c r="VPS4" s="329"/>
      <c r="VPT4" s="1"/>
      <c r="VPU4" s="327"/>
      <c r="VPV4" s="14"/>
      <c r="VPY4" s="324"/>
      <c r="VPZ4" s="329"/>
      <c r="VQA4" s="1"/>
      <c r="VQB4" s="327"/>
      <c r="VQC4" s="14"/>
      <c r="VQF4" s="324"/>
      <c r="VQG4" s="329"/>
      <c r="VQH4" s="1"/>
      <c r="VQI4" s="327"/>
      <c r="VQJ4" s="14"/>
      <c r="VQM4" s="324"/>
      <c r="VQN4" s="329"/>
      <c r="VQO4" s="1"/>
      <c r="VQP4" s="327"/>
      <c r="VQQ4" s="14"/>
      <c r="VQT4" s="324"/>
      <c r="VQU4" s="329"/>
      <c r="VQV4" s="1"/>
      <c r="VQW4" s="327"/>
      <c r="VQX4" s="14"/>
      <c r="VRA4" s="324"/>
      <c r="VRB4" s="329"/>
      <c r="VRC4" s="1"/>
      <c r="VRD4" s="327"/>
      <c r="VRE4" s="14"/>
      <c r="VRH4" s="324"/>
      <c r="VRI4" s="329"/>
      <c r="VRJ4" s="1"/>
      <c r="VRK4" s="327"/>
      <c r="VRL4" s="14"/>
      <c r="VRO4" s="324"/>
      <c r="VRP4" s="329"/>
      <c r="VRQ4" s="1"/>
      <c r="VRR4" s="327"/>
      <c r="VRS4" s="14"/>
      <c r="VRV4" s="324"/>
      <c r="VRW4" s="329"/>
      <c r="VRX4" s="1"/>
      <c r="VRY4" s="327"/>
      <c r="VRZ4" s="14"/>
      <c r="VSC4" s="324"/>
      <c r="VSD4" s="329"/>
      <c r="VSE4" s="1"/>
      <c r="VSF4" s="327"/>
      <c r="VSG4" s="14"/>
      <c r="VSJ4" s="324"/>
      <c r="VSK4" s="329"/>
      <c r="VSL4" s="1"/>
      <c r="VSM4" s="327"/>
      <c r="VSN4" s="14"/>
      <c r="VSQ4" s="324"/>
      <c r="VSR4" s="329"/>
      <c r="VSS4" s="1"/>
      <c r="VST4" s="327"/>
      <c r="VSU4" s="14"/>
      <c r="VSX4" s="324"/>
      <c r="VSY4" s="329"/>
      <c r="VSZ4" s="1"/>
      <c r="VTA4" s="327"/>
      <c r="VTB4" s="14"/>
      <c r="VTE4" s="324"/>
      <c r="VTF4" s="329"/>
      <c r="VTG4" s="1"/>
      <c r="VTH4" s="327"/>
      <c r="VTI4" s="14"/>
      <c r="VTL4" s="324"/>
      <c r="VTM4" s="329"/>
      <c r="VTN4" s="1"/>
      <c r="VTO4" s="327"/>
      <c r="VTP4" s="14"/>
      <c r="VTS4" s="324"/>
      <c r="VTT4" s="329"/>
      <c r="VTU4" s="1"/>
      <c r="VTV4" s="327"/>
      <c r="VTW4" s="14"/>
      <c r="VTZ4" s="324"/>
      <c r="VUA4" s="329"/>
      <c r="VUB4" s="1"/>
      <c r="VUC4" s="327"/>
      <c r="VUD4" s="14"/>
      <c r="VUG4" s="324"/>
      <c r="VUH4" s="329"/>
      <c r="VUI4" s="1"/>
      <c r="VUJ4" s="327"/>
      <c r="VUK4" s="14"/>
      <c r="VUN4" s="324"/>
      <c r="VUO4" s="329"/>
      <c r="VUP4" s="1"/>
      <c r="VUQ4" s="327"/>
      <c r="VUR4" s="14"/>
      <c r="VUU4" s="324"/>
      <c r="VUV4" s="329"/>
      <c r="VUW4" s="1"/>
      <c r="VUX4" s="327"/>
      <c r="VUY4" s="14"/>
      <c r="VVB4" s="324"/>
      <c r="VVC4" s="329"/>
      <c r="VVD4" s="1"/>
      <c r="VVE4" s="327"/>
      <c r="VVF4" s="14"/>
      <c r="VVI4" s="324"/>
      <c r="VVJ4" s="329"/>
      <c r="VVK4" s="1"/>
      <c r="VVL4" s="327"/>
      <c r="VVM4" s="14"/>
      <c r="VVP4" s="324"/>
      <c r="VVQ4" s="329"/>
      <c r="VVR4" s="1"/>
      <c r="VVS4" s="327"/>
      <c r="VVT4" s="14"/>
      <c r="VVW4" s="324"/>
      <c r="VVX4" s="329"/>
      <c r="VVY4" s="1"/>
      <c r="VVZ4" s="327"/>
      <c r="VWA4" s="14"/>
      <c r="VWD4" s="324"/>
      <c r="VWE4" s="329"/>
      <c r="VWF4" s="1"/>
      <c r="VWG4" s="327"/>
      <c r="VWH4" s="14"/>
      <c r="VWK4" s="324"/>
      <c r="VWL4" s="329"/>
      <c r="VWM4" s="1"/>
      <c r="VWN4" s="327"/>
      <c r="VWO4" s="14"/>
      <c r="VWR4" s="324"/>
      <c r="VWS4" s="329"/>
      <c r="VWT4" s="1"/>
      <c r="VWU4" s="327"/>
      <c r="VWV4" s="14"/>
      <c r="VWY4" s="324"/>
      <c r="VWZ4" s="329"/>
      <c r="VXA4" s="1"/>
      <c r="VXB4" s="327"/>
      <c r="VXC4" s="14"/>
      <c r="VXF4" s="324"/>
      <c r="VXG4" s="329"/>
      <c r="VXH4" s="1"/>
      <c r="VXI4" s="327"/>
      <c r="VXJ4" s="14"/>
      <c r="VXM4" s="324"/>
      <c r="VXN4" s="329"/>
      <c r="VXO4" s="1"/>
      <c r="VXP4" s="327"/>
      <c r="VXQ4" s="14"/>
      <c r="VXT4" s="324"/>
      <c r="VXU4" s="329"/>
      <c r="VXV4" s="1"/>
      <c r="VXW4" s="327"/>
      <c r="VXX4" s="14"/>
      <c r="VYA4" s="324"/>
      <c r="VYB4" s="329"/>
      <c r="VYC4" s="1"/>
      <c r="VYD4" s="327"/>
      <c r="VYE4" s="14"/>
      <c r="VYH4" s="324"/>
      <c r="VYI4" s="329"/>
      <c r="VYJ4" s="1"/>
      <c r="VYK4" s="327"/>
      <c r="VYL4" s="14"/>
      <c r="VYO4" s="324"/>
      <c r="VYP4" s="329"/>
      <c r="VYQ4" s="1"/>
      <c r="VYR4" s="327"/>
      <c r="VYS4" s="14"/>
      <c r="VYV4" s="324"/>
      <c r="VYW4" s="329"/>
      <c r="VYX4" s="1"/>
      <c r="VYY4" s="327"/>
      <c r="VYZ4" s="14"/>
      <c r="VZC4" s="324"/>
      <c r="VZD4" s="329"/>
      <c r="VZE4" s="1"/>
      <c r="VZF4" s="327"/>
      <c r="VZG4" s="14"/>
      <c r="VZJ4" s="324"/>
      <c r="VZK4" s="329"/>
      <c r="VZL4" s="1"/>
      <c r="VZM4" s="327"/>
      <c r="VZN4" s="14"/>
      <c r="VZQ4" s="324"/>
      <c r="VZR4" s="329"/>
      <c r="VZS4" s="1"/>
      <c r="VZT4" s="327"/>
      <c r="VZU4" s="14"/>
      <c r="VZX4" s="324"/>
      <c r="VZY4" s="329"/>
      <c r="VZZ4" s="1"/>
      <c r="WAA4" s="327"/>
      <c r="WAB4" s="14"/>
      <c r="WAE4" s="324"/>
      <c r="WAF4" s="329"/>
      <c r="WAG4" s="1"/>
      <c r="WAH4" s="327"/>
      <c r="WAI4" s="14"/>
      <c r="WAL4" s="324"/>
      <c r="WAM4" s="329"/>
      <c r="WAN4" s="1"/>
      <c r="WAO4" s="327"/>
      <c r="WAP4" s="14"/>
      <c r="WAS4" s="324"/>
      <c r="WAT4" s="329"/>
      <c r="WAU4" s="1"/>
      <c r="WAV4" s="327"/>
      <c r="WAW4" s="14"/>
      <c r="WAZ4" s="324"/>
      <c r="WBA4" s="329"/>
      <c r="WBB4" s="1"/>
      <c r="WBC4" s="327"/>
      <c r="WBD4" s="14"/>
      <c r="WBG4" s="324"/>
      <c r="WBH4" s="329"/>
      <c r="WBI4" s="1"/>
      <c r="WBJ4" s="327"/>
      <c r="WBK4" s="14"/>
      <c r="WBN4" s="324"/>
      <c r="WBO4" s="329"/>
      <c r="WBP4" s="1"/>
      <c r="WBQ4" s="327"/>
      <c r="WBR4" s="14"/>
      <c r="WBU4" s="324"/>
      <c r="WBV4" s="329"/>
      <c r="WBW4" s="1"/>
      <c r="WBX4" s="327"/>
      <c r="WBY4" s="14"/>
      <c r="WCB4" s="324"/>
      <c r="WCC4" s="329"/>
      <c r="WCD4" s="1"/>
      <c r="WCE4" s="327"/>
      <c r="WCF4" s="14"/>
      <c r="WCI4" s="324"/>
      <c r="WCJ4" s="329"/>
      <c r="WCK4" s="1"/>
      <c r="WCL4" s="327"/>
      <c r="WCM4" s="14"/>
      <c r="WCP4" s="324"/>
      <c r="WCQ4" s="329"/>
      <c r="WCR4" s="1"/>
      <c r="WCS4" s="327"/>
      <c r="WCT4" s="14"/>
      <c r="WCW4" s="324"/>
      <c r="WCX4" s="329"/>
      <c r="WCY4" s="1"/>
      <c r="WCZ4" s="327"/>
      <c r="WDA4" s="14"/>
      <c r="WDD4" s="324"/>
      <c r="WDE4" s="329"/>
      <c r="WDF4" s="1"/>
      <c r="WDG4" s="327"/>
      <c r="WDH4" s="14"/>
      <c r="WDK4" s="324"/>
      <c r="WDL4" s="329"/>
      <c r="WDM4" s="1"/>
      <c r="WDN4" s="327"/>
      <c r="WDO4" s="14"/>
      <c r="WDR4" s="324"/>
      <c r="WDS4" s="329"/>
      <c r="WDT4" s="1"/>
      <c r="WDU4" s="327"/>
      <c r="WDV4" s="14"/>
      <c r="WDY4" s="324"/>
      <c r="WDZ4" s="329"/>
      <c r="WEA4" s="1"/>
      <c r="WEB4" s="327"/>
      <c r="WEC4" s="14"/>
      <c r="WEF4" s="324"/>
      <c r="WEG4" s="329"/>
      <c r="WEH4" s="1"/>
      <c r="WEI4" s="327"/>
      <c r="WEJ4" s="14"/>
      <c r="WEM4" s="324"/>
      <c r="WEN4" s="329"/>
      <c r="WEO4" s="1"/>
      <c r="WEP4" s="327"/>
      <c r="WEQ4" s="14"/>
      <c r="WET4" s="324"/>
      <c r="WEU4" s="329"/>
      <c r="WEV4" s="1"/>
      <c r="WEW4" s="327"/>
      <c r="WEX4" s="14"/>
      <c r="WFA4" s="324"/>
      <c r="WFB4" s="329"/>
      <c r="WFC4" s="1"/>
      <c r="WFD4" s="327"/>
      <c r="WFE4" s="14"/>
      <c r="WFH4" s="324"/>
      <c r="WFI4" s="329"/>
      <c r="WFJ4" s="1"/>
      <c r="WFK4" s="327"/>
      <c r="WFL4" s="14"/>
      <c r="WFO4" s="324"/>
      <c r="WFP4" s="329"/>
      <c r="WFQ4" s="1"/>
      <c r="WFR4" s="327"/>
      <c r="WFS4" s="14"/>
      <c r="WFV4" s="324"/>
      <c r="WFW4" s="329"/>
      <c r="WFX4" s="1"/>
      <c r="WFY4" s="327"/>
      <c r="WFZ4" s="14"/>
      <c r="WGC4" s="324"/>
      <c r="WGD4" s="329"/>
      <c r="WGE4" s="1"/>
      <c r="WGF4" s="327"/>
      <c r="WGG4" s="14"/>
      <c r="WGJ4" s="324"/>
      <c r="WGK4" s="329"/>
      <c r="WGL4" s="1"/>
      <c r="WGM4" s="327"/>
      <c r="WGN4" s="14"/>
      <c r="WGQ4" s="324"/>
      <c r="WGR4" s="329"/>
      <c r="WGS4" s="1"/>
      <c r="WGT4" s="327"/>
      <c r="WGU4" s="14"/>
      <c r="WGX4" s="324"/>
      <c r="WGY4" s="329"/>
      <c r="WGZ4" s="1"/>
      <c r="WHA4" s="327"/>
      <c r="WHB4" s="14"/>
      <c r="WHE4" s="324"/>
      <c r="WHF4" s="329"/>
      <c r="WHG4" s="1"/>
      <c r="WHH4" s="327"/>
      <c r="WHI4" s="14"/>
      <c r="WHL4" s="324"/>
      <c r="WHM4" s="329"/>
      <c r="WHN4" s="1"/>
      <c r="WHO4" s="327"/>
      <c r="WHP4" s="14"/>
      <c r="WHS4" s="324"/>
      <c r="WHT4" s="329"/>
      <c r="WHU4" s="1"/>
      <c r="WHV4" s="327"/>
      <c r="WHW4" s="14"/>
      <c r="WHZ4" s="324"/>
      <c r="WIA4" s="329"/>
      <c r="WIB4" s="1"/>
      <c r="WIC4" s="327"/>
      <c r="WID4" s="14"/>
      <c r="WIG4" s="324"/>
      <c r="WIH4" s="329"/>
      <c r="WII4" s="1"/>
      <c r="WIJ4" s="327"/>
      <c r="WIK4" s="14"/>
      <c r="WIN4" s="324"/>
      <c r="WIO4" s="329"/>
      <c r="WIP4" s="1"/>
      <c r="WIQ4" s="327"/>
      <c r="WIR4" s="14"/>
      <c r="WIU4" s="324"/>
      <c r="WIV4" s="329"/>
      <c r="WIW4" s="1"/>
      <c r="WIX4" s="327"/>
      <c r="WIY4" s="14"/>
      <c r="WJB4" s="324"/>
      <c r="WJC4" s="329"/>
      <c r="WJD4" s="1"/>
      <c r="WJE4" s="327"/>
      <c r="WJF4" s="14"/>
      <c r="WJI4" s="324"/>
      <c r="WJJ4" s="329"/>
      <c r="WJK4" s="1"/>
      <c r="WJL4" s="327"/>
      <c r="WJM4" s="14"/>
      <c r="WJP4" s="324"/>
      <c r="WJQ4" s="329"/>
      <c r="WJR4" s="1"/>
      <c r="WJS4" s="327"/>
      <c r="WJT4" s="14"/>
      <c r="WJW4" s="324"/>
      <c r="WJX4" s="329"/>
      <c r="WJY4" s="1"/>
      <c r="WJZ4" s="327"/>
      <c r="WKA4" s="14"/>
      <c r="WKD4" s="324"/>
      <c r="WKE4" s="329"/>
      <c r="WKF4" s="1"/>
      <c r="WKG4" s="327"/>
      <c r="WKH4" s="14"/>
      <c r="WKK4" s="324"/>
      <c r="WKL4" s="329"/>
      <c r="WKM4" s="1"/>
      <c r="WKN4" s="327"/>
      <c r="WKO4" s="14"/>
      <c r="WKR4" s="324"/>
      <c r="WKS4" s="329"/>
      <c r="WKT4" s="1"/>
      <c r="WKU4" s="327"/>
      <c r="WKV4" s="14"/>
      <c r="WKY4" s="324"/>
      <c r="WKZ4" s="329"/>
      <c r="WLA4" s="1"/>
      <c r="WLB4" s="327"/>
      <c r="WLC4" s="14"/>
      <c r="WLF4" s="324"/>
      <c r="WLG4" s="329"/>
      <c r="WLH4" s="1"/>
      <c r="WLI4" s="327"/>
      <c r="WLJ4" s="14"/>
      <c r="WLM4" s="324"/>
      <c r="WLN4" s="329"/>
      <c r="WLO4" s="1"/>
      <c r="WLP4" s="327"/>
      <c r="WLQ4" s="14"/>
      <c r="WLT4" s="324"/>
      <c r="WLU4" s="329"/>
      <c r="WLV4" s="1"/>
      <c r="WLW4" s="327"/>
      <c r="WLX4" s="14"/>
      <c r="WMA4" s="324"/>
      <c r="WMB4" s="329"/>
      <c r="WMC4" s="1"/>
      <c r="WMD4" s="327"/>
      <c r="WME4" s="14"/>
      <c r="WMH4" s="324"/>
      <c r="WMI4" s="329"/>
      <c r="WMJ4" s="1"/>
      <c r="WMK4" s="327"/>
      <c r="WML4" s="14"/>
      <c r="WMO4" s="324"/>
      <c r="WMP4" s="329"/>
      <c r="WMQ4" s="1"/>
      <c r="WMR4" s="327"/>
      <c r="WMS4" s="14"/>
      <c r="WMV4" s="324"/>
      <c r="WMW4" s="329"/>
      <c r="WMX4" s="1"/>
      <c r="WMY4" s="327"/>
      <c r="WMZ4" s="14"/>
      <c r="WNC4" s="324"/>
      <c r="WND4" s="329"/>
      <c r="WNE4" s="1"/>
      <c r="WNF4" s="327"/>
      <c r="WNG4" s="14"/>
      <c r="WNJ4" s="324"/>
      <c r="WNK4" s="329"/>
      <c r="WNL4" s="1"/>
      <c r="WNM4" s="327"/>
      <c r="WNN4" s="14"/>
      <c r="WNQ4" s="324"/>
      <c r="WNR4" s="329"/>
      <c r="WNS4" s="1"/>
      <c r="WNT4" s="327"/>
      <c r="WNU4" s="14"/>
      <c r="WNX4" s="324"/>
      <c r="WNY4" s="329"/>
      <c r="WNZ4" s="1"/>
      <c r="WOA4" s="327"/>
      <c r="WOB4" s="14"/>
      <c r="WOE4" s="324"/>
      <c r="WOF4" s="329"/>
      <c r="WOG4" s="1"/>
      <c r="WOH4" s="327"/>
      <c r="WOI4" s="14"/>
      <c r="WOL4" s="324"/>
      <c r="WOM4" s="329"/>
      <c r="WON4" s="1"/>
      <c r="WOO4" s="327"/>
      <c r="WOP4" s="14"/>
      <c r="WOS4" s="324"/>
      <c r="WOT4" s="329"/>
      <c r="WOU4" s="1"/>
      <c r="WOV4" s="327"/>
      <c r="WOW4" s="14"/>
      <c r="WOZ4" s="324"/>
      <c r="WPA4" s="329"/>
      <c r="WPB4" s="1"/>
      <c r="WPC4" s="327"/>
      <c r="WPD4" s="14"/>
      <c r="WPG4" s="324"/>
      <c r="WPH4" s="329"/>
      <c r="WPI4" s="1"/>
      <c r="WPJ4" s="327"/>
      <c r="WPK4" s="14"/>
      <c r="WPN4" s="324"/>
      <c r="WPO4" s="329"/>
      <c r="WPP4" s="1"/>
      <c r="WPQ4" s="327"/>
      <c r="WPR4" s="14"/>
      <c r="WPU4" s="324"/>
      <c r="WPV4" s="329"/>
      <c r="WPW4" s="1"/>
      <c r="WPX4" s="327"/>
      <c r="WPY4" s="14"/>
      <c r="WQB4" s="324"/>
      <c r="WQC4" s="329"/>
      <c r="WQD4" s="1"/>
      <c r="WQE4" s="327"/>
      <c r="WQF4" s="14"/>
      <c r="WQI4" s="324"/>
      <c r="WQJ4" s="329"/>
      <c r="WQK4" s="1"/>
      <c r="WQL4" s="327"/>
      <c r="WQM4" s="14"/>
      <c r="WQP4" s="324"/>
      <c r="WQQ4" s="329"/>
      <c r="WQR4" s="1"/>
      <c r="WQS4" s="327"/>
      <c r="WQT4" s="14"/>
      <c r="WQW4" s="324"/>
      <c r="WQX4" s="329"/>
      <c r="WQY4" s="1"/>
      <c r="WQZ4" s="327"/>
      <c r="WRA4" s="14"/>
      <c r="WRD4" s="324"/>
      <c r="WRE4" s="329"/>
      <c r="WRF4" s="1"/>
      <c r="WRG4" s="327"/>
      <c r="WRH4" s="14"/>
      <c r="WRK4" s="324"/>
      <c r="WRL4" s="329"/>
      <c r="WRM4" s="1"/>
      <c r="WRN4" s="327"/>
      <c r="WRO4" s="14"/>
      <c r="WRR4" s="324"/>
      <c r="WRS4" s="329"/>
      <c r="WRT4" s="1"/>
      <c r="WRU4" s="327"/>
      <c r="WRV4" s="14"/>
      <c r="WRY4" s="324"/>
      <c r="WRZ4" s="329"/>
      <c r="WSA4" s="1"/>
      <c r="WSB4" s="327"/>
      <c r="WSC4" s="14"/>
      <c r="WSF4" s="324"/>
      <c r="WSG4" s="329"/>
      <c r="WSH4" s="1"/>
      <c r="WSI4" s="327"/>
      <c r="WSJ4" s="14"/>
      <c r="WSM4" s="324"/>
      <c r="WSN4" s="329"/>
      <c r="WSO4" s="1"/>
      <c r="WSP4" s="327"/>
      <c r="WSQ4" s="14"/>
      <c r="WST4" s="324"/>
      <c r="WSU4" s="329"/>
      <c r="WSV4" s="1"/>
      <c r="WSW4" s="327"/>
      <c r="WSX4" s="14"/>
      <c r="WTA4" s="324"/>
      <c r="WTB4" s="329"/>
      <c r="WTC4" s="1"/>
      <c r="WTD4" s="327"/>
      <c r="WTE4" s="14"/>
      <c r="WTH4" s="324"/>
      <c r="WTI4" s="329"/>
      <c r="WTJ4" s="1"/>
      <c r="WTK4" s="327"/>
      <c r="WTL4" s="14"/>
      <c r="WTO4" s="324"/>
      <c r="WTP4" s="329"/>
      <c r="WTQ4" s="1"/>
      <c r="WTR4" s="327"/>
      <c r="WTS4" s="14"/>
      <c r="WTV4" s="324"/>
      <c r="WTW4" s="329"/>
      <c r="WTX4" s="1"/>
      <c r="WTY4" s="327"/>
      <c r="WTZ4" s="14"/>
      <c r="WUC4" s="324"/>
      <c r="WUD4" s="329"/>
      <c r="WUE4" s="1"/>
      <c r="WUF4" s="327"/>
      <c r="WUG4" s="14"/>
      <c r="WUJ4" s="324"/>
      <c r="WUK4" s="329"/>
      <c r="WUL4" s="1"/>
      <c r="WUM4" s="327"/>
      <c r="WUN4" s="14"/>
      <c r="WUQ4" s="324"/>
      <c r="WUR4" s="329"/>
      <c r="WUS4" s="1"/>
      <c r="WUT4" s="327"/>
      <c r="WUU4" s="14"/>
      <c r="WUX4" s="324"/>
      <c r="WUY4" s="329"/>
      <c r="WUZ4" s="1"/>
      <c r="WVA4" s="327"/>
      <c r="WVB4" s="14"/>
      <c r="WVE4" s="324"/>
      <c r="WVF4" s="329"/>
      <c r="WVG4" s="1"/>
      <c r="WVH4" s="327"/>
      <c r="WVI4" s="14"/>
      <c r="WVL4" s="324"/>
      <c r="WVM4" s="329"/>
      <c r="WVN4" s="1"/>
      <c r="WVO4" s="327"/>
      <c r="WVP4" s="14"/>
      <c r="WVS4" s="324"/>
      <c r="WVT4" s="329"/>
      <c r="WVU4" s="1"/>
      <c r="WVV4" s="327"/>
      <c r="WVW4" s="14"/>
      <c r="WVZ4" s="324"/>
      <c r="WWA4" s="329"/>
      <c r="WWB4" s="1"/>
      <c r="WWC4" s="327"/>
      <c r="WWD4" s="14"/>
      <c r="WWG4" s="324"/>
      <c r="WWH4" s="329"/>
      <c r="WWI4" s="1"/>
      <c r="WWJ4" s="327"/>
      <c r="WWK4" s="14"/>
      <c r="WWN4" s="324"/>
      <c r="WWO4" s="329"/>
      <c r="WWP4" s="1"/>
      <c r="WWQ4" s="327"/>
      <c r="WWR4" s="14"/>
      <c r="WWU4" s="324"/>
      <c r="WWV4" s="329"/>
      <c r="WWW4" s="1"/>
      <c r="WWX4" s="327"/>
      <c r="WWY4" s="14"/>
      <c r="WXB4" s="324"/>
      <c r="WXC4" s="329"/>
      <c r="WXD4" s="1"/>
      <c r="WXE4" s="327"/>
      <c r="WXF4" s="14"/>
      <c r="WXI4" s="324"/>
      <c r="WXJ4" s="329"/>
      <c r="WXK4" s="1"/>
      <c r="WXL4" s="327"/>
      <c r="WXM4" s="14"/>
      <c r="WXP4" s="324"/>
      <c r="WXQ4" s="329"/>
      <c r="WXR4" s="1"/>
      <c r="WXS4" s="327"/>
      <c r="WXT4" s="14"/>
      <c r="WXW4" s="324"/>
      <c r="WXX4" s="329"/>
      <c r="WXY4" s="1"/>
      <c r="WXZ4" s="327"/>
      <c r="WYA4" s="14"/>
      <c r="WYD4" s="324"/>
      <c r="WYE4" s="329"/>
      <c r="WYF4" s="1"/>
      <c r="WYG4" s="327"/>
      <c r="WYH4" s="14"/>
      <c r="WYK4" s="324"/>
      <c r="WYL4" s="329"/>
      <c r="WYM4" s="1"/>
      <c r="WYN4" s="327"/>
      <c r="WYO4" s="14"/>
      <c r="WYR4" s="324"/>
      <c r="WYS4" s="329"/>
      <c r="WYT4" s="1"/>
      <c r="WYU4" s="327"/>
      <c r="WYV4" s="14"/>
      <c r="WYY4" s="324"/>
      <c r="WYZ4" s="329"/>
      <c r="WZA4" s="1"/>
      <c r="WZB4" s="327"/>
      <c r="WZC4" s="14"/>
      <c r="WZF4" s="324"/>
      <c r="WZG4" s="329"/>
      <c r="WZH4" s="1"/>
      <c r="WZI4" s="327"/>
      <c r="WZJ4" s="14"/>
      <c r="WZM4" s="324"/>
      <c r="WZN4" s="329"/>
      <c r="WZO4" s="1"/>
      <c r="WZP4" s="327"/>
      <c r="WZQ4" s="14"/>
      <c r="WZT4" s="324"/>
      <c r="WZU4" s="329"/>
      <c r="WZV4" s="1"/>
      <c r="WZW4" s="327"/>
      <c r="WZX4" s="14"/>
      <c r="XAA4" s="324"/>
      <c r="XAB4" s="329"/>
      <c r="XAC4" s="1"/>
      <c r="XAD4" s="327"/>
      <c r="XAE4" s="14"/>
      <c r="XAH4" s="324"/>
      <c r="XAI4" s="329"/>
      <c r="XAJ4" s="1"/>
      <c r="XAK4" s="327"/>
      <c r="XAL4" s="14"/>
      <c r="XAO4" s="324"/>
      <c r="XAP4" s="329"/>
      <c r="XAQ4" s="1"/>
      <c r="XAR4" s="327"/>
      <c r="XAS4" s="14"/>
      <c r="XAV4" s="324"/>
      <c r="XAW4" s="329"/>
      <c r="XAX4" s="1"/>
      <c r="XAY4" s="327"/>
      <c r="XAZ4" s="14"/>
      <c r="XBC4" s="324"/>
      <c r="XBD4" s="329"/>
      <c r="XBE4" s="1"/>
      <c r="XBF4" s="327"/>
      <c r="XBG4" s="14"/>
      <c r="XBJ4" s="324"/>
      <c r="XBK4" s="329"/>
      <c r="XBL4" s="1"/>
      <c r="XBM4" s="327"/>
      <c r="XBN4" s="14"/>
      <c r="XBQ4" s="324"/>
      <c r="XBR4" s="329"/>
      <c r="XBS4" s="1"/>
      <c r="XBT4" s="327"/>
      <c r="XBU4" s="14"/>
      <c r="XBX4" s="324"/>
      <c r="XBY4" s="329"/>
      <c r="XBZ4" s="1"/>
      <c r="XCA4" s="327"/>
      <c r="XCB4" s="14"/>
      <c r="XCE4" s="324"/>
      <c r="XCF4" s="329"/>
      <c r="XCG4" s="1"/>
      <c r="XCH4" s="327"/>
      <c r="XCI4" s="14"/>
      <c r="XCL4" s="324"/>
      <c r="XCM4" s="329"/>
      <c r="XCN4" s="1"/>
      <c r="XCO4" s="327"/>
      <c r="XCP4" s="14"/>
      <c r="XCS4" s="324"/>
      <c r="XCT4" s="329"/>
      <c r="XCU4" s="1"/>
      <c r="XCV4" s="327"/>
      <c r="XCW4" s="14"/>
      <c r="XCZ4" s="324"/>
      <c r="XDA4" s="329"/>
      <c r="XDB4" s="1"/>
      <c r="XDC4" s="327"/>
      <c r="XDD4" s="14"/>
      <c r="XDG4" s="324"/>
      <c r="XDH4" s="329"/>
      <c r="XDI4" s="1"/>
      <c r="XDJ4" s="327"/>
      <c r="XDK4" s="14"/>
      <c r="XDN4" s="324"/>
      <c r="XDO4" s="329"/>
      <c r="XDP4" s="1"/>
      <c r="XDQ4" s="327"/>
      <c r="XDR4" s="14"/>
      <c r="XDU4" s="324"/>
      <c r="XDV4" s="329"/>
      <c r="XDW4" s="1"/>
      <c r="XDX4" s="327"/>
      <c r="XDY4" s="14"/>
      <c r="XEB4" s="324"/>
      <c r="XEC4" s="329"/>
      <c r="XED4" s="1"/>
      <c r="XEE4" s="327"/>
      <c r="XEF4" s="14"/>
      <c r="XEI4" s="324"/>
      <c r="XEJ4" s="329"/>
      <c r="XEK4" s="1"/>
      <c r="XEL4" s="327"/>
      <c r="XEM4" s="14"/>
      <c r="XEP4" s="324"/>
      <c r="XEQ4" s="329"/>
      <c r="XER4" s="1"/>
      <c r="XES4" s="327"/>
      <c r="XET4" s="14"/>
      <c r="XEW4" s="324"/>
      <c r="XEX4" s="329"/>
      <c r="XEY4" s="1"/>
      <c r="XEZ4" s="327"/>
      <c r="XFA4" s="14"/>
      <c r="XFD4" s="1"/>
    </row>
    <row r="5" customFormat="false" ht="15" hidden="false" customHeight="false" outlineLevel="0" collapsed="false">
      <c r="A5" s="14" t="n">
        <v>44522</v>
      </c>
      <c r="B5" s="328" t="s">
        <v>247</v>
      </c>
      <c r="C5" s="323" t="s">
        <v>356</v>
      </c>
      <c r="D5" s="324" t="n">
        <v>2000</v>
      </c>
      <c r="E5" s="329"/>
      <c r="G5" s="327" t="e">
        <f aca="false">SUMIF(#REF!,#REF!,D$3:D5)-SUMIF(#REF!,#REF!,E$3:E5)</f>
        <v>#REF!</v>
      </c>
    </row>
    <row r="6" customFormat="false" ht="15" hidden="false" customHeight="false" outlineLevel="0" collapsed="false">
      <c r="A6" s="14" t="n">
        <v>44515</v>
      </c>
      <c r="B6" s="328" t="s">
        <v>45</v>
      </c>
      <c r="C6" s="328" t="s">
        <v>356</v>
      </c>
      <c r="D6" s="324" t="n">
        <v>5000</v>
      </c>
      <c r="E6" s="329"/>
      <c r="G6" s="327" t="e">
        <f aca="false">SUMIF(#REF!,#REF!,D$3:D6)-SUMIF(#REF!,#REF!,E$3:E6)</f>
        <v>#REF!</v>
      </c>
    </row>
    <row r="7" customFormat="false" ht="15" hidden="false" customHeight="false" outlineLevel="0" collapsed="false">
      <c r="A7" s="14" t="n">
        <v>44530</v>
      </c>
      <c r="B7" s="328" t="s">
        <v>45</v>
      </c>
      <c r="C7" s="328" t="s">
        <v>356</v>
      </c>
      <c r="D7" s="324" t="n">
        <v>550</v>
      </c>
      <c r="E7" s="329"/>
      <c r="G7" s="327" t="e">
        <f aca="false">SUMIF(#REF!,#REF!,D$3:D7)-SUMIF(#REF!,#REF!,E$3:E7)</f>
        <v>#REF!</v>
      </c>
    </row>
    <row r="8" customFormat="false" ht="15" hidden="false" customHeight="false" outlineLevel="0" collapsed="false">
      <c r="A8" s="14" t="n">
        <v>44533</v>
      </c>
      <c r="B8" s="328" t="s">
        <v>247</v>
      </c>
      <c r="C8" s="328" t="s">
        <v>359</v>
      </c>
      <c r="D8" s="324"/>
      <c r="E8" s="329" t="n">
        <v>600</v>
      </c>
      <c r="G8" s="327" t="e">
        <f aca="false">SUMIF(#REF!,#REF!,D$3:D8)-SUMIF(#REF!,#REF!,E$3:E8)</f>
        <v>#REF!</v>
      </c>
    </row>
    <row r="9" customFormat="false" ht="15" hidden="false" customHeight="false" outlineLevel="0" collapsed="false">
      <c r="A9" s="14" t="n">
        <v>44912</v>
      </c>
      <c r="B9" s="328" t="s">
        <v>79</v>
      </c>
      <c r="C9" s="328" t="s">
        <v>356</v>
      </c>
      <c r="D9" s="324" t="n">
        <v>5000</v>
      </c>
      <c r="E9" s="329"/>
      <c r="G9" s="327" t="e">
        <f aca="false">SUMIF(#REF!,#REF!,D$3:D9)-SUMIF(#REF!,#REF!,E$3:E9)</f>
        <v>#REF!</v>
      </c>
    </row>
    <row r="10" customFormat="false" ht="15" hidden="false" customHeight="false" outlineLevel="0" collapsed="false">
      <c r="A10" s="14" t="n">
        <v>44905</v>
      </c>
      <c r="B10" s="328" t="s">
        <v>72</v>
      </c>
      <c r="C10" s="328" t="s">
        <v>356</v>
      </c>
      <c r="D10" s="324" t="n">
        <v>500</v>
      </c>
      <c r="E10" s="329"/>
      <c r="G10" s="327" t="e">
        <f aca="false">SUMIF(#REF!,#REF!,D$3:D10)-SUMIF(#REF!,#REF!,E$3:E10)</f>
        <v>#REF!</v>
      </c>
    </row>
    <row r="11" customFormat="false" ht="15" hidden="false" customHeight="false" outlineLevel="0" collapsed="false">
      <c r="A11" s="14" t="n">
        <v>44567</v>
      </c>
      <c r="B11" s="328" t="s">
        <v>72</v>
      </c>
      <c r="C11" s="328" t="s">
        <v>359</v>
      </c>
      <c r="D11" s="324"/>
      <c r="E11" s="329" t="n">
        <v>500</v>
      </c>
      <c r="G11" s="329" t="e">
        <f aca="false">SUMIF(#REF!,#REF!,D$3:D35)-SUMIF(#REF!,#REF!,E$3:E35)</f>
        <v>#REF!</v>
      </c>
    </row>
    <row r="12" customFormat="false" ht="15" hidden="false" customHeight="false" outlineLevel="0" collapsed="false">
      <c r="A12" s="14" t="n">
        <v>44567</v>
      </c>
      <c r="B12" s="328" t="s">
        <v>247</v>
      </c>
      <c r="C12" s="328" t="s">
        <v>359</v>
      </c>
      <c r="D12" s="324"/>
      <c r="E12" s="329" t="n">
        <v>1000</v>
      </c>
      <c r="G12" s="327" t="e">
        <f aca="false">SUMIF(#REF!,#REF!,D$3:D12)-SUMIF(#REF!,#REF!,E$3:E12)</f>
        <v>#REF!</v>
      </c>
    </row>
    <row r="13" customFormat="false" ht="15" hidden="false" customHeight="false" outlineLevel="0" collapsed="false">
      <c r="A13" s="14" t="n">
        <v>44567</v>
      </c>
      <c r="B13" s="328" t="s">
        <v>45</v>
      </c>
      <c r="C13" s="328" t="s">
        <v>359</v>
      </c>
      <c r="D13" s="324"/>
      <c r="E13" s="329" t="n">
        <v>1000</v>
      </c>
      <c r="G13" s="327" t="e">
        <f aca="false">SUMIF(#REF!,#REF!,D$3:D13)-SUMIF(#REF!,#REF!,E$3:E13)</f>
        <v>#REF!</v>
      </c>
    </row>
    <row r="14" customFormat="false" ht="15" hidden="false" customHeight="false" outlineLevel="0" collapsed="false">
      <c r="A14" s="14" t="n">
        <v>44593</v>
      </c>
      <c r="B14" s="328" t="s">
        <v>247</v>
      </c>
      <c r="C14" s="328" t="s">
        <v>359</v>
      </c>
      <c r="D14" s="324"/>
      <c r="E14" s="329" t="n">
        <v>1000</v>
      </c>
      <c r="G14" s="327" t="e">
        <f aca="false">SUMIF(#REF!,#REF!,D$3:D14)-SUMIF(#REF!,#REF!,E$3:E14)</f>
        <v>#REF!</v>
      </c>
    </row>
    <row r="15" customFormat="false" ht="15" hidden="false" customHeight="false" outlineLevel="0" collapsed="false">
      <c r="A15" s="14" t="n">
        <v>44593</v>
      </c>
      <c r="B15" s="328" t="s">
        <v>45</v>
      </c>
      <c r="C15" s="328" t="s">
        <v>359</v>
      </c>
      <c r="D15" s="324"/>
      <c r="E15" s="329" t="n">
        <v>1550</v>
      </c>
      <c r="G15" s="329" t="e">
        <f aca="false">SUMIF(#REF!,#REF!,D$3:D35)-SUMIF(#REF!,#REF!,E$3:E35)</f>
        <v>#REF!</v>
      </c>
    </row>
    <row r="16" customFormat="false" ht="15" hidden="false" customHeight="false" outlineLevel="0" collapsed="false">
      <c r="A16" s="14" t="n">
        <v>44681</v>
      </c>
      <c r="B16" s="328" t="s">
        <v>247</v>
      </c>
      <c r="C16" s="328" t="s">
        <v>359</v>
      </c>
      <c r="D16" s="324"/>
      <c r="E16" s="329" t="n">
        <v>1024</v>
      </c>
      <c r="G16" s="327" t="e">
        <f aca="false">SUMIF(#REF!,#REF!,D$3:D16)-SUMIF(#REF!,#REF!,E$3:E16)</f>
        <v>#REF!</v>
      </c>
    </row>
    <row r="17" customFormat="false" ht="15" hidden="false" customHeight="false" outlineLevel="0" collapsed="false">
      <c r="A17" s="14" t="n">
        <v>44711</v>
      </c>
      <c r="B17" s="328" t="s">
        <v>247</v>
      </c>
      <c r="C17" s="328" t="s">
        <v>359</v>
      </c>
      <c r="D17" s="324"/>
      <c r="E17" s="329" t="n">
        <v>1000</v>
      </c>
      <c r="G17" s="327" t="e">
        <f aca="false">SUMIF(#REF!,#REF!,D$3:D17)-SUMIF(#REF!,#REF!,E$3:E17)</f>
        <v>#REF!</v>
      </c>
    </row>
    <row r="18" customFormat="false" ht="15" hidden="false" customHeight="false" outlineLevel="0" collapsed="false">
      <c r="A18" s="14" t="n">
        <v>44742</v>
      </c>
      <c r="B18" s="328" t="s">
        <v>247</v>
      </c>
      <c r="C18" s="328" t="s">
        <v>359</v>
      </c>
      <c r="D18" s="324"/>
      <c r="E18" s="329" t="n">
        <v>1000</v>
      </c>
      <c r="G18" s="327" t="e">
        <f aca="false">SUMIF(#REF!,#REF!,D$3:D18)-SUMIF(#REF!,#REF!,E$3:E18)</f>
        <v>#REF!</v>
      </c>
    </row>
    <row r="19" customFormat="false" ht="15" hidden="false" customHeight="false" outlineLevel="0" collapsed="false">
      <c r="A19" s="14" t="n">
        <v>44763</v>
      </c>
      <c r="B19" s="328" t="s">
        <v>247</v>
      </c>
      <c r="C19" s="328" t="s">
        <v>356</v>
      </c>
      <c r="D19" s="324" t="n">
        <v>1000</v>
      </c>
      <c r="E19" s="329"/>
      <c r="G19" s="327" t="e">
        <f aca="false">SUMIF(#REF!,#REF!,D$3:D19)-SUMIF(#REF!,#REF!,E$3:E19)</f>
        <v>#REF!</v>
      </c>
    </row>
    <row r="20" customFormat="false" ht="15" hidden="false" customHeight="false" outlineLevel="0" collapsed="false">
      <c r="A20" s="14" t="n">
        <v>44772</v>
      </c>
      <c r="B20" s="328" t="s">
        <v>247</v>
      </c>
      <c r="C20" s="328" t="s">
        <v>359</v>
      </c>
      <c r="D20" s="324"/>
      <c r="E20" s="329" t="n">
        <v>1000</v>
      </c>
      <c r="G20" s="329" t="e">
        <f aca="false">SUMIF(#REF!,#REF!,D$3:D35)-SUMIF(#REF!,#REF!,E$3:E35)</f>
        <v>#REF!</v>
      </c>
    </row>
    <row r="21" customFormat="false" ht="15" hidden="false" customHeight="false" outlineLevel="0" collapsed="false">
      <c r="A21" s="14" t="n">
        <v>44803</v>
      </c>
      <c r="B21" s="328" t="s">
        <v>247</v>
      </c>
      <c r="C21" s="328"/>
      <c r="D21" s="324"/>
      <c r="E21" s="329" t="n">
        <v>1000</v>
      </c>
      <c r="G21" s="327" t="e">
        <f aca="false">SUMIF(#REF!,#REF!,D$3:D21)-SUMIF(#REF!,#REF!,E$3:E21)</f>
        <v>#REF!</v>
      </c>
    </row>
    <row r="22" customFormat="false" ht="15" hidden="false" customHeight="false" outlineLevel="0" collapsed="false">
      <c r="A22" s="14" t="n">
        <v>44805</v>
      </c>
      <c r="B22" s="328" t="s">
        <v>71</v>
      </c>
      <c r="C22" s="328" t="s">
        <v>356</v>
      </c>
      <c r="D22" s="324" t="n">
        <v>2600</v>
      </c>
      <c r="E22" s="329"/>
      <c r="G22" s="327" t="e">
        <f aca="false">SUMIF(#REF!,#REF!,D$3:D22)-SUMIF(#REF!,#REF!,E$3:E22)</f>
        <v>#REF!</v>
      </c>
    </row>
    <row r="23" customFormat="false" ht="15" hidden="false" customHeight="false" outlineLevel="0" collapsed="false">
      <c r="A23" s="14" t="n">
        <v>44809</v>
      </c>
      <c r="B23" s="328" t="s">
        <v>71</v>
      </c>
      <c r="C23" s="328" t="s">
        <v>359</v>
      </c>
      <c r="D23" s="324"/>
      <c r="E23" s="329" t="n">
        <v>2600</v>
      </c>
      <c r="G23" s="327" t="e">
        <f aca="false">SUMIF(#REF!,#REF!,D$3:D23)-SUMIF(#REF!,#REF!,E$3:E23)</f>
        <v>#REF!</v>
      </c>
    </row>
    <row r="24" customFormat="false" ht="15" hidden="false" customHeight="false" outlineLevel="0" collapsed="false">
      <c r="A24" s="14" t="n">
        <v>44927</v>
      </c>
      <c r="B24" s="328" t="s">
        <v>247</v>
      </c>
      <c r="C24" s="328" t="s">
        <v>359</v>
      </c>
      <c r="D24" s="324"/>
      <c r="E24" s="329" t="n">
        <v>1000</v>
      </c>
      <c r="G24" s="327" t="e">
        <f aca="false">SUMIF(#REF!,#REF!,D$3:D24)-SUMIF(#REF!,#REF!,E$3:E24)</f>
        <v>#REF!</v>
      </c>
    </row>
    <row r="25" customFormat="false" ht="15" hidden="false" customHeight="false" outlineLevel="0" collapsed="false">
      <c r="A25" s="14" t="n">
        <v>44931</v>
      </c>
      <c r="B25" s="328" t="s">
        <v>196</v>
      </c>
      <c r="C25" s="328" t="s">
        <v>356</v>
      </c>
      <c r="D25" s="324" t="n">
        <v>10000</v>
      </c>
      <c r="E25" s="329"/>
      <c r="G25" s="327" t="e">
        <f aca="false">SUMIF(#REF!,#REF!,D$3:D25)-SUMIF(#REF!,#REF!,E$3:E25)</f>
        <v>#REF!</v>
      </c>
    </row>
    <row r="26" customFormat="false" ht="15" hidden="false" customHeight="false" outlineLevel="0" collapsed="false">
      <c r="A26" s="14" t="n">
        <v>44960</v>
      </c>
      <c r="B26" s="328" t="s">
        <v>196</v>
      </c>
      <c r="C26" s="328" t="s">
        <v>359</v>
      </c>
      <c r="D26" s="324"/>
      <c r="E26" s="329" t="n">
        <v>2000</v>
      </c>
      <c r="G26" s="327" t="e">
        <f aca="false">SUMIF(#REF!,#REF!,D$3:D26)-SUMIF(#REF!,#REF!,E$3:E26)</f>
        <v>#REF!</v>
      </c>
    </row>
    <row r="27" customFormat="false" ht="15" hidden="false" customHeight="false" outlineLevel="0" collapsed="false">
      <c r="A27" s="14" t="n">
        <v>44992</v>
      </c>
      <c r="B27" s="328" t="s">
        <v>196</v>
      </c>
      <c r="C27" s="328" t="s">
        <v>359</v>
      </c>
      <c r="D27" s="324"/>
      <c r="E27" s="329" t="n">
        <v>2000</v>
      </c>
      <c r="G27" s="327" t="e">
        <f aca="false">SUMIF(#REF!,#REF!,D$3:D27)-SUMIF(#REF!,#REF!,E$3:E27)</f>
        <v>#REF!</v>
      </c>
    </row>
    <row r="28" customFormat="false" ht="15" hidden="false" customHeight="false" outlineLevel="0" collapsed="false">
      <c r="A28" s="14" t="n">
        <v>44972</v>
      </c>
      <c r="B28" s="328" t="s">
        <v>247</v>
      </c>
      <c r="C28" s="328" t="s">
        <v>356</v>
      </c>
      <c r="D28" s="324" t="n">
        <v>7000</v>
      </c>
      <c r="E28" s="329"/>
      <c r="G28" s="329" t="e">
        <f aca="false">SUMIF(#REF!,#REF!,D$3:D35)-SUMIF(#REF!,#REF!,E$3:E35)</f>
        <v>#REF!</v>
      </c>
    </row>
    <row r="29" customFormat="false" ht="15" hidden="false" customHeight="false" outlineLevel="0" collapsed="false">
      <c r="A29" s="14" t="n">
        <v>44984</v>
      </c>
      <c r="B29" s="328" t="s">
        <v>247</v>
      </c>
      <c r="C29" s="328" t="s">
        <v>356</v>
      </c>
      <c r="D29" s="324" t="n">
        <v>5000</v>
      </c>
      <c r="E29" s="329"/>
      <c r="G29" s="327" t="e">
        <f aca="false">SUMIF(#REF!,#REF!,D$3:D29)-SUMIF(#REF!,#REF!,E$3:E29)</f>
        <v>#REF!</v>
      </c>
    </row>
    <row r="30" customFormat="false" ht="15" hidden="false" customHeight="false" outlineLevel="0" collapsed="false">
      <c r="A30" s="14" t="n">
        <v>44992</v>
      </c>
      <c r="B30" s="328" t="s">
        <v>247</v>
      </c>
      <c r="C30" s="328" t="s">
        <v>359</v>
      </c>
      <c r="D30" s="324"/>
      <c r="E30" s="329" t="n">
        <v>1000</v>
      </c>
      <c r="G30" s="327" t="e">
        <f aca="false">SUMIF(#REF!,#REF!,D$3:D30)-SUMIF(#REF!,#REF!,E$3:E30)</f>
        <v>#REF!</v>
      </c>
    </row>
    <row r="31" customFormat="false" ht="15" hidden="false" customHeight="false" outlineLevel="0" collapsed="false">
      <c r="A31" s="14" t="n">
        <v>45019</v>
      </c>
      <c r="B31" s="328" t="s">
        <v>247</v>
      </c>
      <c r="C31" s="328" t="s">
        <v>359</v>
      </c>
      <c r="D31" s="324"/>
      <c r="E31" s="329" t="n">
        <v>2000</v>
      </c>
      <c r="G31" s="327" t="e">
        <f aca="false">SUMIF(#REF!,#REF!,D$3:D31)-SUMIF(#REF!,#REF!,E$3:E31)</f>
        <v>#REF!</v>
      </c>
    </row>
    <row r="32" customFormat="false" ht="15" hidden="false" customHeight="false" outlineLevel="0" collapsed="false">
      <c r="A32" s="14" t="n">
        <v>45019</v>
      </c>
      <c r="B32" s="328" t="s">
        <v>196</v>
      </c>
      <c r="C32" s="328" t="s">
        <v>359</v>
      </c>
      <c r="D32" s="324"/>
      <c r="E32" s="329" t="n">
        <v>2000</v>
      </c>
      <c r="G32" s="327" t="e">
        <f aca="false">SUMIF(#REF!,#REF!,D$3:D32)-SUMIF(#REF!,#REF!,E$3:E32)</f>
        <v>#REF!</v>
      </c>
    </row>
    <row r="33" customFormat="false" ht="15" hidden="false" customHeight="false" outlineLevel="0" collapsed="false">
      <c r="A33" s="14"/>
      <c r="B33" s="328"/>
      <c r="C33" s="328"/>
      <c r="D33" s="324"/>
      <c r="E33" s="329"/>
      <c r="G33" s="327" t="e">
        <f aca="false">SUMIF(#REF!,#REF!,D$3:D33)-SUMIF(#REF!,#REF!,E$3:E33)</f>
        <v>#REF!</v>
      </c>
    </row>
    <row r="34" customFormat="false" ht="15" hidden="false" customHeight="false" outlineLevel="0" collapsed="false">
      <c r="A34" s="14"/>
      <c r="B34" s="328"/>
      <c r="C34" s="328"/>
      <c r="D34" s="324"/>
      <c r="E34" s="329"/>
      <c r="G34" s="327" t="e">
        <f aca="false">SUMIF(#REF!,#REF!,D$3:D34)-SUMIF(#REF!,#REF!,E$3:E34)</f>
        <v>#REF!</v>
      </c>
    </row>
    <row r="35" customFormat="false" ht="15" hidden="false" customHeight="false" outlineLevel="0" collapsed="false">
      <c r="A35" s="14"/>
      <c r="B35" s="328"/>
      <c r="C35" s="328"/>
      <c r="D35" s="324"/>
      <c r="E35" s="329"/>
      <c r="G35" s="327" t="e">
        <f aca="false">SUMIF(#REF!,#REF!,D$3:D35)-SUMIF(#REF!,#REF!,E$3:E35)</f>
        <v>#REF!</v>
      </c>
    </row>
    <row r="36" customFormat="false" ht="15" hidden="false" customHeight="false" outlineLevel="0" collapsed="false">
      <c r="A36" s="14"/>
      <c r="B36" s="328"/>
      <c r="C36" s="328"/>
      <c r="D36" s="324" t="e">
        <f aca="false">SUBTOTAL(109,#REF!)</f>
        <v>#REF!</v>
      </c>
      <c r="E36" s="329" t="e">
        <f aca="false">SUBTOTAL(109,#REF!)</f>
        <v>#REF!</v>
      </c>
      <c r="F36" s="329" t="e">
        <f aca="false">#REF!-#REF!</f>
        <v>#REF!</v>
      </c>
      <c r="G36" s="327"/>
    </row>
  </sheetData>
  <dataValidations count="3">
    <dataValidation allowBlank="true" errorStyle="stop" operator="between" showDropDown="false" showErrorMessage="true" showInputMessage="true" sqref="C2:C35 C37:C1036" type="list">
      <formula1>"Avans,Kesilen"</formula1>
      <formula2>0</formula2>
    </dataValidation>
    <dataValidation allowBlank="true" errorStyle="stop" operator="between" showDropDown="false" showErrorMessage="true" showInputMessage="true" sqref="B1:B35" type="list">
      <formula1>PersonelListesi!$A$2:$A$38</formula1>
      <formula2>0</formula2>
    </dataValidation>
    <dataValidation allowBlank="true" errorStyle="stop" operator="between" showDropDown="false" showErrorMessage="true" showInputMessage="true" sqref="B37:B1036" type="list">
      <formula1>PersonelListesi!$A$2:$A$38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14" activeCellId="0" sqref="C14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17.29"/>
    <col collapsed="false" customWidth="true" hidden="false" outlineLevel="0" max="3" min="3" style="1" width="23.57"/>
    <col collapsed="false" customWidth="true" hidden="false" outlineLevel="0" max="4" min="4" style="330" width="14.71"/>
    <col collapsed="false" customWidth="true" hidden="false" outlineLevel="0" max="5" min="5" style="1" width="7"/>
    <col collapsed="false" customWidth="true" hidden="false" outlineLevel="0" max="6" min="6" style="1" width="9.71"/>
    <col collapsed="false" customWidth="true" hidden="false" outlineLevel="0" max="7" min="7" style="1" width="9.14"/>
  </cols>
  <sheetData>
    <row r="1" customFormat="false" ht="15" hidden="false" customHeight="false" outlineLevel="0" collapsed="false">
      <c r="A1" s="301" t="s">
        <v>360</v>
      </c>
      <c r="B1" s="302" t="s">
        <v>347</v>
      </c>
      <c r="C1" s="0"/>
      <c r="D1" s="0"/>
      <c r="E1" s="0"/>
      <c r="F1" s="0"/>
      <c r="G1" s="0"/>
    </row>
    <row r="2" customFormat="false" ht="15" hidden="false" customHeight="false" outlineLevel="0" collapsed="false">
      <c r="A2" s="301" t="s">
        <v>361</v>
      </c>
      <c r="B2" s="302" t="s">
        <v>362</v>
      </c>
      <c r="C2" s="0"/>
      <c r="D2" s="0"/>
      <c r="E2" s="0"/>
      <c r="F2" s="0"/>
      <c r="G2" s="0"/>
    </row>
    <row r="3" customFormat="false" ht="15" hidden="false" customHeight="false" outlineLevel="0" collapsed="false">
      <c r="A3" s="301" t="s">
        <v>355</v>
      </c>
      <c r="B3" s="302" t="s">
        <v>363</v>
      </c>
      <c r="C3" s="0"/>
      <c r="D3" s="0"/>
      <c r="E3" s="0"/>
      <c r="F3" s="0"/>
      <c r="G3" s="0"/>
    </row>
    <row r="4" customFormat="false" ht="15" hidden="false" customHeight="false" outlineLevel="0" collapsed="false">
      <c r="A4" s="0"/>
      <c r="B4" s="0"/>
      <c r="C4" s="0"/>
      <c r="D4" s="0"/>
      <c r="E4" s="0"/>
      <c r="F4" s="0"/>
      <c r="G4" s="0"/>
    </row>
    <row r="5" customFormat="false" ht="15" hidden="false" customHeight="false" outlineLevel="0" collapsed="false">
      <c r="A5" s="303" t="s">
        <v>354</v>
      </c>
      <c r="B5" s="331" t="s">
        <v>364</v>
      </c>
      <c r="C5" s="331" t="s">
        <v>138</v>
      </c>
      <c r="D5" s="331" t="s">
        <v>144</v>
      </c>
      <c r="E5" s="331" t="s">
        <v>365</v>
      </c>
      <c r="F5" s="331" t="s">
        <v>366</v>
      </c>
      <c r="G5" s="304" t="s">
        <v>367</v>
      </c>
    </row>
    <row r="6" customFormat="false" ht="15" hidden="false" customHeight="false" outlineLevel="0" collapsed="false">
      <c r="A6" s="332" t="n">
        <v>45690</v>
      </c>
      <c r="B6" s="333" t="s">
        <v>368</v>
      </c>
      <c r="C6" s="334" t="s">
        <v>87</v>
      </c>
      <c r="D6" s="334" t="s">
        <v>369</v>
      </c>
      <c r="E6" s="335" t="n">
        <v>10</v>
      </c>
      <c r="F6" s="336" t="n">
        <v>250</v>
      </c>
      <c r="G6" s="337" t="n">
        <v>2500</v>
      </c>
    </row>
    <row r="7" customFormat="false" ht="15" hidden="false" customHeight="false" outlineLevel="0" collapsed="false">
      <c r="A7" s="338"/>
      <c r="B7" s="339"/>
      <c r="C7" s="334" t="s">
        <v>89</v>
      </c>
      <c r="D7" s="334" t="s">
        <v>369</v>
      </c>
      <c r="E7" s="335" t="n">
        <v>10</v>
      </c>
      <c r="F7" s="336" t="n">
        <v>150</v>
      </c>
      <c r="G7" s="337" t="n">
        <v>1500</v>
      </c>
    </row>
    <row r="8" customFormat="false" ht="15" hidden="false" customHeight="false" outlineLevel="0" collapsed="false">
      <c r="A8" s="332" t="n">
        <v>45692</v>
      </c>
      <c r="B8" s="333" t="s">
        <v>368</v>
      </c>
      <c r="C8" s="334" t="s">
        <v>85</v>
      </c>
      <c r="D8" s="334" t="s">
        <v>370</v>
      </c>
      <c r="E8" s="335" t="n">
        <v>2</v>
      </c>
      <c r="F8" s="336" t="n">
        <v>200</v>
      </c>
      <c r="G8" s="337" t="n">
        <v>400</v>
      </c>
    </row>
    <row r="9" customFormat="false" ht="15" hidden="false" customHeight="false" outlineLevel="0" collapsed="false">
      <c r="A9" s="338"/>
      <c r="B9" s="339"/>
      <c r="C9" s="334" t="s">
        <v>89</v>
      </c>
      <c r="D9" s="334" t="s">
        <v>371</v>
      </c>
      <c r="E9" s="335" t="n">
        <v>2</v>
      </c>
      <c r="F9" s="336" t="n">
        <v>150</v>
      </c>
      <c r="G9" s="337" t="n">
        <v>300</v>
      </c>
    </row>
    <row r="10" customFormat="false" ht="15" hidden="false" customHeight="false" outlineLevel="0" collapsed="false">
      <c r="A10" s="332" t="n">
        <v>45698</v>
      </c>
      <c r="B10" s="333" t="s">
        <v>368</v>
      </c>
      <c r="C10" s="334" t="s">
        <v>85</v>
      </c>
      <c r="D10" s="334" t="s">
        <v>372</v>
      </c>
      <c r="E10" s="335" t="n">
        <v>2</v>
      </c>
      <c r="F10" s="336" t="n">
        <v>230</v>
      </c>
      <c r="G10" s="337" t="n">
        <v>460</v>
      </c>
    </row>
    <row r="11" customFormat="false" ht="15" hidden="false" customHeight="false" outlineLevel="0" collapsed="false">
      <c r="A11" s="338"/>
      <c r="B11" s="339"/>
      <c r="C11" s="334" t="s">
        <v>91</v>
      </c>
      <c r="D11" s="334" t="s">
        <v>372</v>
      </c>
      <c r="E11" s="335" t="n">
        <v>2</v>
      </c>
      <c r="F11" s="336" t="n">
        <v>150</v>
      </c>
      <c r="G11" s="337" t="n">
        <v>300</v>
      </c>
    </row>
    <row r="12" customFormat="false" ht="15" hidden="false" customHeight="false" outlineLevel="0" collapsed="false">
      <c r="A12" s="332" t="n">
        <v>45699</v>
      </c>
      <c r="B12" s="333" t="s">
        <v>368</v>
      </c>
      <c r="C12" s="334" t="s">
        <v>87</v>
      </c>
      <c r="D12" s="334" t="s">
        <v>371</v>
      </c>
      <c r="E12" s="335" t="n">
        <v>2</v>
      </c>
      <c r="F12" s="336" t="n">
        <v>250</v>
      </c>
      <c r="G12" s="337" t="n">
        <v>500</v>
      </c>
    </row>
    <row r="13" customFormat="false" ht="15" hidden="false" customHeight="false" outlineLevel="0" collapsed="false">
      <c r="A13" s="338"/>
      <c r="B13" s="339"/>
      <c r="C13" s="334" t="s">
        <v>89</v>
      </c>
      <c r="D13" s="334" t="s">
        <v>371</v>
      </c>
      <c r="E13" s="335" t="n">
        <v>2</v>
      </c>
      <c r="F13" s="336" t="n">
        <v>150</v>
      </c>
      <c r="G13" s="337" t="n">
        <v>300</v>
      </c>
    </row>
    <row r="14" customFormat="false" ht="15" hidden="false" customHeight="false" outlineLevel="0" collapsed="false">
      <c r="A14" s="332" t="n">
        <v>45704</v>
      </c>
      <c r="B14" s="333" t="s">
        <v>368</v>
      </c>
      <c r="C14" s="334" t="s">
        <v>85</v>
      </c>
      <c r="D14" s="334" t="s">
        <v>369</v>
      </c>
      <c r="E14" s="335" t="n">
        <v>10</v>
      </c>
      <c r="F14" s="336" t="n">
        <v>230</v>
      </c>
      <c r="G14" s="337" t="n">
        <v>2300</v>
      </c>
    </row>
    <row r="15" customFormat="false" ht="15" hidden="false" customHeight="false" outlineLevel="0" collapsed="false">
      <c r="A15" s="338"/>
      <c r="B15" s="339"/>
      <c r="C15" s="334" t="s">
        <v>91</v>
      </c>
      <c r="D15" s="334" t="s">
        <v>369</v>
      </c>
      <c r="E15" s="335" t="n">
        <v>10</v>
      </c>
      <c r="F15" s="336" t="n">
        <v>150</v>
      </c>
      <c r="G15" s="337" t="n">
        <v>1500</v>
      </c>
    </row>
    <row r="16" customFormat="false" ht="15" hidden="false" customHeight="false" outlineLevel="0" collapsed="false">
      <c r="A16" s="332" t="n">
        <v>45731</v>
      </c>
      <c r="B16" s="333" t="s">
        <v>349</v>
      </c>
      <c r="C16" s="333" t="s">
        <v>85</v>
      </c>
      <c r="D16" s="334" t="s">
        <v>373</v>
      </c>
      <c r="E16" s="335" t="n">
        <v>18</v>
      </c>
      <c r="F16" s="336" t="n">
        <v>200</v>
      </c>
      <c r="G16" s="337" t="n">
        <v>3600</v>
      </c>
    </row>
    <row r="17" customFormat="false" ht="15" hidden="false" customHeight="false" outlineLevel="0" collapsed="false">
      <c r="A17" s="338"/>
      <c r="B17" s="339"/>
      <c r="C17" s="339"/>
      <c r="D17" s="334" t="s">
        <v>374</v>
      </c>
      <c r="E17" s="335" t="n">
        <v>25</v>
      </c>
      <c r="F17" s="336" t="n">
        <v>200</v>
      </c>
      <c r="G17" s="337" t="n">
        <v>5000</v>
      </c>
    </row>
    <row r="18" customFormat="false" ht="15" hidden="false" customHeight="false" outlineLevel="0" collapsed="false">
      <c r="A18" s="332" t="n">
        <v>45767</v>
      </c>
      <c r="B18" s="333" t="s">
        <v>368</v>
      </c>
      <c r="C18" s="334" t="s">
        <v>87</v>
      </c>
      <c r="D18" s="334" t="s">
        <v>369</v>
      </c>
      <c r="E18" s="335" t="n">
        <v>10</v>
      </c>
      <c r="F18" s="336" t="n">
        <v>250</v>
      </c>
      <c r="G18" s="337" t="n">
        <v>2500</v>
      </c>
    </row>
    <row r="19" customFormat="false" ht="15" hidden="false" customHeight="false" outlineLevel="0" collapsed="false">
      <c r="A19" s="338"/>
      <c r="B19" s="339"/>
      <c r="C19" s="334" t="s">
        <v>89</v>
      </c>
      <c r="D19" s="334" t="s">
        <v>369</v>
      </c>
      <c r="E19" s="335" t="n">
        <v>10</v>
      </c>
      <c r="F19" s="336" t="n">
        <v>150</v>
      </c>
      <c r="G19" s="337" t="n">
        <v>1500</v>
      </c>
    </row>
    <row r="20" customFormat="false" ht="15" hidden="false" customHeight="false" outlineLevel="0" collapsed="false">
      <c r="A20" s="332" t="n">
        <v>45770</v>
      </c>
      <c r="B20" s="333" t="s">
        <v>368</v>
      </c>
      <c r="C20" s="334" t="s">
        <v>85</v>
      </c>
      <c r="D20" s="334" t="s">
        <v>375</v>
      </c>
      <c r="E20" s="335" t="n">
        <v>10</v>
      </c>
      <c r="F20" s="336" t="n">
        <v>230</v>
      </c>
      <c r="G20" s="337" t="n">
        <v>2300</v>
      </c>
    </row>
    <row r="21" customFormat="false" ht="15" hidden="false" customHeight="false" outlineLevel="0" collapsed="false">
      <c r="A21" s="338"/>
      <c r="B21" s="339"/>
      <c r="C21" s="334" t="s">
        <v>91</v>
      </c>
      <c r="D21" s="334" t="s">
        <v>375</v>
      </c>
      <c r="E21" s="335" t="n">
        <v>10</v>
      </c>
      <c r="F21" s="336" t="n">
        <v>150</v>
      </c>
      <c r="G21" s="337" t="n">
        <v>1500</v>
      </c>
    </row>
    <row r="22" customFormat="false" ht="15" hidden="false" customHeight="false" outlineLevel="0" collapsed="false">
      <c r="A22" s="332" t="n">
        <v>45781</v>
      </c>
      <c r="B22" s="333" t="s">
        <v>368</v>
      </c>
      <c r="C22" s="334" t="s">
        <v>87</v>
      </c>
      <c r="D22" s="334" t="s">
        <v>369</v>
      </c>
      <c r="E22" s="335" t="n">
        <v>10</v>
      </c>
      <c r="F22" s="336" t="n">
        <v>250</v>
      </c>
      <c r="G22" s="337" t="n">
        <v>2500</v>
      </c>
    </row>
    <row r="23" customFormat="false" ht="15" hidden="false" customHeight="false" outlineLevel="0" collapsed="false">
      <c r="A23" s="338"/>
      <c r="B23" s="339"/>
      <c r="C23" s="334" t="s">
        <v>89</v>
      </c>
      <c r="D23" s="334" t="s">
        <v>369</v>
      </c>
      <c r="E23" s="335" t="n">
        <v>10</v>
      </c>
      <c r="F23" s="336" t="n">
        <v>150</v>
      </c>
      <c r="G23" s="337" t="n">
        <v>1500</v>
      </c>
    </row>
    <row r="24" customFormat="false" ht="15" hidden="false" customHeight="false" outlineLevel="0" collapsed="false">
      <c r="A24" s="340" t="n">
        <v>45816</v>
      </c>
      <c r="B24" s="334" t="s">
        <v>368</v>
      </c>
      <c r="C24" s="334" t="s">
        <v>85</v>
      </c>
      <c r="D24" s="334" t="s">
        <v>376</v>
      </c>
      <c r="E24" s="335" t="n">
        <v>5</v>
      </c>
      <c r="F24" s="336" t="n">
        <v>200</v>
      </c>
      <c r="G24" s="337" t="n">
        <v>1000</v>
      </c>
    </row>
    <row r="25" customFormat="false" ht="15" hidden="false" customHeight="false" outlineLevel="0" collapsed="false">
      <c r="A25" s="340" t="n">
        <v>45817</v>
      </c>
      <c r="B25" s="334" t="s">
        <v>368</v>
      </c>
      <c r="C25" s="334" t="s">
        <v>85</v>
      </c>
      <c r="D25" s="334" t="s">
        <v>377</v>
      </c>
      <c r="E25" s="335" t="n">
        <v>5</v>
      </c>
      <c r="F25" s="336" t="n">
        <v>200</v>
      </c>
      <c r="G25" s="337" t="n">
        <v>1000</v>
      </c>
    </row>
    <row r="26" customFormat="false" ht="15" hidden="false" customHeight="false" outlineLevel="0" collapsed="false">
      <c r="A26" s="332" t="n">
        <v>45872</v>
      </c>
      <c r="B26" s="333" t="s">
        <v>368</v>
      </c>
      <c r="C26" s="334" t="s">
        <v>85</v>
      </c>
      <c r="D26" s="334" t="s">
        <v>369</v>
      </c>
      <c r="E26" s="335" t="n">
        <v>10</v>
      </c>
      <c r="F26" s="336" t="n">
        <v>230</v>
      </c>
      <c r="G26" s="337" t="n">
        <v>2300</v>
      </c>
    </row>
    <row r="27" customFormat="false" ht="15" hidden="false" customHeight="false" outlineLevel="0" collapsed="false">
      <c r="A27" s="338"/>
      <c r="B27" s="339"/>
      <c r="C27" s="334" t="s">
        <v>91</v>
      </c>
      <c r="D27" s="334" t="s">
        <v>369</v>
      </c>
      <c r="E27" s="335" t="n">
        <v>10</v>
      </c>
      <c r="F27" s="336" t="n">
        <v>150</v>
      </c>
      <c r="G27" s="337" t="n">
        <v>1500</v>
      </c>
    </row>
    <row r="28" customFormat="false" ht="15" hidden="false" customHeight="false" outlineLevel="0" collapsed="false">
      <c r="A28" s="332" t="n">
        <v>45875</v>
      </c>
      <c r="B28" s="333" t="s">
        <v>368</v>
      </c>
      <c r="C28" s="334" t="s">
        <v>87</v>
      </c>
      <c r="D28" s="334" t="s">
        <v>378</v>
      </c>
      <c r="E28" s="335" t="n">
        <v>3</v>
      </c>
      <c r="F28" s="336" t="n">
        <v>250</v>
      </c>
      <c r="G28" s="337" t="n">
        <v>750</v>
      </c>
    </row>
    <row r="29" customFormat="false" ht="15" hidden="false" customHeight="false" outlineLevel="0" collapsed="false">
      <c r="A29" s="338"/>
      <c r="B29" s="339"/>
      <c r="C29" s="334" t="s">
        <v>91</v>
      </c>
      <c r="D29" s="334" t="s">
        <v>378</v>
      </c>
      <c r="E29" s="335" t="n">
        <v>3</v>
      </c>
      <c r="F29" s="336" t="n">
        <v>150</v>
      </c>
      <c r="G29" s="337" t="n">
        <v>450</v>
      </c>
    </row>
    <row r="30" customFormat="false" ht="15" hidden="false" customHeight="false" outlineLevel="0" collapsed="false">
      <c r="A30" s="332" t="n">
        <v>45876</v>
      </c>
      <c r="B30" s="333" t="s">
        <v>368</v>
      </c>
      <c r="C30" s="334" t="s">
        <v>85</v>
      </c>
      <c r="D30" s="334" t="s">
        <v>379</v>
      </c>
      <c r="E30" s="335" t="n">
        <v>3</v>
      </c>
      <c r="F30" s="336" t="n">
        <v>230</v>
      </c>
      <c r="G30" s="337" t="n">
        <v>690</v>
      </c>
    </row>
    <row r="31" customFormat="false" ht="15" hidden="false" customHeight="false" outlineLevel="0" collapsed="false">
      <c r="A31" s="338"/>
      <c r="B31" s="339"/>
      <c r="C31" s="334" t="s">
        <v>91</v>
      </c>
      <c r="D31" s="334" t="s">
        <v>379</v>
      </c>
      <c r="E31" s="335" t="n">
        <v>3</v>
      </c>
      <c r="F31" s="336" t="n">
        <v>150</v>
      </c>
      <c r="G31" s="337" t="n">
        <v>450</v>
      </c>
    </row>
    <row r="32" customFormat="false" ht="15" hidden="false" customHeight="false" outlineLevel="0" collapsed="false">
      <c r="A32" s="332" t="n">
        <v>45877</v>
      </c>
      <c r="B32" s="333" t="s">
        <v>368</v>
      </c>
      <c r="C32" s="334" t="s">
        <v>87</v>
      </c>
      <c r="D32" s="334" t="s">
        <v>380</v>
      </c>
      <c r="E32" s="335" t="n">
        <v>3</v>
      </c>
      <c r="F32" s="336" t="n">
        <v>250</v>
      </c>
      <c r="G32" s="337" t="n">
        <v>750</v>
      </c>
    </row>
    <row r="33" customFormat="false" ht="15" hidden="false" customHeight="false" outlineLevel="0" collapsed="false">
      <c r="A33" s="338"/>
      <c r="B33" s="339"/>
      <c r="C33" s="334" t="s">
        <v>91</v>
      </c>
      <c r="D33" s="334" t="s">
        <v>380</v>
      </c>
      <c r="E33" s="335" t="n">
        <v>3</v>
      </c>
      <c r="F33" s="336" t="n">
        <v>150</v>
      </c>
      <c r="G33" s="337" t="n">
        <v>450</v>
      </c>
    </row>
    <row r="34" customFormat="false" ht="15" hidden="false" customHeight="false" outlineLevel="0" collapsed="false">
      <c r="A34" s="332" t="n">
        <v>45879</v>
      </c>
      <c r="B34" s="333" t="s">
        <v>368</v>
      </c>
      <c r="C34" s="334" t="s">
        <v>87</v>
      </c>
      <c r="D34" s="334" t="s">
        <v>369</v>
      </c>
      <c r="E34" s="335" t="n">
        <v>10</v>
      </c>
      <c r="F34" s="336" t="n">
        <v>250</v>
      </c>
      <c r="G34" s="337" t="n">
        <v>2500</v>
      </c>
    </row>
    <row r="35" customFormat="false" ht="15" hidden="false" customHeight="false" outlineLevel="0" collapsed="false">
      <c r="A35" s="338"/>
      <c r="B35" s="339"/>
      <c r="C35" s="334" t="s">
        <v>91</v>
      </c>
      <c r="D35" s="334" t="s">
        <v>369</v>
      </c>
      <c r="E35" s="335" t="n">
        <v>30</v>
      </c>
      <c r="F35" s="336" t="n">
        <v>150</v>
      </c>
      <c r="G35" s="337" t="n">
        <v>4500</v>
      </c>
    </row>
    <row r="36" customFormat="false" ht="15" hidden="false" customHeight="false" outlineLevel="0" collapsed="false">
      <c r="A36" s="332" t="n">
        <v>45881</v>
      </c>
      <c r="B36" s="333" t="s">
        <v>368</v>
      </c>
      <c r="C36" s="334" t="s">
        <v>85</v>
      </c>
      <c r="D36" s="334" t="s">
        <v>381</v>
      </c>
      <c r="E36" s="335" t="n">
        <v>3</v>
      </c>
      <c r="F36" s="336" t="n">
        <v>230</v>
      </c>
      <c r="G36" s="337" t="n">
        <v>690</v>
      </c>
    </row>
    <row r="37" customFormat="false" ht="15" hidden="false" customHeight="false" outlineLevel="0" collapsed="false">
      <c r="A37" s="338"/>
      <c r="B37" s="339"/>
      <c r="C37" s="334" t="s">
        <v>91</v>
      </c>
      <c r="D37" s="334" t="s">
        <v>381</v>
      </c>
      <c r="E37" s="335" t="n">
        <v>3</v>
      </c>
      <c r="F37" s="336" t="n">
        <v>150</v>
      </c>
      <c r="G37" s="337" t="n">
        <v>450</v>
      </c>
    </row>
    <row r="38" customFormat="false" ht="15" hidden="false" customHeight="false" outlineLevel="0" collapsed="false">
      <c r="A38" s="340" t="n">
        <v>45882</v>
      </c>
      <c r="B38" s="334" t="s">
        <v>368</v>
      </c>
      <c r="C38" s="334" t="s">
        <v>87</v>
      </c>
      <c r="D38" s="334" t="s">
        <v>378</v>
      </c>
      <c r="E38" s="335" t="n">
        <v>3</v>
      </c>
      <c r="F38" s="336" t="n">
        <v>250</v>
      </c>
      <c r="G38" s="337" t="n">
        <v>750</v>
      </c>
    </row>
    <row r="39" customFormat="false" ht="15" hidden="false" customHeight="false" outlineLevel="0" collapsed="false">
      <c r="A39" s="341" t="s">
        <v>350</v>
      </c>
      <c r="B39" s="342"/>
      <c r="C39" s="342"/>
      <c r="D39" s="342"/>
      <c r="E39" s="343"/>
      <c r="F39" s="344"/>
      <c r="G39" s="311" t="n">
        <v>48690</v>
      </c>
    </row>
    <row r="40" customFormat="false" ht="15" hidden="false" customHeight="false" outlineLevel="0" collapsed="false">
      <c r="D40" s="1"/>
    </row>
    <row r="41" customFormat="false" ht="15" hidden="false" customHeight="false" outlineLevel="0" collapsed="false">
      <c r="D41" s="1"/>
    </row>
    <row r="42" customFormat="false" ht="15" hidden="false" customHeight="false" outlineLevel="0" collapsed="false">
      <c r="D42" s="1"/>
    </row>
    <row r="43" customFormat="false" ht="15" hidden="false" customHeight="false" outlineLevel="0" collapsed="false">
      <c r="D43" s="1"/>
    </row>
    <row r="44" customFormat="false" ht="15" hidden="false" customHeight="false" outlineLevel="0" collapsed="false">
      <c r="D44" s="1"/>
    </row>
    <row r="45" customFormat="false" ht="15" hidden="false" customHeight="false" outlineLevel="0" collapsed="false">
      <c r="D45" s="1"/>
    </row>
    <row r="46" customFormat="false" ht="15" hidden="false" customHeight="false" outlineLevel="0" collapsed="false">
      <c r="D46" s="1"/>
    </row>
    <row r="47" customFormat="false" ht="15" hidden="false" customHeight="false" outlineLevel="0" collapsed="false">
      <c r="D47" s="1"/>
    </row>
    <row r="48" customFormat="false" ht="15" hidden="false" customHeight="false" outlineLevel="0" collapsed="false">
      <c r="D48" s="1"/>
    </row>
    <row r="49" customFormat="false" ht="15" hidden="false" customHeight="false" outlineLevel="0" collapsed="false">
      <c r="D49" s="1"/>
    </row>
    <row r="50" customFormat="false" ht="15" hidden="false" customHeight="false" outlineLevel="0" collapsed="false">
      <c r="D50" s="1"/>
    </row>
    <row r="51" customFormat="false" ht="15" hidden="false" customHeight="false" outlineLevel="0" collapsed="false">
      <c r="D51" s="1"/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5724"/>
    <pageSetUpPr fitToPage="true"/>
  </sheetPr>
  <dimension ref="A1:S320"/>
  <sheetViews>
    <sheetView showFormulas="false" showGridLines="true" showRowColHeaders="true" showZeros="true" rightToLeft="false" tabSelected="false" showOutlineSymbols="true" defaultGridColor="true" view="pageBreakPreview" topLeftCell="A1" colorId="64" zoomScale="95" zoomScaleNormal="100" zoomScalePageLayoutView="95" workbookViewId="0">
      <pane xSplit="2" ySplit="2" topLeftCell="C103" activePane="bottomRight" state="frozen"/>
      <selection pane="topLeft" activeCell="A1" activeCellId="0" sqref="A1"/>
      <selection pane="topRight" activeCell="C1" activeCellId="0" sqref="C1"/>
      <selection pane="bottomLeft" activeCell="A103" activeCellId="0" sqref="A103"/>
      <selection pane="bottomRight" activeCell="E114" activeCellId="0" sqref="E114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4" width="10.14"/>
    <col collapsed="false" customWidth="true" hidden="false" outlineLevel="0" max="2" min="2" style="1" width="21.71"/>
    <col collapsed="false" customWidth="true" hidden="false" outlineLevel="0" max="3" min="3" style="1" width="9"/>
    <col collapsed="false" customWidth="true" hidden="false" outlineLevel="0" max="4" min="4" style="312" width="9.57"/>
    <col collapsed="false" customWidth="true" hidden="false" outlineLevel="0" max="5" min="5" style="312" width="7.42"/>
    <col collapsed="false" customWidth="true" hidden="false" outlineLevel="0" max="6" min="6" style="312" width="10"/>
    <col collapsed="false" customWidth="true" hidden="false" outlineLevel="0" max="7" min="7" style="1" width="11.29"/>
    <col collapsed="false" customWidth="true" hidden="false" outlineLevel="0" max="8" min="8" style="1" width="40.43"/>
    <col collapsed="false" customWidth="true" hidden="false" outlineLevel="0" max="9" min="9" style="1" width="10"/>
    <col collapsed="false" customWidth="true" hidden="false" outlineLevel="0" max="10" min="10" style="1" width="13.15"/>
    <col collapsed="false" customWidth="true" hidden="false" outlineLevel="0" max="11" min="11" style="1" width="9.29"/>
    <col collapsed="false" customWidth="true" hidden="false" outlineLevel="0" max="12" min="12" style="1" width="7.86"/>
    <col collapsed="false" customWidth="true" hidden="false" outlineLevel="0" max="13" min="13" style="1" width="11.14"/>
    <col collapsed="false" customWidth="true" hidden="false" outlineLevel="0" max="14" min="14" style="1" width="11.71"/>
    <col collapsed="false" customWidth="true" hidden="false" outlineLevel="0" max="15" min="15" style="1" width="14.71"/>
    <col collapsed="false" customWidth="true" hidden="false" outlineLevel="0" max="16" min="16" style="1" width="9.42"/>
  </cols>
  <sheetData>
    <row r="1" customFormat="false" ht="21" hidden="false" customHeight="true" outlineLevel="0" collapsed="false">
      <c r="B1" s="318"/>
      <c r="C1" s="314" t="s">
        <v>382</v>
      </c>
      <c r="D1" s="345" t="e">
        <f aca="false">SUBTOTAL(109,bordro810[M. Tutar])</f>
        <v>#N/A</v>
      </c>
      <c r="E1" s="345"/>
      <c r="F1" s="316" t="s">
        <v>383</v>
      </c>
      <c r="G1" s="317" t="n">
        <f aca="false">SUBTOTAL(109,bordro810[Ödeme])</f>
        <v>37240</v>
      </c>
      <c r="H1" s="318" t="s">
        <v>353</v>
      </c>
      <c r="I1" s="318"/>
      <c r="J1" s="319" t="e">
        <f aca="false">D1-G1</f>
        <v>#N/A</v>
      </c>
      <c r="K1" s="346"/>
      <c r="L1" s="318"/>
      <c r="M1" s="318"/>
      <c r="N1" s="318"/>
      <c r="O1" s="318"/>
      <c r="P1" s="318"/>
      <c r="Q1" s="318"/>
      <c r="R1" s="318"/>
      <c r="S1" s="318"/>
    </row>
    <row r="2" customFormat="false" ht="15" hidden="false" customHeight="false" outlineLevel="0" collapsed="false">
      <c r="A2" s="14" t="s">
        <v>354</v>
      </c>
      <c r="B2" s="321" t="s">
        <v>138</v>
      </c>
      <c r="C2" s="321" t="s">
        <v>355</v>
      </c>
      <c r="D2" s="322" t="s">
        <v>365</v>
      </c>
      <c r="E2" s="322" t="s">
        <v>366</v>
      </c>
      <c r="F2" s="322" t="s">
        <v>384</v>
      </c>
      <c r="G2" s="321" t="s">
        <v>385</v>
      </c>
      <c r="H2" s="321" t="s">
        <v>144</v>
      </c>
      <c r="I2" s="321" t="s">
        <v>386</v>
      </c>
      <c r="J2" s="321" t="s">
        <v>358</v>
      </c>
      <c r="K2" s="321" t="s">
        <v>136</v>
      </c>
      <c r="L2" s="321" t="s">
        <v>360</v>
      </c>
      <c r="M2" s="321" t="s">
        <v>364</v>
      </c>
      <c r="N2" s="321" t="s">
        <v>361</v>
      </c>
      <c r="O2" s="321" t="s">
        <v>387</v>
      </c>
      <c r="P2" s="321" t="s">
        <v>26</v>
      </c>
    </row>
    <row r="3" customFormat="false" ht="15" hidden="false" customHeight="false" outlineLevel="0" collapsed="false">
      <c r="A3" s="14" t="n">
        <v>45690</v>
      </c>
      <c r="B3" s="347" t="s">
        <v>109</v>
      </c>
      <c r="C3" s="328" t="s">
        <v>363</v>
      </c>
      <c r="D3" s="348" t="n">
        <v>10</v>
      </c>
      <c r="E3" s="348" t="n">
        <f aca="false">VLOOKUP(B3,PersonelListesi!A$1:G$41,5,FALSE())</f>
        <v>250</v>
      </c>
      <c r="F3" s="322" t="n">
        <f aca="false">bordro810[[#This Row],[Saat]]*bordro810[[#This Row],[S.Ücret]]</f>
        <v>2500</v>
      </c>
      <c r="G3" s="349" t="n">
        <v>2500</v>
      </c>
      <c r="H3" s="349" t="s">
        <v>369</v>
      </c>
      <c r="I3" s="329" t="n">
        <f aca="false">bordro810[[#This Row],[Ödeme]]-bordro810[[#This Row],[M. Tutar]]</f>
        <v>0</v>
      </c>
      <c r="J3" s="350" t="n">
        <f aca="false">SUMIF(bordro810[Personel],bordro810[[#This Row],[Personel]],F$3:F3)-SUMIF(bordro810[Personel],bordro810[[#This Row],[Personel]],G$3:G3)</f>
        <v>0</v>
      </c>
      <c r="K3" s="351" t="str">
        <f aca="false">TEXT(bordro810[[#This Row],[Tarih]],"yyyy")</f>
        <v>2025</v>
      </c>
      <c r="L3" s="1" t="str">
        <f aca="false">TEXT(bordro810[[#This Row],[Tarih]],"yyyy/aa")</f>
        <v>2025.aa</v>
      </c>
      <c r="M3" s="1" t="str">
        <f aca="false">TEXT(bordro810[[#This Row],[Tarih]],"gggg")</f>
        <v>ADMS</v>
      </c>
      <c r="N3" s="1" t="str">
        <f aca="false">VLOOKUP(B3,PersonelListesi!A$1:G$41,4,FALSE())</f>
        <v>_OPERATÖR</v>
      </c>
      <c r="O3" s="325"/>
    </row>
    <row r="4" customFormat="false" ht="15" hidden="false" customHeight="false" outlineLevel="0" collapsed="false">
      <c r="A4" s="14" t="n">
        <v>45690</v>
      </c>
      <c r="B4" s="347" t="s">
        <v>95</v>
      </c>
      <c r="C4" s="328" t="s">
        <v>363</v>
      </c>
      <c r="D4" s="348" t="n">
        <v>10</v>
      </c>
      <c r="E4" s="348" t="n">
        <v>230</v>
      </c>
      <c r="F4" s="322" t="n">
        <f aca="false">bordro810[[#This Row],[Saat]]*bordro810[[#This Row],[S.Ücret]]</f>
        <v>2300</v>
      </c>
      <c r="G4" s="349" t="n">
        <v>2300</v>
      </c>
      <c r="H4" s="349" t="s">
        <v>369</v>
      </c>
      <c r="I4" s="329" t="n">
        <f aca="false">bordro810[[#This Row],[Ödeme]]-bordro810[[#This Row],[M. Tutar]]</f>
        <v>0</v>
      </c>
      <c r="J4" s="350" t="n">
        <f aca="false">SUMIF(bordro810[Personel],bordro810[[#This Row],[Personel]],F$3:F4)-SUMIF(bordro810[Personel],bordro810[[#This Row],[Personel]],G$3:G4)</f>
        <v>5060</v>
      </c>
      <c r="K4" s="351" t="str">
        <f aca="false">TEXT(bordro810[[#This Row],[Tarih]],"yyyy")</f>
        <v>2025</v>
      </c>
      <c r="L4" s="1" t="str">
        <f aca="false">TEXT(bordro810[[#This Row],[Tarih]],"yyyy/aa")</f>
        <v>2025.aa</v>
      </c>
      <c r="M4" s="1" t="str">
        <f aca="false">TEXT(bordro810[[#This Row],[Tarih]],"gggg")</f>
        <v>ADMS</v>
      </c>
      <c r="N4" s="1" t="str">
        <f aca="false">VLOOKUP(B4,PersonelListesi!A$1:G$41,4,FALSE())</f>
        <v>_ŞOFÖR</v>
      </c>
      <c r="O4" s="325"/>
      <c r="P4" s="321"/>
    </row>
    <row r="5" customFormat="false" ht="15" hidden="false" customHeight="false" outlineLevel="0" collapsed="false">
      <c r="A5" s="14" t="n">
        <v>45690</v>
      </c>
      <c r="B5" s="347" t="s">
        <v>102</v>
      </c>
      <c r="C5" s="328" t="s">
        <v>363</v>
      </c>
      <c r="D5" s="348" t="n">
        <v>10</v>
      </c>
      <c r="E5" s="348" t="n">
        <v>230</v>
      </c>
      <c r="F5" s="322" t="n">
        <f aca="false">bordro810[[#This Row],[Saat]]*bordro810[[#This Row],[S.Ücret]]</f>
        <v>2300</v>
      </c>
      <c r="G5" s="352" t="n">
        <v>0</v>
      </c>
      <c r="H5" s="349" t="s">
        <v>369</v>
      </c>
      <c r="I5" s="329" t="n">
        <f aca="false">bordro810[[#This Row],[Ödeme]]-bordro810[[#This Row],[M. Tutar]]</f>
        <v>-2300</v>
      </c>
      <c r="J5" s="350" t="n">
        <f aca="false">SUMIF(bordro810[Personel],bordro810[[#This Row],[Personel]],F$3:F5)-SUMIF(bordro810[Personel],bordro810[[#This Row],[Personel]],G$3:G5)</f>
        <v>15030</v>
      </c>
      <c r="K5" s="351" t="str">
        <f aca="false">TEXT(bordro810[[#This Row],[Tarih]],"yyyy")</f>
        <v>2025</v>
      </c>
      <c r="L5" s="1" t="str">
        <f aca="false">TEXT(bordro810[[#This Row],[Tarih]],"yyyy/aa")</f>
        <v>2025.aa</v>
      </c>
      <c r="M5" s="1" t="str">
        <f aca="false">TEXT(bordro810[[#This Row],[Tarih]],"gggg")</f>
        <v>ADMS</v>
      </c>
      <c r="N5" s="1" t="str">
        <f aca="false">VLOOKUP(B5,PersonelListesi!A$1:G$41,4,FALSE())</f>
        <v>_ŞOFÖR</v>
      </c>
      <c r="O5" s="325"/>
      <c r="P5" s="321"/>
    </row>
    <row r="6" customFormat="false" ht="15" hidden="false" customHeight="false" outlineLevel="0" collapsed="false">
      <c r="A6" s="14" t="n">
        <v>45690</v>
      </c>
      <c r="B6" s="347" t="s">
        <v>103</v>
      </c>
      <c r="C6" s="328" t="s">
        <v>363</v>
      </c>
      <c r="D6" s="348" t="n">
        <v>10</v>
      </c>
      <c r="E6" s="348" t="n">
        <v>250</v>
      </c>
      <c r="F6" s="322" t="n">
        <f aca="false">bordro810[[#This Row],[Saat]]*bordro810[[#This Row],[S.Ücret]]</f>
        <v>2500</v>
      </c>
      <c r="G6" s="352" t="n">
        <v>0</v>
      </c>
      <c r="H6" s="349" t="s">
        <v>369</v>
      </c>
      <c r="I6" s="329" t="n">
        <f aca="false">bordro810[[#This Row],[Ödeme]]-bordro810[[#This Row],[M. Tutar]]</f>
        <v>-2500</v>
      </c>
      <c r="J6" s="350" t="n">
        <f aca="false">SUMIF(bordro810[Personel],bordro810[[#This Row],[Personel]],F$3:F6)-SUMIF(bordro810[Personel],bordro810[[#This Row],[Personel]],G$3:G6)</f>
        <v>5000</v>
      </c>
      <c r="K6" s="351" t="str">
        <f aca="false">TEXT(bordro810[[#This Row],[Tarih]],"yyyy")</f>
        <v>2025</v>
      </c>
      <c r="L6" s="1" t="str">
        <f aca="false">TEXT(bordro810[[#This Row],[Tarih]],"yyyy/aa")</f>
        <v>2025.aa</v>
      </c>
      <c r="M6" s="1" t="str">
        <f aca="false">TEXT(bordro810[[#This Row],[Tarih]],"gggg")</f>
        <v>ADMS</v>
      </c>
      <c r="N6" s="1" t="str">
        <f aca="false">VLOOKUP(B6,PersonelListesi!A$1:G$41,4,FALSE())</f>
        <v>_OPERATÖR</v>
      </c>
      <c r="O6" s="325"/>
      <c r="P6" s="321"/>
    </row>
    <row r="7" customFormat="false" ht="15" hidden="false" customHeight="false" outlineLevel="0" collapsed="false">
      <c r="A7" s="14" t="n">
        <v>45690</v>
      </c>
      <c r="B7" s="347" t="s">
        <v>100</v>
      </c>
      <c r="C7" s="328" t="s">
        <v>363</v>
      </c>
      <c r="D7" s="348" t="n">
        <v>10</v>
      </c>
      <c r="E7" s="348" t="n">
        <v>230</v>
      </c>
      <c r="F7" s="322" t="n">
        <f aca="false">bordro810[[#This Row],[Saat]]*bordro810[[#This Row],[S.Ücret]]</f>
        <v>2300</v>
      </c>
      <c r="G7" s="349" t="n">
        <v>2300</v>
      </c>
      <c r="H7" s="349" t="s">
        <v>369</v>
      </c>
      <c r="I7" s="329" t="n">
        <f aca="false">bordro810[[#This Row],[Ödeme]]-bordro810[[#This Row],[M. Tutar]]</f>
        <v>0</v>
      </c>
      <c r="J7" s="350" t="n">
        <f aca="false">SUMIF(bordro810[Personel],bordro810[[#This Row],[Personel]],F$3:F7)-SUMIF(bordro810[Personel],bordro810[[#This Row],[Personel]],G$3:G7)</f>
        <v>17240</v>
      </c>
      <c r="K7" s="351" t="str">
        <f aca="false">TEXT(bordro810[[#This Row],[Tarih]],"yyyy")</f>
        <v>2025</v>
      </c>
      <c r="L7" s="1" t="str">
        <f aca="false">TEXT(bordro810[[#This Row],[Tarih]],"yyyy/aa")</f>
        <v>2025.aa</v>
      </c>
      <c r="M7" s="1" t="str">
        <f aca="false">TEXT(bordro810[[#This Row],[Tarih]],"gggg")</f>
        <v>ADMS</v>
      </c>
      <c r="N7" s="1" t="str">
        <f aca="false">VLOOKUP(B7,PersonelListesi!A$1:G$41,4,FALSE())</f>
        <v>_KANTAR</v>
      </c>
      <c r="O7" s="325"/>
      <c r="P7" s="321"/>
    </row>
    <row r="8" customFormat="false" ht="15" hidden="false" customHeight="false" outlineLevel="0" collapsed="false">
      <c r="A8" s="14" t="n">
        <v>45690</v>
      </c>
      <c r="B8" s="347" t="s">
        <v>87</v>
      </c>
      <c r="C8" s="328" t="s">
        <v>363</v>
      </c>
      <c r="D8" s="348" t="n">
        <v>10</v>
      </c>
      <c r="E8" s="348" t="n">
        <v>250</v>
      </c>
      <c r="F8" s="322" t="n">
        <f aca="false">bordro810[[#This Row],[Saat]]*bordro810[[#This Row],[S.Ücret]]</f>
        <v>2500</v>
      </c>
      <c r="G8" s="349" t="n">
        <v>2500</v>
      </c>
      <c r="H8" s="349" t="s">
        <v>369</v>
      </c>
      <c r="I8" s="329" t="n">
        <f aca="false">bordro810[[#This Row],[Ödeme]]-bordro810[[#This Row],[M. Tutar]]</f>
        <v>0</v>
      </c>
      <c r="J8" s="350" t="n">
        <f aca="false">SUMIF(bordro810[Personel],bordro810[[#This Row],[Personel]],F$3:F8)-SUMIF(bordro810[Personel],bordro810[[#This Row],[Personel]],G$3:G8)</f>
        <v>4750</v>
      </c>
      <c r="K8" s="351" t="str">
        <f aca="false">TEXT(bordro810[[#This Row],[Tarih]],"yyyy")</f>
        <v>2025</v>
      </c>
      <c r="L8" s="1" t="str">
        <f aca="false">TEXT(bordro810[[#This Row],[Tarih]],"yyyy/aa")</f>
        <v>2025.aa</v>
      </c>
      <c r="M8" s="1" t="str">
        <f aca="false">TEXT(bordro810[[#This Row],[Tarih]],"gggg")</f>
        <v>ADMS</v>
      </c>
      <c r="N8" s="1" t="str">
        <f aca="false">VLOOKUP(B8,PersonelListesi!A$1:G$41,4,FALSE())</f>
        <v>_D.ELEMAN</v>
      </c>
      <c r="O8" s="325"/>
      <c r="P8" s="321"/>
    </row>
    <row r="9" customFormat="false" ht="15" hidden="false" customHeight="false" outlineLevel="0" collapsed="false">
      <c r="A9" s="14" t="n">
        <v>45690</v>
      </c>
      <c r="B9" s="347" t="s">
        <v>89</v>
      </c>
      <c r="C9" s="328" t="s">
        <v>363</v>
      </c>
      <c r="D9" s="348" t="n">
        <v>10</v>
      </c>
      <c r="E9" s="348" t="n">
        <v>150</v>
      </c>
      <c r="F9" s="322" t="n">
        <f aca="false">bordro810[[#This Row],[Saat]]*bordro810[[#This Row],[S.Ücret]]</f>
        <v>1500</v>
      </c>
      <c r="G9" s="352" t="n">
        <v>0</v>
      </c>
      <c r="H9" s="349" t="s">
        <v>369</v>
      </c>
      <c r="I9" s="329" t="n">
        <f aca="false">bordro810[[#This Row],[Ödeme]]-bordro810[[#This Row],[M. Tutar]]</f>
        <v>-1500</v>
      </c>
      <c r="J9" s="350" t="n">
        <f aca="false">SUMIF(bordro810[Personel],bordro810[[#This Row],[Personel]],F$3:F9)-SUMIF(bordro810[Personel],bordro810[[#This Row],[Personel]],G$3:G9)</f>
        <v>5100</v>
      </c>
      <c r="K9" s="351" t="str">
        <f aca="false">TEXT(bordro810[[#This Row],[Tarih]],"yyyy")</f>
        <v>2025</v>
      </c>
      <c r="L9" s="1" t="str">
        <f aca="false">TEXT(bordro810[[#This Row],[Tarih]],"yyyy/aa")</f>
        <v>2025.aa</v>
      </c>
      <c r="M9" s="1" t="str">
        <f aca="false">TEXT(bordro810[[#This Row],[Tarih]],"gggg")</f>
        <v>ADMS</v>
      </c>
      <c r="N9" s="1" t="str">
        <f aca="false">VLOOKUP(B9,PersonelListesi!A$1:G$41,4,FALSE())</f>
        <v>_D.ELEMAN</v>
      </c>
      <c r="O9" s="325"/>
      <c r="P9" s="321"/>
    </row>
    <row r="10" customFormat="false" ht="12.75" hidden="false" customHeight="true" outlineLevel="0" collapsed="false">
      <c r="A10" s="14" t="n">
        <v>45692</v>
      </c>
      <c r="B10" s="347" t="s">
        <v>117</v>
      </c>
      <c r="C10" s="328" t="s">
        <v>363</v>
      </c>
      <c r="D10" s="348" t="n">
        <v>2</v>
      </c>
      <c r="E10" s="348" t="n">
        <v>250</v>
      </c>
      <c r="F10" s="322" t="n">
        <f aca="false">bordro810[[#This Row],[Saat]]*bordro810[[#This Row],[S.Ücret]]</f>
        <v>500</v>
      </c>
      <c r="G10" s="349" t="n">
        <v>500</v>
      </c>
      <c r="H10" s="349" t="s">
        <v>371</v>
      </c>
      <c r="I10" s="329" t="n">
        <f aca="false">bordro810[[#This Row],[Ödeme]]-bordro810[[#This Row],[M. Tutar]]</f>
        <v>0</v>
      </c>
      <c r="J10" s="350" t="n">
        <f aca="false">SUMIF(bordro810[Personel],bordro810[[#This Row],[Personel]],F$3:F10)-SUMIF(bordro810[Personel],bordro810[[#This Row],[Personel]],G$3:G10)</f>
        <v>0</v>
      </c>
      <c r="K10" s="351" t="str">
        <f aca="false">TEXT(bordro810[[#This Row],[Tarih]],"yyyy")</f>
        <v>2025</v>
      </c>
      <c r="L10" s="1" t="str">
        <f aca="false">TEXT(bordro810[[#This Row],[Tarih]],"yyyy/aa")</f>
        <v>2025.aa</v>
      </c>
      <c r="M10" s="1" t="str">
        <f aca="false">TEXT(bordro810[[#This Row],[Tarih]],"gggg")</f>
        <v>ADMS</v>
      </c>
      <c r="N10" s="1" t="str">
        <f aca="false">VLOOKUP(B10,PersonelListesi!A$1:G$41,4,FALSE())</f>
        <v>_OPERATÖR</v>
      </c>
      <c r="O10" s="325"/>
      <c r="P10" s="321"/>
    </row>
    <row r="11" customFormat="false" ht="15" hidden="false" customHeight="false" outlineLevel="0" collapsed="false">
      <c r="A11" s="14" t="n">
        <v>45692</v>
      </c>
      <c r="B11" s="347" t="s">
        <v>48</v>
      </c>
      <c r="C11" s="328" t="s">
        <v>363</v>
      </c>
      <c r="D11" s="348" t="n">
        <v>2</v>
      </c>
      <c r="E11" s="348" t="n">
        <v>230</v>
      </c>
      <c r="F11" s="322" t="n">
        <f aca="false">bordro810[[#This Row],[Saat]]*bordro810[[#This Row],[S.Ücret]]</f>
        <v>460</v>
      </c>
      <c r="G11" s="349" t="n">
        <v>460</v>
      </c>
      <c r="H11" s="349" t="s">
        <v>371</v>
      </c>
      <c r="I11" s="329" t="n">
        <f aca="false">bordro810[[#This Row],[Ödeme]]-bordro810[[#This Row],[M. Tutar]]</f>
        <v>0</v>
      </c>
      <c r="J11" s="350" t="n">
        <f aca="false">SUMIF(bordro810[Personel],bordro810[[#This Row],[Personel]],F$3:F11)-SUMIF(bordro810[Personel],bordro810[[#This Row],[Personel]],G$3:G11)</f>
        <v>2300</v>
      </c>
      <c r="K11" s="351" t="str">
        <f aca="false">TEXT(bordro810[[#This Row],[Tarih]],"yyyy")</f>
        <v>2025</v>
      </c>
      <c r="L11" s="1" t="str">
        <f aca="false">TEXT(bordro810[[#This Row],[Tarih]],"yyyy/aa")</f>
        <v>2025.aa</v>
      </c>
      <c r="M11" s="1" t="str">
        <f aca="false">TEXT(bordro810[[#This Row],[Tarih]],"gggg")</f>
        <v>ADMS</v>
      </c>
      <c r="N11" s="1" t="str">
        <f aca="false">VLOOKUP(B11,PersonelListesi!A$1:G$41,4,FALSE())</f>
        <v>_ŞOFÖR</v>
      </c>
      <c r="O11" s="325"/>
      <c r="P11" s="321"/>
    </row>
    <row r="12" customFormat="false" ht="15" hidden="false" customHeight="false" outlineLevel="0" collapsed="false">
      <c r="A12" s="14" t="n">
        <v>45692</v>
      </c>
      <c r="B12" s="347" t="s">
        <v>116</v>
      </c>
      <c r="C12" s="328" t="s">
        <v>363</v>
      </c>
      <c r="D12" s="348" t="n">
        <v>2</v>
      </c>
      <c r="E12" s="348" t="n">
        <v>230</v>
      </c>
      <c r="F12" s="322" t="n">
        <f aca="false">bordro810[[#This Row],[Saat]]*bordro810[[#This Row],[S.Ücret]]</f>
        <v>460</v>
      </c>
      <c r="G12" s="349" t="n">
        <v>0</v>
      </c>
      <c r="H12" s="349" t="s">
        <v>371</v>
      </c>
      <c r="I12" s="329" t="n">
        <f aca="false">bordro810[[#This Row],[Ödeme]]-bordro810[[#This Row],[M. Tutar]]</f>
        <v>-460</v>
      </c>
      <c r="J12" s="350" t="n">
        <f aca="false">SUMIF(bordro810[Personel],bordro810[[#This Row],[Personel]],F$3:F12)-SUMIF(bordro810[Personel],bordro810[[#This Row],[Personel]],G$3:G12)</f>
        <v>7820</v>
      </c>
      <c r="K12" s="351" t="str">
        <f aca="false">TEXT(bordro810[[#This Row],[Tarih]],"yyyy")</f>
        <v>2025</v>
      </c>
      <c r="L12" s="1" t="str">
        <f aca="false">TEXT(bordro810[[#This Row],[Tarih]],"yyyy/aa")</f>
        <v>2025.aa</v>
      </c>
      <c r="M12" s="1" t="str">
        <f aca="false">TEXT(bordro810[[#This Row],[Tarih]],"gggg")</f>
        <v>ADMS</v>
      </c>
      <c r="N12" s="1" t="str">
        <f aca="false">VLOOKUP(B12,PersonelListesi!A$1:G$41,4,FALSE())</f>
        <v>_ŞOFÖR</v>
      </c>
      <c r="O12" s="325"/>
      <c r="P12" s="321"/>
    </row>
    <row r="13" customFormat="false" ht="15" hidden="false" customHeight="false" outlineLevel="0" collapsed="false">
      <c r="A13" s="14" t="n">
        <v>45692</v>
      </c>
      <c r="B13" s="347" t="s">
        <v>89</v>
      </c>
      <c r="C13" s="328" t="s">
        <v>363</v>
      </c>
      <c r="D13" s="348" t="n">
        <v>2</v>
      </c>
      <c r="E13" s="348" t="n">
        <v>150</v>
      </c>
      <c r="F13" s="322" t="n">
        <f aca="false">bordro810[[#This Row],[Saat]]*bordro810[[#This Row],[S.Ücret]]</f>
        <v>300</v>
      </c>
      <c r="G13" s="352" t="n">
        <v>0</v>
      </c>
      <c r="H13" s="349" t="s">
        <v>371</v>
      </c>
      <c r="I13" s="329" t="n">
        <f aca="false">bordro810[[#This Row],[Ödeme]]-bordro810[[#This Row],[M. Tutar]]</f>
        <v>-300</v>
      </c>
      <c r="J13" s="350" t="n">
        <f aca="false">SUMIF(bordro810[Personel],bordro810[[#This Row],[Personel]],F$3:F13)-SUMIF(bordro810[Personel],bordro810[[#This Row],[Personel]],G$3:G13)</f>
        <v>5100</v>
      </c>
      <c r="K13" s="351" t="str">
        <f aca="false">TEXT(bordro810[[#This Row],[Tarih]],"yyyy")</f>
        <v>2025</v>
      </c>
      <c r="L13" s="1" t="str">
        <f aca="false">TEXT(bordro810[[#This Row],[Tarih]],"yyyy/aa")</f>
        <v>2025.aa</v>
      </c>
      <c r="M13" s="1" t="str">
        <f aca="false">TEXT(bordro810[[#This Row],[Tarih]],"gggg")</f>
        <v>ADMS</v>
      </c>
      <c r="N13" s="1" t="str">
        <f aca="false">VLOOKUP(B13,PersonelListesi!A$1:G$41,4,FALSE())</f>
        <v>_D.ELEMAN</v>
      </c>
      <c r="O13" s="325"/>
      <c r="P13" s="321"/>
    </row>
    <row r="14" customFormat="false" ht="15" hidden="false" customHeight="false" outlineLevel="0" collapsed="false">
      <c r="A14" s="14" t="n">
        <v>45692</v>
      </c>
      <c r="B14" s="347" t="s">
        <v>85</v>
      </c>
      <c r="C14" s="328" t="s">
        <v>363</v>
      </c>
      <c r="D14" s="348" t="n">
        <v>2</v>
      </c>
      <c r="E14" s="348" t="n">
        <v>200</v>
      </c>
      <c r="F14" s="322" t="n">
        <f aca="false">bordro810[[#This Row],[Saat]]*bordro810[[#This Row],[S.Ücret]]</f>
        <v>400</v>
      </c>
      <c r="G14" s="352" t="n">
        <v>0</v>
      </c>
      <c r="H14" s="349" t="s">
        <v>370</v>
      </c>
      <c r="I14" s="329" t="n">
        <f aca="false">bordro810[[#This Row],[Ödeme]]-bordro810[[#This Row],[M. Tutar]]</f>
        <v>-400</v>
      </c>
      <c r="J14" s="350" t="n">
        <f aca="false">SUMIF(bordro810[Personel],bordro810[[#This Row],[Personel]],F$3:F14)-SUMIF(bordro810[Personel],bordro810[[#This Row],[Personel]],G$3:G14)</f>
        <v>19740</v>
      </c>
      <c r="K14" s="351" t="str">
        <f aca="false">TEXT(bordro810[[#This Row],[Tarih]],"yyyy")</f>
        <v>2025</v>
      </c>
      <c r="L14" s="1" t="str">
        <f aca="false">TEXT(bordro810[[#This Row],[Tarih]],"yyyy/aa")</f>
        <v>2025.aa</v>
      </c>
      <c r="M14" s="1" t="str">
        <f aca="false">TEXT(bordro810[[#This Row],[Tarih]],"gggg")</f>
        <v>ADMS</v>
      </c>
      <c r="N14" s="1" t="str">
        <f aca="false">VLOOKUP(B14,PersonelListesi!A$1:G$41,4,FALSE())</f>
        <v>_D.ELEMAN</v>
      </c>
      <c r="O14" s="325"/>
      <c r="P14" s="321"/>
    </row>
    <row r="15" customFormat="false" ht="15" hidden="false" customHeight="false" outlineLevel="0" collapsed="false">
      <c r="A15" s="14" t="n">
        <v>45698</v>
      </c>
      <c r="B15" s="347" t="s">
        <v>109</v>
      </c>
      <c r="C15" s="328" t="s">
        <v>363</v>
      </c>
      <c r="D15" s="348" t="n">
        <v>2</v>
      </c>
      <c r="E15" s="348" t="n">
        <v>250</v>
      </c>
      <c r="F15" s="322" t="n">
        <f aca="false">bordro810[[#This Row],[Saat]]*bordro810[[#This Row],[S.Ücret]]</f>
        <v>500</v>
      </c>
      <c r="G15" s="349" t="n">
        <v>500</v>
      </c>
      <c r="H15" s="349" t="s">
        <v>372</v>
      </c>
      <c r="I15" s="329" t="n">
        <f aca="false">bordro810[[#This Row],[Ödeme]]-bordro810[[#This Row],[M. Tutar]]</f>
        <v>0</v>
      </c>
      <c r="J15" s="350" t="n">
        <f aca="false">SUMIF(bordro810[Personel],bordro810[[#This Row],[Personel]],F$3:F15)-SUMIF(bordro810[Personel],bordro810[[#This Row],[Personel]],G$3:G15)</f>
        <v>0</v>
      </c>
      <c r="K15" s="351" t="str">
        <f aca="false">TEXT(bordro810[[#This Row],[Tarih]],"yyyy")</f>
        <v>2025</v>
      </c>
      <c r="L15" s="1" t="str">
        <f aca="false">TEXT(bordro810[[#This Row],[Tarih]],"yyyy/aa")</f>
        <v>2025.aa</v>
      </c>
      <c r="M15" s="1" t="str">
        <f aca="false">TEXT(bordro810[[#This Row],[Tarih]],"gggg")</f>
        <v>ADMS</v>
      </c>
      <c r="N15" s="1" t="str">
        <f aca="false">VLOOKUP(B15,PersonelListesi!A$1:G$41,4,FALSE())</f>
        <v>_OPERATÖR</v>
      </c>
      <c r="O15" s="325"/>
      <c r="P15" s="321"/>
    </row>
    <row r="16" customFormat="false" ht="15" hidden="false" customHeight="false" outlineLevel="0" collapsed="false">
      <c r="A16" s="14" t="n">
        <v>45698</v>
      </c>
      <c r="B16" s="347" t="s">
        <v>95</v>
      </c>
      <c r="C16" s="328" t="s">
        <v>363</v>
      </c>
      <c r="D16" s="348" t="n">
        <v>2</v>
      </c>
      <c r="E16" s="348" t="n">
        <v>230</v>
      </c>
      <c r="F16" s="322" t="n">
        <f aca="false">bordro810[[#This Row],[Saat]]*bordro810[[#This Row],[S.Ücret]]</f>
        <v>460</v>
      </c>
      <c r="G16" s="349" t="n">
        <v>460</v>
      </c>
      <c r="H16" s="349" t="s">
        <v>372</v>
      </c>
      <c r="I16" s="329" t="n">
        <f aca="false">bordro810[[#This Row],[Ödeme]]-bordro810[[#This Row],[M. Tutar]]</f>
        <v>0</v>
      </c>
      <c r="J16" s="350" t="n">
        <f aca="false">SUMIF(bordro810[Personel],bordro810[[#This Row],[Personel]],F$3:F16)-SUMIF(bordro810[Personel],bordro810[[#This Row],[Personel]],G$3:G16)</f>
        <v>5060</v>
      </c>
      <c r="K16" s="351" t="str">
        <f aca="false">TEXT(bordro810[[#This Row],[Tarih]],"yyyy")</f>
        <v>2025</v>
      </c>
      <c r="L16" s="1" t="str">
        <f aca="false">TEXT(bordro810[[#This Row],[Tarih]],"yyyy/aa")</f>
        <v>2025.aa</v>
      </c>
      <c r="M16" s="1" t="str">
        <f aca="false">TEXT(bordro810[[#This Row],[Tarih]],"gggg")</f>
        <v>ADMS</v>
      </c>
      <c r="N16" s="1" t="str">
        <f aca="false">VLOOKUP(B16,PersonelListesi!A$1:G$41,4,FALSE())</f>
        <v>_ŞOFÖR</v>
      </c>
      <c r="O16" s="325"/>
      <c r="P16" s="321"/>
    </row>
    <row r="17" customFormat="false" ht="15" hidden="false" customHeight="false" outlineLevel="0" collapsed="false">
      <c r="A17" s="14" t="n">
        <v>45698</v>
      </c>
      <c r="B17" s="347" t="s">
        <v>102</v>
      </c>
      <c r="C17" s="328" t="s">
        <v>363</v>
      </c>
      <c r="D17" s="348" t="n">
        <v>2</v>
      </c>
      <c r="E17" s="348" t="n">
        <v>230</v>
      </c>
      <c r="F17" s="322" t="n">
        <f aca="false">bordro810[[#This Row],[Saat]]*bordro810[[#This Row],[S.Ücret]]</f>
        <v>460</v>
      </c>
      <c r="G17" s="352" t="s">
        <v>388</v>
      </c>
      <c r="H17" s="349" t="s">
        <v>372</v>
      </c>
      <c r="I17" s="329" t="e">
        <f aca="false">bordro810[[#This Row],[Ödeme]]-bordro810[[#This Row],[M. Tutar]]</f>
        <v>#VALUE!</v>
      </c>
      <c r="J17" s="350" t="n">
        <f aca="false">SUMIF(bordro810[Personel],bordro810[[#This Row],[Personel]],F$3:F17)-SUMIF(bordro810[Personel],bordro810[[#This Row],[Personel]],G$3:G17)</f>
        <v>15030</v>
      </c>
      <c r="K17" s="351" t="str">
        <f aca="false">TEXT(bordro810[[#This Row],[Tarih]],"yyyy")</f>
        <v>2025</v>
      </c>
      <c r="L17" s="1" t="str">
        <f aca="false">TEXT(bordro810[[#This Row],[Tarih]],"yyyy/aa")</f>
        <v>2025.aa</v>
      </c>
      <c r="M17" s="1" t="str">
        <f aca="false">TEXT(bordro810[[#This Row],[Tarih]],"gggg")</f>
        <v>ADMS</v>
      </c>
      <c r="N17" s="1" t="str">
        <f aca="false">VLOOKUP(B17,PersonelListesi!A$1:G$41,4,FALSE())</f>
        <v>_ŞOFÖR</v>
      </c>
      <c r="O17" s="325"/>
      <c r="P17" s="321"/>
    </row>
    <row r="18" customFormat="false" ht="15" hidden="false" customHeight="false" outlineLevel="0" collapsed="false">
      <c r="A18" s="14" t="n">
        <v>45698</v>
      </c>
      <c r="B18" s="347" t="s">
        <v>85</v>
      </c>
      <c r="C18" s="328" t="s">
        <v>363</v>
      </c>
      <c r="D18" s="348" t="n">
        <v>2</v>
      </c>
      <c r="E18" s="348" t="n">
        <v>230</v>
      </c>
      <c r="F18" s="322" t="n">
        <f aca="false">bordro810[[#This Row],[Saat]]*bordro810[[#This Row],[S.Ücret]]</f>
        <v>460</v>
      </c>
      <c r="G18" s="352" t="n">
        <v>0</v>
      </c>
      <c r="H18" s="349" t="s">
        <v>372</v>
      </c>
      <c r="I18" s="329" t="n">
        <f aca="false">bordro810[[#This Row],[Ödeme]]-bordro810[[#This Row],[M. Tutar]]</f>
        <v>-460</v>
      </c>
      <c r="J18" s="350" t="n">
        <f aca="false">SUMIF(bordro810[Personel],bordro810[[#This Row],[Personel]],F$3:F18)-SUMIF(bordro810[Personel],bordro810[[#This Row],[Personel]],G$3:G18)</f>
        <v>19740</v>
      </c>
      <c r="K18" s="351" t="str">
        <f aca="false">TEXT(bordro810[[#This Row],[Tarih]],"yyyy")</f>
        <v>2025</v>
      </c>
      <c r="L18" s="1" t="str">
        <f aca="false">TEXT(bordro810[[#This Row],[Tarih]],"yyyy/aa")</f>
        <v>2025.aa</v>
      </c>
      <c r="M18" s="1" t="str">
        <f aca="false">TEXT(bordro810[[#This Row],[Tarih]],"gggg")</f>
        <v>ADMS</v>
      </c>
      <c r="N18" s="1" t="str">
        <f aca="false">VLOOKUP(B18,PersonelListesi!A$1:G$41,4,FALSE())</f>
        <v>_D.ELEMAN</v>
      </c>
      <c r="O18" s="325"/>
      <c r="P18" s="321"/>
    </row>
    <row r="19" customFormat="false" ht="15" hidden="false" customHeight="false" outlineLevel="0" collapsed="false">
      <c r="A19" s="14" t="n">
        <v>45698</v>
      </c>
      <c r="B19" s="347" t="s">
        <v>91</v>
      </c>
      <c r="C19" s="328" t="s">
        <v>363</v>
      </c>
      <c r="D19" s="348" t="n">
        <v>2</v>
      </c>
      <c r="E19" s="348" t="n">
        <v>150</v>
      </c>
      <c r="F19" s="322" t="n">
        <f aca="false">bordro810[[#This Row],[Saat]]*bordro810[[#This Row],[S.Ücret]]</f>
        <v>300</v>
      </c>
      <c r="G19" s="349" t="n">
        <v>300</v>
      </c>
      <c r="H19" s="349" t="s">
        <v>372</v>
      </c>
      <c r="I19" s="329" t="n">
        <f aca="false">bordro810[[#This Row],[Ödeme]]-bordro810[[#This Row],[M. Tutar]]</f>
        <v>0</v>
      </c>
      <c r="J19" s="350" t="n">
        <f aca="false">SUMIF(bordro810[Personel],bordro810[[#This Row],[Personel]],F$3:F19)-SUMIF(bordro810[Personel],bordro810[[#This Row],[Personel]],G$3:G19)</f>
        <v>9300</v>
      </c>
      <c r="K19" s="351" t="str">
        <f aca="false">TEXT(bordro810[[#This Row],[Tarih]],"yyyy")</f>
        <v>2025</v>
      </c>
      <c r="L19" s="1" t="str">
        <f aca="false">TEXT(bordro810[[#This Row],[Tarih]],"yyyy/aa")</f>
        <v>2025.aa</v>
      </c>
      <c r="M19" s="1" t="str">
        <f aca="false">TEXT(bordro810[[#This Row],[Tarih]],"gggg")</f>
        <v>ADMS</v>
      </c>
      <c r="N19" s="1" t="str">
        <f aca="false">VLOOKUP(B19,PersonelListesi!A$1:G$41,4,FALSE())</f>
        <v>_D.ELEMAN</v>
      </c>
      <c r="O19" s="325"/>
      <c r="P19" s="321"/>
    </row>
    <row r="20" customFormat="false" ht="15" hidden="false" customHeight="false" outlineLevel="0" collapsed="false">
      <c r="A20" s="14" t="n">
        <v>45699</v>
      </c>
      <c r="B20" s="347" t="s">
        <v>117</v>
      </c>
      <c r="C20" s="328" t="s">
        <v>363</v>
      </c>
      <c r="D20" s="348" t="n">
        <v>2</v>
      </c>
      <c r="E20" s="348" t="n">
        <v>250</v>
      </c>
      <c r="F20" s="322" t="n">
        <f aca="false">bordro810[[#This Row],[Saat]]*bordro810[[#This Row],[S.Ücret]]</f>
        <v>500</v>
      </c>
      <c r="G20" s="349" t="n">
        <v>500</v>
      </c>
      <c r="H20" s="349" t="s">
        <v>371</v>
      </c>
      <c r="I20" s="329" t="n">
        <f aca="false">bordro810[[#This Row],[Ödeme]]-bordro810[[#This Row],[M. Tutar]]</f>
        <v>0</v>
      </c>
      <c r="J20" s="350" t="n">
        <f aca="false">SUMIF(bordro810[Personel],bordro810[[#This Row],[Personel]],F$3:F20)-SUMIF(bordro810[Personel],bordro810[[#This Row],[Personel]],G$3:G20)</f>
        <v>0</v>
      </c>
      <c r="K20" s="351" t="str">
        <f aca="false">TEXT(bordro810[[#This Row],[Tarih]],"yyyy")</f>
        <v>2025</v>
      </c>
      <c r="L20" s="1" t="str">
        <f aca="false">TEXT(bordro810[[#This Row],[Tarih]],"yyyy/aa")</f>
        <v>2025.aa</v>
      </c>
      <c r="M20" s="1" t="str">
        <f aca="false">TEXT(bordro810[[#This Row],[Tarih]],"gggg")</f>
        <v>ADMS</v>
      </c>
      <c r="N20" s="1" t="str">
        <f aca="false">VLOOKUP(B20,PersonelListesi!A$1:G$41,4,FALSE())</f>
        <v>_OPERATÖR</v>
      </c>
      <c r="O20" s="325"/>
      <c r="P20" s="321"/>
    </row>
    <row r="21" customFormat="false" ht="15" hidden="false" customHeight="false" outlineLevel="0" collapsed="false">
      <c r="A21" s="14" t="n">
        <v>45699</v>
      </c>
      <c r="B21" s="347" t="s">
        <v>48</v>
      </c>
      <c r="C21" s="328" t="s">
        <v>363</v>
      </c>
      <c r="D21" s="348" t="n">
        <v>2</v>
      </c>
      <c r="E21" s="348" t="n">
        <v>230</v>
      </c>
      <c r="F21" s="322" t="n">
        <f aca="false">bordro810[[#This Row],[Saat]]*bordro810[[#This Row],[S.Ücret]]</f>
        <v>460</v>
      </c>
      <c r="G21" s="349" t="n">
        <v>460</v>
      </c>
      <c r="H21" s="349" t="s">
        <v>371</v>
      </c>
      <c r="I21" s="329" t="n">
        <f aca="false">bordro810[[#This Row],[Ödeme]]-bordro810[[#This Row],[M. Tutar]]</f>
        <v>0</v>
      </c>
      <c r="J21" s="350" t="n">
        <f aca="false">SUMIF(bordro810[Personel],bordro810[[#This Row],[Personel]],F$3:F21)-SUMIF(bordro810[Personel],bordro810[[#This Row],[Personel]],G$3:G21)</f>
        <v>2300</v>
      </c>
      <c r="K21" s="351" t="str">
        <f aca="false">TEXT(bordro810[[#This Row],[Tarih]],"yyyy")</f>
        <v>2025</v>
      </c>
      <c r="L21" s="1" t="str">
        <f aca="false">TEXT(bordro810[[#This Row],[Tarih]],"yyyy/aa")</f>
        <v>2025.aa</v>
      </c>
      <c r="M21" s="1" t="str">
        <f aca="false">TEXT(bordro810[[#This Row],[Tarih]],"gggg")</f>
        <v>ADMS</v>
      </c>
      <c r="N21" s="1" t="str">
        <f aca="false">VLOOKUP(B21,PersonelListesi!A$1:G$41,4,FALSE())</f>
        <v>_ŞOFÖR</v>
      </c>
      <c r="O21" s="325"/>
      <c r="P21" s="321"/>
    </row>
    <row r="22" customFormat="false" ht="15" hidden="false" customHeight="false" outlineLevel="0" collapsed="false">
      <c r="A22" s="14" t="n">
        <v>45699</v>
      </c>
      <c r="B22" s="347" t="s">
        <v>116</v>
      </c>
      <c r="C22" s="328" t="s">
        <v>363</v>
      </c>
      <c r="D22" s="348" t="n">
        <v>2</v>
      </c>
      <c r="E22" s="348" t="n">
        <v>230</v>
      </c>
      <c r="F22" s="322" t="n">
        <f aca="false">bordro810[[#This Row],[Saat]]*bordro810[[#This Row],[S.Ücret]]</f>
        <v>460</v>
      </c>
      <c r="G22" s="352" t="n">
        <v>460</v>
      </c>
      <c r="H22" s="349" t="s">
        <v>371</v>
      </c>
      <c r="I22" s="329" t="n">
        <f aca="false">bordro810[[#This Row],[Ödeme]]-bordro810[[#This Row],[M. Tutar]]</f>
        <v>0</v>
      </c>
      <c r="J22" s="350" t="n">
        <f aca="false">SUMIF(bordro810[Personel],bordro810[[#This Row],[Personel]],F$3:F22)-SUMIF(bordro810[Personel],bordro810[[#This Row],[Personel]],G$3:G22)</f>
        <v>7820</v>
      </c>
      <c r="K22" s="351" t="str">
        <f aca="false">TEXT(bordro810[[#This Row],[Tarih]],"yyyy")</f>
        <v>2025</v>
      </c>
      <c r="L22" s="1" t="str">
        <f aca="false">TEXT(bordro810[[#This Row],[Tarih]],"yyyy/aa")</f>
        <v>2025.aa</v>
      </c>
      <c r="M22" s="1" t="str">
        <f aca="false">TEXT(bordro810[[#This Row],[Tarih]],"gggg")</f>
        <v>ADMS</v>
      </c>
      <c r="N22" s="1" t="str">
        <f aca="false">VLOOKUP(B22,PersonelListesi!A$1:G$41,4,FALSE())</f>
        <v>_ŞOFÖR</v>
      </c>
      <c r="O22" s="325"/>
      <c r="P22" s="321"/>
    </row>
    <row r="23" customFormat="false" ht="15" hidden="false" customHeight="false" outlineLevel="0" collapsed="false">
      <c r="A23" s="14" t="n">
        <v>45699</v>
      </c>
      <c r="B23" s="347" t="s">
        <v>87</v>
      </c>
      <c r="C23" s="328" t="s">
        <v>363</v>
      </c>
      <c r="D23" s="348" t="n">
        <v>2</v>
      </c>
      <c r="E23" s="348" t="n">
        <v>250</v>
      </c>
      <c r="F23" s="322" t="n">
        <f aca="false">bordro810[[#This Row],[Saat]]*bordro810[[#This Row],[S.Ücret]]</f>
        <v>500</v>
      </c>
      <c r="G23" s="349" t="n">
        <v>500</v>
      </c>
      <c r="H23" s="349" t="s">
        <v>371</v>
      </c>
      <c r="I23" s="329" t="n">
        <f aca="false">bordro810[[#This Row],[Ödeme]]-bordro810[[#This Row],[M. Tutar]]</f>
        <v>0</v>
      </c>
      <c r="J23" s="350" t="n">
        <f aca="false">SUMIF(bordro810[Personel],bordro810[[#This Row],[Personel]],F$3:F23)-SUMIF(bordro810[Personel],bordro810[[#This Row],[Personel]],G$3:G23)</f>
        <v>4750</v>
      </c>
      <c r="K23" s="351" t="str">
        <f aca="false">TEXT(bordro810[[#This Row],[Tarih]],"yyyy")</f>
        <v>2025</v>
      </c>
      <c r="L23" s="1" t="str">
        <f aca="false">TEXT(bordro810[[#This Row],[Tarih]],"yyyy/aa")</f>
        <v>2025.aa</v>
      </c>
      <c r="M23" s="1" t="str">
        <f aca="false">TEXT(bordro810[[#This Row],[Tarih]],"gggg")</f>
        <v>ADMS</v>
      </c>
      <c r="N23" s="1" t="str">
        <f aca="false">VLOOKUP(B23,PersonelListesi!A$1:G$41,4,FALSE())</f>
        <v>_D.ELEMAN</v>
      </c>
      <c r="O23" s="325"/>
      <c r="P23" s="321"/>
    </row>
    <row r="24" customFormat="false" ht="15" hidden="false" customHeight="false" outlineLevel="0" collapsed="false">
      <c r="A24" s="14" t="n">
        <v>45699</v>
      </c>
      <c r="B24" s="347" t="s">
        <v>89</v>
      </c>
      <c r="C24" s="328" t="s">
        <v>363</v>
      </c>
      <c r="D24" s="348" t="n">
        <v>2</v>
      </c>
      <c r="E24" s="348" t="n">
        <v>150</v>
      </c>
      <c r="F24" s="322" t="n">
        <f aca="false">bordro810[[#This Row],[Saat]]*bordro810[[#This Row],[S.Ücret]]</f>
        <v>300</v>
      </c>
      <c r="G24" s="352" t="n">
        <v>0</v>
      </c>
      <c r="H24" s="349" t="s">
        <v>371</v>
      </c>
      <c r="I24" s="329" t="n">
        <f aca="false">bordro810[[#This Row],[Ödeme]]-bordro810[[#This Row],[M. Tutar]]</f>
        <v>-300</v>
      </c>
      <c r="J24" s="350" t="n">
        <f aca="false">SUMIF(bordro810[Personel],bordro810[[#This Row],[Personel]],F$3:F24)-SUMIF(bordro810[Personel],bordro810[[#This Row],[Personel]],G$3:G24)</f>
        <v>5100</v>
      </c>
      <c r="K24" s="351" t="str">
        <f aca="false">TEXT(bordro810[[#This Row],[Tarih]],"yyyy")</f>
        <v>2025</v>
      </c>
      <c r="L24" s="1" t="str">
        <f aca="false">TEXT(bordro810[[#This Row],[Tarih]],"yyyy/aa")</f>
        <v>2025.aa</v>
      </c>
      <c r="M24" s="1" t="str">
        <f aca="false">TEXT(bordro810[[#This Row],[Tarih]],"gggg")</f>
        <v>ADMS</v>
      </c>
      <c r="N24" s="1" t="str">
        <f aca="false">VLOOKUP(B24,PersonelListesi!A$1:G$41,4,FALSE())</f>
        <v>_D.ELEMAN</v>
      </c>
      <c r="O24" s="325"/>
      <c r="P24" s="321"/>
    </row>
    <row r="25" customFormat="false" ht="15" hidden="false" customHeight="false" outlineLevel="0" collapsed="false">
      <c r="A25" s="14" t="n">
        <v>45704</v>
      </c>
      <c r="B25" s="347" t="s">
        <v>109</v>
      </c>
      <c r="C25" s="328" t="s">
        <v>363</v>
      </c>
      <c r="D25" s="348" t="n">
        <v>10</v>
      </c>
      <c r="E25" s="348" t="n">
        <v>250</v>
      </c>
      <c r="F25" s="322" t="n">
        <f aca="false">bordro810[[#This Row],[Saat]]*bordro810[[#This Row],[S.Ücret]]</f>
        <v>2500</v>
      </c>
      <c r="G25" s="349" t="n">
        <v>2500</v>
      </c>
      <c r="H25" s="349" t="s">
        <v>369</v>
      </c>
      <c r="I25" s="329" t="n">
        <f aca="false">bordro810[[#This Row],[Ödeme]]-bordro810[[#This Row],[M. Tutar]]</f>
        <v>0</v>
      </c>
      <c r="J25" s="350" t="n">
        <f aca="false">SUMIF(bordro810[Personel],bordro810[[#This Row],[Personel]],F$3:F25)-SUMIF(bordro810[Personel],bordro810[[#This Row],[Personel]],G$3:G25)</f>
        <v>0</v>
      </c>
      <c r="K25" s="351" t="str">
        <f aca="false">TEXT(bordro810[[#This Row],[Tarih]],"yyyy")</f>
        <v>2025</v>
      </c>
      <c r="L25" s="1" t="str">
        <f aca="false">TEXT(bordro810[[#This Row],[Tarih]],"yyyy/aa")</f>
        <v>2025.aa</v>
      </c>
      <c r="M25" s="1" t="str">
        <f aca="false">TEXT(bordro810[[#This Row],[Tarih]],"gggg")</f>
        <v>ADMS</v>
      </c>
      <c r="N25" s="1" t="str">
        <f aca="false">VLOOKUP(B25,PersonelListesi!A$1:G$41,4,FALSE())</f>
        <v>_OPERATÖR</v>
      </c>
      <c r="O25" s="325"/>
      <c r="P25" s="321"/>
    </row>
    <row r="26" customFormat="false" ht="13.5" hidden="false" customHeight="true" outlineLevel="0" collapsed="false">
      <c r="A26" s="14" t="n">
        <v>45704</v>
      </c>
      <c r="B26" s="347" t="s">
        <v>95</v>
      </c>
      <c r="C26" s="328" t="s">
        <v>363</v>
      </c>
      <c r="D26" s="348" t="n">
        <v>10</v>
      </c>
      <c r="E26" s="348" t="n">
        <v>230</v>
      </c>
      <c r="F26" s="322" t="n">
        <f aca="false">bordro810[[#This Row],[Saat]]*bordro810[[#This Row],[S.Ücret]]</f>
        <v>2300</v>
      </c>
      <c r="G26" s="349" t="n">
        <v>2300</v>
      </c>
      <c r="H26" s="349" t="s">
        <v>369</v>
      </c>
      <c r="I26" s="329" t="n">
        <f aca="false">bordro810[[#This Row],[Ödeme]]-bordro810[[#This Row],[M. Tutar]]</f>
        <v>0</v>
      </c>
      <c r="J26" s="350" t="n">
        <f aca="false">SUMIF(bordro810[Personel],bordro810[[#This Row],[Personel]],F$3:F26)-SUMIF(bordro810[Personel],bordro810[[#This Row],[Personel]],G$3:G26)</f>
        <v>5060</v>
      </c>
      <c r="K26" s="351" t="str">
        <f aca="false">TEXT(bordro810[[#This Row],[Tarih]],"yyyy")</f>
        <v>2025</v>
      </c>
      <c r="L26" s="1" t="str">
        <f aca="false">TEXT(bordro810[[#This Row],[Tarih]],"yyyy/aa")</f>
        <v>2025.aa</v>
      </c>
      <c r="M26" s="1" t="str">
        <f aca="false">TEXT(bordro810[[#This Row],[Tarih]],"gggg")</f>
        <v>ADMS</v>
      </c>
      <c r="N26" s="1" t="str">
        <f aca="false">VLOOKUP(B26,PersonelListesi!A$1:G$41,4,FALSE())</f>
        <v>_ŞOFÖR</v>
      </c>
      <c r="O26" s="325"/>
      <c r="P26" s="321"/>
    </row>
    <row r="27" customFormat="false" ht="15" hidden="false" customHeight="false" outlineLevel="0" collapsed="false">
      <c r="A27" s="14" t="n">
        <v>45704</v>
      </c>
      <c r="B27" s="347" t="s">
        <v>116</v>
      </c>
      <c r="C27" s="328" t="s">
        <v>363</v>
      </c>
      <c r="D27" s="348" t="n">
        <v>10</v>
      </c>
      <c r="E27" s="348" t="n">
        <v>230</v>
      </c>
      <c r="F27" s="322" t="n">
        <f aca="false">bordro810[[#This Row],[Saat]]*bordro810[[#This Row],[S.Ücret]]</f>
        <v>2300</v>
      </c>
      <c r="G27" s="352" t="n">
        <v>2300</v>
      </c>
      <c r="H27" s="349" t="s">
        <v>369</v>
      </c>
      <c r="I27" s="329" t="n">
        <f aca="false">bordro810[[#This Row],[Ödeme]]-bordro810[[#This Row],[M. Tutar]]</f>
        <v>0</v>
      </c>
      <c r="J27" s="350" t="n">
        <f aca="false">SUMIF(bordro810[Personel],bordro810[[#This Row],[Personel]],F$3:F27)-SUMIF(bordro810[Personel],bordro810[[#This Row],[Personel]],G$3:G27)</f>
        <v>7820</v>
      </c>
      <c r="K27" s="351" t="str">
        <f aca="false">TEXT(bordro810[[#This Row],[Tarih]],"yyyy")</f>
        <v>2025</v>
      </c>
      <c r="L27" s="1" t="str">
        <f aca="false">TEXT(bordro810[[#This Row],[Tarih]],"yyyy/aa")</f>
        <v>2025.aa</v>
      </c>
      <c r="M27" s="1" t="str">
        <f aca="false">TEXT(bordro810[[#This Row],[Tarih]],"gggg")</f>
        <v>ADMS</v>
      </c>
      <c r="N27" s="1" t="str">
        <f aca="false">VLOOKUP(B27,PersonelListesi!A$1:G$41,4,FALSE())</f>
        <v>_ŞOFÖR</v>
      </c>
      <c r="O27" s="325"/>
      <c r="P27" s="321"/>
    </row>
    <row r="28" customFormat="false" ht="15" hidden="false" customHeight="false" outlineLevel="0" collapsed="false">
      <c r="A28" s="14" t="n">
        <v>45704</v>
      </c>
      <c r="B28" s="347" t="s">
        <v>85</v>
      </c>
      <c r="C28" s="328" t="s">
        <v>363</v>
      </c>
      <c r="D28" s="348" t="n">
        <v>10</v>
      </c>
      <c r="E28" s="348" t="n">
        <v>230</v>
      </c>
      <c r="F28" s="322" t="n">
        <f aca="false">bordro810[[#This Row],[Saat]]*bordro810[[#This Row],[S.Ücret]]</f>
        <v>2300</v>
      </c>
      <c r="G28" s="352" t="n">
        <v>0</v>
      </c>
      <c r="H28" s="349" t="s">
        <v>369</v>
      </c>
      <c r="I28" s="329" t="n">
        <f aca="false">bordro810[[#This Row],[Ödeme]]-bordro810[[#This Row],[M. Tutar]]</f>
        <v>-2300</v>
      </c>
      <c r="J28" s="350" t="n">
        <f aca="false">SUMIF(bordro810[Personel],bordro810[[#This Row],[Personel]],F$3:F28)-SUMIF(bordro810[Personel],bordro810[[#This Row],[Personel]],G$3:G28)</f>
        <v>19740</v>
      </c>
      <c r="K28" s="351" t="str">
        <f aca="false">TEXT(bordro810[[#This Row],[Tarih]],"yyyy")</f>
        <v>2025</v>
      </c>
      <c r="L28" s="1" t="str">
        <f aca="false">TEXT(bordro810[[#This Row],[Tarih]],"yyyy/aa")</f>
        <v>2025.aa</v>
      </c>
      <c r="M28" s="1" t="str">
        <f aca="false">TEXT(bordro810[[#This Row],[Tarih]],"gggg")</f>
        <v>ADMS</v>
      </c>
      <c r="N28" s="1" t="str">
        <f aca="false">VLOOKUP(B28,PersonelListesi!A$1:G$41,4,FALSE())</f>
        <v>_D.ELEMAN</v>
      </c>
      <c r="O28" s="325"/>
      <c r="P28" s="321"/>
    </row>
    <row r="29" customFormat="false" ht="15" hidden="false" customHeight="false" outlineLevel="0" collapsed="false">
      <c r="A29" s="14" t="n">
        <v>45704</v>
      </c>
      <c r="B29" s="347" t="s">
        <v>91</v>
      </c>
      <c r="C29" s="328" t="s">
        <v>363</v>
      </c>
      <c r="D29" s="348" t="n">
        <v>10</v>
      </c>
      <c r="E29" s="348" t="n">
        <v>150</v>
      </c>
      <c r="F29" s="322" t="n">
        <f aca="false">bordro810[[#This Row],[Saat]]*bordro810[[#This Row],[S.Ücret]]</f>
        <v>1500</v>
      </c>
      <c r="G29" s="349" t="n">
        <v>1500</v>
      </c>
      <c r="H29" s="349" t="s">
        <v>369</v>
      </c>
      <c r="I29" s="329" t="n">
        <f aca="false">bordro810[[#This Row],[Ödeme]]-bordro810[[#This Row],[M. Tutar]]</f>
        <v>0</v>
      </c>
      <c r="J29" s="350" t="n">
        <f aca="false">SUMIF(bordro810[Personel],bordro810[[#This Row],[Personel]],F$3:F29)-SUMIF(bordro810[Personel],bordro810[[#This Row],[Personel]],G$3:G29)</f>
        <v>9300</v>
      </c>
      <c r="K29" s="351" t="str">
        <f aca="false">TEXT(bordro810[[#This Row],[Tarih]],"yyyy")</f>
        <v>2025</v>
      </c>
      <c r="L29" s="1" t="str">
        <f aca="false">TEXT(bordro810[[#This Row],[Tarih]],"yyyy/aa")</f>
        <v>2025.aa</v>
      </c>
      <c r="M29" s="1" t="str">
        <f aca="false">TEXT(bordro810[[#This Row],[Tarih]],"gggg")</f>
        <v>ADMS</v>
      </c>
      <c r="N29" s="1" t="str">
        <f aca="false">VLOOKUP(B29,PersonelListesi!A$1:G$41,4,FALSE())</f>
        <v>_D.ELEMAN</v>
      </c>
      <c r="O29" s="325"/>
      <c r="P29" s="321"/>
    </row>
    <row r="30" customFormat="false" ht="15" hidden="false" customHeight="false" outlineLevel="0" collapsed="false">
      <c r="A30" s="14" t="n">
        <v>45704</v>
      </c>
      <c r="B30" s="347" t="s">
        <v>93</v>
      </c>
      <c r="C30" s="328" t="s">
        <v>363</v>
      </c>
      <c r="D30" s="348" t="n">
        <v>10</v>
      </c>
      <c r="E30" s="348" t="n">
        <v>230</v>
      </c>
      <c r="F30" s="322" t="n">
        <f aca="false">bordro810[[#This Row],[Saat]]*bordro810[[#This Row],[S.Ücret]]</f>
        <v>2300</v>
      </c>
      <c r="G30" s="352" t="n">
        <v>0</v>
      </c>
      <c r="H30" s="349" t="s">
        <v>369</v>
      </c>
      <c r="I30" s="329" t="n">
        <f aca="false">bordro810[[#This Row],[Ödeme]]-bordro810[[#This Row],[M. Tutar]]</f>
        <v>-2300</v>
      </c>
      <c r="J30" s="350" t="n">
        <f aca="false">SUMIF(bordro810[Personel],bordro810[[#This Row],[Personel]],F$3:F30)-SUMIF(bordro810[Personel],bordro810[[#This Row],[Personel]],G$3:G30)</f>
        <v>8550</v>
      </c>
      <c r="K30" s="351" t="str">
        <f aca="false">TEXT(bordro810[[#This Row],[Tarih]],"yyyy")</f>
        <v>2025</v>
      </c>
      <c r="L30" s="1" t="str">
        <f aca="false">TEXT(bordro810[[#This Row],[Tarih]],"yyyy/aa")</f>
        <v>2025.aa</v>
      </c>
      <c r="M30" s="1" t="str">
        <f aca="false">TEXT(bordro810[[#This Row],[Tarih]],"gggg")</f>
        <v>ADMS</v>
      </c>
      <c r="N30" s="1" t="str">
        <f aca="false">VLOOKUP(B30,PersonelListesi!A$1:G$41,4,FALSE())</f>
        <v>_OPERATÖR</v>
      </c>
      <c r="O30" s="325"/>
      <c r="P30" s="321"/>
    </row>
    <row r="31" customFormat="false" ht="15" hidden="false" customHeight="false" outlineLevel="0" collapsed="false">
      <c r="A31" s="14" t="n">
        <v>45704</v>
      </c>
      <c r="B31" s="347" t="s">
        <v>100</v>
      </c>
      <c r="C31" s="328" t="s">
        <v>363</v>
      </c>
      <c r="D31" s="348" t="n">
        <v>10</v>
      </c>
      <c r="E31" s="348" t="n">
        <v>230</v>
      </c>
      <c r="F31" s="322" t="n">
        <f aca="false">bordro810[[#This Row],[Saat]]*bordro810[[#This Row],[S.Ücret]]</f>
        <v>2300</v>
      </c>
      <c r="G31" s="352" t="n">
        <v>2300</v>
      </c>
      <c r="H31" s="349" t="s">
        <v>369</v>
      </c>
      <c r="I31" s="329" t="n">
        <f aca="false">bordro810[[#This Row],[Ödeme]]-bordro810[[#This Row],[M. Tutar]]</f>
        <v>0</v>
      </c>
      <c r="J31" s="350" t="n">
        <f aca="false">SUMIF(bordro810[Personel],bordro810[[#This Row],[Personel]],F$3:F31)-SUMIF(bordro810[Personel],bordro810[[#This Row],[Personel]],G$3:G31)</f>
        <v>17240</v>
      </c>
      <c r="K31" s="351" t="str">
        <f aca="false">TEXT(bordro810[[#This Row],[Tarih]],"yyyy")</f>
        <v>2025</v>
      </c>
      <c r="L31" s="1" t="str">
        <f aca="false">TEXT(bordro810[[#This Row],[Tarih]],"yyyy/aa")</f>
        <v>2025.aa</v>
      </c>
      <c r="M31" s="1" t="str">
        <f aca="false">TEXT(bordro810[[#This Row],[Tarih]],"gggg")</f>
        <v>ADMS</v>
      </c>
      <c r="N31" s="1" t="str">
        <f aca="false">VLOOKUP(B31,PersonelListesi!A$1:G$41,4,FALSE())</f>
        <v>_KANTAR</v>
      </c>
      <c r="O31" s="353"/>
      <c r="P31" s="321"/>
    </row>
    <row r="32" customFormat="false" ht="12.75" hidden="false" customHeight="true" outlineLevel="0" collapsed="false">
      <c r="A32" s="14" t="n">
        <v>45767</v>
      </c>
      <c r="B32" s="347" t="s">
        <v>122</v>
      </c>
      <c r="C32" s="328" t="s">
        <v>363</v>
      </c>
      <c r="D32" s="348" t="n">
        <v>10</v>
      </c>
      <c r="E32" s="348" t="n">
        <v>250</v>
      </c>
      <c r="F32" s="322" t="n">
        <f aca="false">bordro810[[#This Row],[Saat]]*bordro810[[#This Row],[S.Ücret]]</f>
        <v>2500</v>
      </c>
      <c r="G32" s="352" t="n">
        <v>0</v>
      </c>
      <c r="H32" s="349" t="s">
        <v>369</v>
      </c>
      <c r="I32" s="329" t="n">
        <f aca="false">bordro810[[#This Row],[Ödeme]]-bordro810[[#This Row],[M. Tutar]]</f>
        <v>-2500</v>
      </c>
      <c r="J32" s="350" t="n">
        <f aca="false">SUMIF(bordro810[Personel],bordro810[[#This Row],[Personel]],F$3:F32)-SUMIF(bordro810[Personel],bordro810[[#This Row],[Personel]],G$3:G32)</f>
        <v>9250</v>
      </c>
      <c r="K32" s="351" t="str">
        <f aca="false">TEXT(bordro810[[#This Row],[Tarih]],"yyyy")</f>
        <v>2025</v>
      </c>
      <c r="L32" s="1" t="str">
        <f aca="false">TEXT(bordro810[[#This Row],[Tarih]],"yyyy/aa")</f>
        <v>2025.aa</v>
      </c>
      <c r="M32" s="1" t="str">
        <f aca="false">TEXT(bordro810[[#This Row],[Tarih]],"gggg")</f>
        <v>ADMS</v>
      </c>
      <c r="N32" s="1" t="str">
        <f aca="false">VLOOKUP(B32,PersonelListesi!A$1:G$41,4,FALSE())</f>
        <v>_OPERATÖR</v>
      </c>
      <c r="O32" s="353"/>
      <c r="P32" s="321"/>
    </row>
    <row r="33" customFormat="false" ht="15" hidden="false" customHeight="false" outlineLevel="0" collapsed="false">
      <c r="A33" s="14" t="n">
        <v>45767</v>
      </c>
      <c r="B33" s="347" t="s">
        <v>107</v>
      </c>
      <c r="C33" s="328" t="s">
        <v>363</v>
      </c>
      <c r="D33" s="348" t="n">
        <v>10</v>
      </c>
      <c r="E33" s="348" t="n">
        <v>250</v>
      </c>
      <c r="F33" s="322" t="n">
        <f aca="false">bordro810[[#This Row],[Saat]]*bordro810[[#This Row],[S.Ücret]]</f>
        <v>2500</v>
      </c>
      <c r="G33" s="352" t="n">
        <v>0</v>
      </c>
      <c r="H33" s="349" t="s">
        <v>369</v>
      </c>
      <c r="I33" s="329" t="n">
        <f aca="false">bordro810[[#This Row],[Ödeme]]-bordro810[[#This Row],[M. Tutar]]</f>
        <v>-2500</v>
      </c>
      <c r="J33" s="350" t="n">
        <f aca="false">SUMIF(bordro810[Personel],bordro810[[#This Row],[Personel]],F$3:F33)-SUMIF(bordro810[Personel],bordro810[[#This Row],[Personel]],G$3:G33)</f>
        <v>13000</v>
      </c>
      <c r="K33" s="351" t="str">
        <f aca="false">TEXT(bordro810[[#This Row],[Tarih]],"yyyy")</f>
        <v>2025</v>
      </c>
      <c r="L33" s="1" t="str">
        <f aca="false">TEXT(bordro810[[#This Row],[Tarih]],"yyyy/aa")</f>
        <v>2025.aa</v>
      </c>
      <c r="M33" s="1" t="str">
        <f aca="false">TEXT(bordro810[[#This Row],[Tarih]],"gggg")</f>
        <v>ADMS</v>
      </c>
      <c r="N33" s="1" t="str">
        <f aca="false">VLOOKUP(B33,PersonelListesi!A$1:G$41,4,FALSE())</f>
        <v>_OPERATÖR</v>
      </c>
      <c r="O33" s="353"/>
      <c r="P33" s="321"/>
    </row>
    <row r="34" customFormat="false" ht="15" hidden="false" customHeight="false" outlineLevel="0" collapsed="false">
      <c r="A34" s="14" t="n">
        <v>45767</v>
      </c>
      <c r="B34" s="347" t="s">
        <v>100</v>
      </c>
      <c r="C34" s="328" t="s">
        <v>363</v>
      </c>
      <c r="D34" s="348" t="n">
        <v>10</v>
      </c>
      <c r="E34" s="348" t="n">
        <v>230</v>
      </c>
      <c r="F34" s="322" t="n">
        <f aca="false">bordro810[[#This Row],[Saat]]*bordro810[[#This Row],[S.Ücret]]</f>
        <v>2300</v>
      </c>
      <c r="G34" s="352" t="n">
        <v>0</v>
      </c>
      <c r="H34" s="349" t="s">
        <v>369</v>
      </c>
      <c r="I34" s="329" t="n">
        <f aca="false">bordro810[[#This Row],[Ödeme]]-bordro810[[#This Row],[M. Tutar]]</f>
        <v>-2300</v>
      </c>
      <c r="J34" s="350" t="n">
        <f aca="false">SUMIF(bordro810[Personel],bordro810[[#This Row],[Personel]],F$3:F34)-SUMIF(bordro810[Personel],bordro810[[#This Row],[Personel]],G$3:G34)</f>
        <v>17240</v>
      </c>
      <c r="K34" s="351" t="str">
        <f aca="false">TEXT(bordro810[[#This Row],[Tarih]],"yyyy")</f>
        <v>2025</v>
      </c>
      <c r="L34" s="1" t="str">
        <f aca="false">TEXT(bordro810[[#This Row],[Tarih]],"yyyy/aa")</f>
        <v>2025.aa</v>
      </c>
      <c r="M34" s="1" t="str">
        <f aca="false">TEXT(bordro810[[#This Row],[Tarih]],"gggg")</f>
        <v>ADMS</v>
      </c>
      <c r="N34" s="1" t="str">
        <f aca="false">VLOOKUP(B34,PersonelListesi!A$1:G$41,4,FALSE())</f>
        <v>_KANTAR</v>
      </c>
      <c r="O34" s="353"/>
      <c r="P34" s="321"/>
    </row>
    <row r="35" customFormat="false" ht="15" hidden="false" customHeight="false" outlineLevel="0" collapsed="false">
      <c r="A35" s="14" t="n">
        <v>45767</v>
      </c>
      <c r="B35" s="347" t="s">
        <v>102</v>
      </c>
      <c r="C35" s="328" t="s">
        <v>363</v>
      </c>
      <c r="D35" s="348" t="n">
        <v>10</v>
      </c>
      <c r="E35" s="348" t="n">
        <v>230</v>
      </c>
      <c r="F35" s="322" t="n">
        <f aca="false">bordro810[[#This Row],[Saat]]*bordro810[[#This Row],[S.Ücret]]</f>
        <v>2300</v>
      </c>
      <c r="G35" s="352" t="n">
        <v>0</v>
      </c>
      <c r="H35" s="349" t="s">
        <v>369</v>
      </c>
      <c r="I35" s="329" t="n">
        <f aca="false">bordro810[[#This Row],[Ödeme]]-bordro810[[#This Row],[M. Tutar]]</f>
        <v>-2300</v>
      </c>
      <c r="J35" s="350" t="n">
        <f aca="false">SUMIF(bordro810[Personel],bordro810[[#This Row],[Personel]],F$3:F35)-SUMIF(bordro810[Personel],bordro810[[#This Row],[Personel]],G$3:G35)</f>
        <v>15030</v>
      </c>
      <c r="K35" s="351" t="str">
        <f aca="false">TEXT(bordro810[[#This Row],[Tarih]],"yyyy")</f>
        <v>2025</v>
      </c>
      <c r="L35" s="1" t="str">
        <f aca="false">TEXT(bordro810[[#This Row],[Tarih]],"yyyy/aa")</f>
        <v>2025.aa</v>
      </c>
      <c r="M35" s="1" t="str">
        <f aca="false">TEXT(bordro810[[#This Row],[Tarih]],"gggg")</f>
        <v>ADMS</v>
      </c>
      <c r="N35" s="1" t="str">
        <f aca="false">VLOOKUP(B35,PersonelListesi!A$1:G$41,4,FALSE())</f>
        <v>_ŞOFÖR</v>
      </c>
      <c r="O35" s="353"/>
      <c r="P35" s="321"/>
    </row>
    <row r="36" customFormat="false" ht="15" hidden="false" customHeight="false" outlineLevel="0" collapsed="false">
      <c r="A36" s="14" t="n">
        <v>45767</v>
      </c>
      <c r="B36" s="347" t="s">
        <v>87</v>
      </c>
      <c r="C36" s="328" t="s">
        <v>363</v>
      </c>
      <c r="D36" s="348" t="n">
        <v>10</v>
      </c>
      <c r="E36" s="348" t="n">
        <v>250</v>
      </c>
      <c r="F36" s="322" t="n">
        <f aca="false">bordro810[[#This Row],[Saat]]*bordro810[[#This Row],[S.Ücret]]</f>
        <v>2500</v>
      </c>
      <c r="G36" s="354" t="n">
        <v>2500</v>
      </c>
      <c r="H36" s="349" t="s">
        <v>369</v>
      </c>
      <c r="I36" s="329" t="n">
        <f aca="false">bordro810[[#This Row],[Ödeme]]-bordro810[[#This Row],[M. Tutar]]</f>
        <v>0</v>
      </c>
      <c r="J36" s="350" t="n">
        <f aca="false">SUMIF(bordro810[Personel],bordro810[[#This Row],[Personel]],F$3:F36)-SUMIF(bordro810[Personel],bordro810[[#This Row],[Personel]],G$3:G36)</f>
        <v>4750</v>
      </c>
      <c r="K36" s="351" t="str">
        <f aca="false">TEXT(bordro810[[#This Row],[Tarih]],"yyyy")</f>
        <v>2025</v>
      </c>
      <c r="L36" s="1" t="str">
        <f aca="false">TEXT(bordro810[[#This Row],[Tarih]],"yyyy/aa")</f>
        <v>2025.aa</v>
      </c>
      <c r="M36" s="1" t="str">
        <f aca="false">TEXT(bordro810[[#This Row],[Tarih]],"gggg")</f>
        <v>ADMS</v>
      </c>
      <c r="N36" s="1" t="str">
        <f aca="false">VLOOKUP(B36,PersonelListesi!A$1:G$41,4,FALSE())</f>
        <v>_D.ELEMAN</v>
      </c>
      <c r="O36" s="353"/>
      <c r="P36" s="321"/>
    </row>
    <row r="37" customFormat="false" ht="15" hidden="false" customHeight="false" outlineLevel="0" collapsed="false">
      <c r="A37" s="14" t="n">
        <v>45767</v>
      </c>
      <c r="B37" s="347" t="s">
        <v>89</v>
      </c>
      <c r="C37" s="328" t="s">
        <v>363</v>
      </c>
      <c r="D37" s="348" t="n">
        <v>10</v>
      </c>
      <c r="E37" s="348" t="n">
        <v>150</v>
      </c>
      <c r="F37" s="322" t="n">
        <f aca="false">bordro810[[#This Row],[Saat]]*bordro810[[#This Row],[S.Ücret]]</f>
        <v>1500</v>
      </c>
      <c r="G37" s="352" t="n">
        <v>0</v>
      </c>
      <c r="H37" s="349" t="s">
        <v>369</v>
      </c>
      <c r="I37" s="329" t="n">
        <f aca="false">bordro810[[#This Row],[Ödeme]]-bordro810[[#This Row],[M. Tutar]]</f>
        <v>-1500</v>
      </c>
      <c r="J37" s="350" t="n">
        <f aca="false">SUMIF(bordro810[Personel],bordro810[[#This Row],[Personel]],F$3:F37)-SUMIF(bordro810[Personel],bordro810[[#This Row],[Personel]],G$3:G37)</f>
        <v>5100</v>
      </c>
      <c r="K37" s="351" t="str">
        <f aca="false">TEXT(bordro810[[#This Row],[Tarih]],"yyyy")</f>
        <v>2025</v>
      </c>
      <c r="L37" s="1" t="str">
        <f aca="false">TEXT(bordro810[[#This Row],[Tarih]],"yyyy/aa")</f>
        <v>2025.aa</v>
      </c>
      <c r="M37" s="1" t="str">
        <f aca="false">TEXT(bordro810[[#This Row],[Tarih]],"gggg")</f>
        <v>ADMS</v>
      </c>
      <c r="N37" s="1" t="str">
        <f aca="false">VLOOKUP(B37,PersonelListesi!A$1:G$41,4,FALSE())</f>
        <v>_D.ELEMAN</v>
      </c>
      <c r="O37" s="353"/>
      <c r="P37" s="321"/>
    </row>
    <row r="38" customFormat="false" ht="14.25" hidden="false" customHeight="true" outlineLevel="0" collapsed="false">
      <c r="A38" s="14" t="n">
        <v>45770</v>
      </c>
      <c r="B38" s="347" t="s">
        <v>122</v>
      </c>
      <c r="C38" s="328" t="s">
        <v>363</v>
      </c>
      <c r="D38" s="348" t="n">
        <v>10</v>
      </c>
      <c r="E38" s="348" t="n">
        <v>250</v>
      </c>
      <c r="F38" s="322" t="n">
        <f aca="false">bordro810[[#This Row],[Saat]]*bordro810[[#This Row],[S.Ücret]]</f>
        <v>2500</v>
      </c>
      <c r="G38" s="352" t="n">
        <v>0</v>
      </c>
      <c r="H38" s="349" t="s">
        <v>375</v>
      </c>
      <c r="I38" s="329" t="n">
        <f aca="false">bordro810[[#This Row],[Ödeme]]-bordro810[[#This Row],[M. Tutar]]</f>
        <v>-2500</v>
      </c>
      <c r="J38" s="350" t="n">
        <f aca="false">SUMIF(bordro810[Personel],bordro810[[#This Row],[Personel]],F$3:F38)-SUMIF(bordro810[Personel],bordro810[[#This Row],[Personel]],G$3:G38)</f>
        <v>9250</v>
      </c>
      <c r="K38" s="351" t="str">
        <f aca="false">TEXT(bordro810[[#This Row],[Tarih]],"yyyy")</f>
        <v>2025</v>
      </c>
      <c r="L38" s="1" t="str">
        <f aca="false">TEXT(bordro810[[#This Row],[Tarih]],"yyyy/aa")</f>
        <v>2025.aa</v>
      </c>
      <c r="M38" s="1" t="str">
        <f aca="false">TEXT(bordro810[[#This Row],[Tarih]],"gggg")</f>
        <v>ADMS</v>
      </c>
      <c r="N38" s="1" t="str">
        <f aca="false">VLOOKUP(B38,PersonelListesi!A$1:G$41,4,FALSE())</f>
        <v>_OPERATÖR</v>
      </c>
      <c r="O38" s="353"/>
      <c r="P38" s="321"/>
    </row>
    <row r="39" customFormat="false" ht="15" hidden="false" customHeight="false" outlineLevel="0" collapsed="false">
      <c r="A39" s="14" t="n">
        <v>45770</v>
      </c>
      <c r="B39" s="347" t="s">
        <v>95</v>
      </c>
      <c r="C39" s="328" t="s">
        <v>363</v>
      </c>
      <c r="D39" s="348" t="n">
        <v>10</v>
      </c>
      <c r="E39" s="348" t="n">
        <v>230</v>
      </c>
      <c r="F39" s="322" t="n">
        <f aca="false">bordro810[[#This Row],[Saat]]*bordro810[[#This Row],[S.Ücret]]</f>
        <v>2300</v>
      </c>
      <c r="G39" s="352" t="n">
        <v>2300</v>
      </c>
      <c r="H39" s="349" t="s">
        <v>375</v>
      </c>
      <c r="I39" s="329" t="n">
        <f aca="false">bordro810[[#This Row],[Ödeme]]-bordro810[[#This Row],[M. Tutar]]</f>
        <v>0</v>
      </c>
      <c r="J39" s="350" t="n">
        <f aca="false">SUMIF(bordro810[Personel],bordro810[[#This Row],[Personel]],F$3:F39)-SUMIF(bordro810[Personel],bordro810[[#This Row],[Personel]],G$3:G39)</f>
        <v>5060</v>
      </c>
      <c r="K39" s="351" t="str">
        <f aca="false">TEXT(bordro810[[#This Row],[Tarih]],"yyyy")</f>
        <v>2025</v>
      </c>
      <c r="L39" s="1" t="str">
        <f aca="false">TEXT(bordro810[[#This Row],[Tarih]],"yyyy/aa")</f>
        <v>2025.aa</v>
      </c>
      <c r="M39" s="1" t="str">
        <f aca="false">TEXT(bordro810[[#This Row],[Tarih]],"gggg")</f>
        <v>ADMS</v>
      </c>
      <c r="N39" s="1" t="str">
        <f aca="false">VLOOKUP(B39,PersonelListesi!A$1:G$41,4,FALSE())</f>
        <v>_ŞOFÖR</v>
      </c>
      <c r="O39" s="353"/>
      <c r="P39" s="321"/>
    </row>
    <row r="40" customFormat="false" ht="15" hidden="false" customHeight="false" outlineLevel="0" collapsed="false">
      <c r="A40" s="14" t="n">
        <v>45770</v>
      </c>
      <c r="B40" s="347" t="s">
        <v>116</v>
      </c>
      <c r="C40" s="328" t="s">
        <v>363</v>
      </c>
      <c r="D40" s="348" t="n">
        <v>10</v>
      </c>
      <c r="E40" s="348" t="n">
        <v>230</v>
      </c>
      <c r="F40" s="322" t="n">
        <f aca="false">bordro810[[#This Row],[Saat]]*bordro810[[#This Row],[S.Ücret]]</f>
        <v>2300</v>
      </c>
      <c r="G40" s="352" t="n">
        <v>2300</v>
      </c>
      <c r="H40" s="349" t="s">
        <v>375</v>
      </c>
      <c r="I40" s="329" t="n">
        <f aca="false">bordro810[[#This Row],[Ödeme]]-bordro810[[#This Row],[M. Tutar]]</f>
        <v>0</v>
      </c>
      <c r="J40" s="350" t="n">
        <f aca="false">SUMIF(bordro810[Personel],bordro810[[#This Row],[Personel]],F$3:F40)-SUMIF(bordro810[Personel],bordro810[[#This Row],[Personel]],G$3:G40)</f>
        <v>7820</v>
      </c>
      <c r="K40" s="351" t="str">
        <f aca="false">TEXT(bordro810[[#This Row],[Tarih]],"yyyy")</f>
        <v>2025</v>
      </c>
      <c r="L40" s="1" t="str">
        <f aca="false">TEXT(bordro810[[#This Row],[Tarih]],"yyyy/aa")</f>
        <v>2025.aa</v>
      </c>
      <c r="M40" s="1" t="str">
        <f aca="false">TEXT(bordro810[[#This Row],[Tarih]],"gggg")</f>
        <v>ADMS</v>
      </c>
      <c r="N40" s="1" t="str">
        <f aca="false">VLOOKUP(B40,PersonelListesi!A$1:G$41,4,FALSE())</f>
        <v>_ŞOFÖR</v>
      </c>
      <c r="O40" s="353"/>
      <c r="P40" s="321"/>
    </row>
    <row r="41" customFormat="false" ht="15" hidden="false" customHeight="false" outlineLevel="0" collapsed="false">
      <c r="A41" s="14" t="n">
        <v>45731</v>
      </c>
      <c r="B41" s="347" t="s">
        <v>85</v>
      </c>
      <c r="C41" s="355" t="s">
        <v>363</v>
      </c>
      <c r="D41" s="348" t="n">
        <v>25</v>
      </c>
      <c r="E41" s="348" t="n">
        <v>200</v>
      </c>
      <c r="F41" s="356" t="n">
        <f aca="false">bordro810[[#This Row],[Saat]]*bordro810[[#This Row],[S.Ücret]]</f>
        <v>5000</v>
      </c>
      <c r="G41" s="352" t="n">
        <v>0</v>
      </c>
      <c r="H41" s="349" t="s">
        <v>374</v>
      </c>
      <c r="I41" s="357"/>
      <c r="J41" s="350"/>
      <c r="K41" s="13"/>
      <c r="O41" s="353"/>
      <c r="P41" s="321"/>
    </row>
    <row r="42" customFormat="false" ht="15" hidden="false" customHeight="false" outlineLevel="0" collapsed="false">
      <c r="A42" s="14" t="n">
        <v>45731</v>
      </c>
      <c r="B42" s="347" t="s">
        <v>85</v>
      </c>
      <c r="C42" s="355" t="s">
        <v>363</v>
      </c>
      <c r="D42" s="348" t="n">
        <v>18</v>
      </c>
      <c r="E42" s="348" t="n">
        <v>200</v>
      </c>
      <c r="F42" s="356" t="n">
        <f aca="false">bordro810[[#This Row],[Saat]]*bordro810[[#This Row],[S.Ücret]]</f>
        <v>3600</v>
      </c>
      <c r="G42" s="352" t="n">
        <v>0</v>
      </c>
      <c r="H42" s="349" t="s">
        <v>373</v>
      </c>
      <c r="I42" s="357"/>
      <c r="J42" s="350"/>
      <c r="K42" s="13"/>
      <c r="O42" s="353"/>
      <c r="P42" s="321"/>
    </row>
    <row r="43" customFormat="false" ht="15" hidden="false" customHeight="false" outlineLevel="0" collapsed="false">
      <c r="A43" s="14" t="n">
        <v>45770</v>
      </c>
      <c r="B43" s="347" t="s">
        <v>85</v>
      </c>
      <c r="C43" s="328" t="s">
        <v>363</v>
      </c>
      <c r="D43" s="348" t="n">
        <v>10</v>
      </c>
      <c r="E43" s="348" t="n">
        <v>230</v>
      </c>
      <c r="F43" s="322" t="n">
        <f aca="false">bordro810[[#This Row],[Saat]]*bordro810[[#This Row],[S.Ücret]]</f>
        <v>2300</v>
      </c>
      <c r="G43" s="352" t="n">
        <v>0</v>
      </c>
      <c r="H43" s="349" t="s">
        <v>375</v>
      </c>
      <c r="I43" s="329" t="n">
        <f aca="false">bordro810[[#This Row],[Ödeme]]-bordro810[[#This Row],[M. Tutar]]</f>
        <v>-2300</v>
      </c>
      <c r="J43" s="350" t="n">
        <f aca="false">SUMIF(bordro810[Personel],bordro810[[#This Row],[Personel]],F$3:F43)-SUMIF(bordro810[Personel],bordro810[[#This Row],[Personel]],G$3:G43)</f>
        <v>19740</v>
      </c>
      <c r="K43" s="351" t="str">
        <f aca="false">TEXT(bordro810[[#This Row],[Tarih]],"yyyy")</f>
        <v>2025</v>
      </c>
      <c r="L43" s="1" t="str">
        <f aca="false">TEXT(bordro810[[#This Row],[Tarih]],"yyyy/aa")</f>
        <v>2025.aa</v>
      </c>
      <c r="M43" s="1" t="str">
        <f aca="false">TEXT(bordro810[[#This Row],[Tarih]],"gggg")</f>
        <v>ADMS</v>
      </c>
      <c r="N43" s="1" t="str">
        <f aca="false">VLOOKUP(B43,PersonelListesi!A$1:G$41,4,FALSE())</f>
        <v>_D.ELEMAN</v>
      </c>
      <c r="O43" s="353"/>
      <c r="P43" s="321"/>
    </row>
    <row r="44" customFormat="false" ht="15" hidden="false" customHeight="false" outlineLevel="0" collapsed="false">
      <c r="A44" s="14" t="n">
        <v>45770</v>
      </c>
      <c r="B44" s="347" t="s">
        <v>91</v>
      </c>
      <c r="C44" s="328" t="s">
        <v>363</v>
      </c>
      <c r="D44" s="348" t="n">
        <v>10</v>
      </c>
      <c r="E44" s="348" t="n">
        <v>150</v>
      </c>
      <c r="F44" s="322" t="n">
        <f aca="false">bordro810[[#This Row],[Saat]]*bordro810[[#This Row],[S.Ücret]]</f>
        <v>1500</v>
      </c>
      <c r="G44" s="352" t="n">
        <v>0</v>
      </c>
      <c r="H44" s="349" t="s">
        <v>375</v>
      </c>
      <c r="I44" s="329" t="n">
        <f aca="false">bordro810[[#This Row],[Ödeme]]-bordro810[[#This Row],[M. Tutar]]</f>
        <v>-1500</v>
      </c>
      <c r="J44" s="350" t="n">
        <f aca="false">SUMIF(bordro810[Personel],bordro810[[#This Row],[Personel]],F$3:F44)-SUMIF(bordro810[Personel],bordro810[[#This Row],[Personel]],G$3:G44)</f>
        <v>9300</v>
      </c>
      <c r="K44" s="351" t="str">
        <f aca="false">TEXT(bordro810[[#This Row],[Tarih]],"yyyy")</f>
        <v>2025</v>
      </c>
      <c r="L44" s="1" t="str">
        <f aca="false">TEXT(bordro810[[#This Row],[Tarih]],"yyyy/aa")</f>
        <v>2025.aa</v>
      </c>
      <c r="M44" s="1" t="str">
        <f aca="false">TEXT(bordro810[[#This Row],[Tarih]],"gggg")</f>
        <v>ADMS</v>
      </c>
      <c r="N44" s="1" t="str">
        <f aca="false">VLOOKUP(B44,PersonelListesi!A$1:G$41,4,FALSE())</f>
        <v>_D.ELEMAN</v>
      </c>
      <c r="O44" s="353"/>
      <c r="P44" s="321"/>
    </row>
    <row r="45" customFormat="false" ht="15" hidden="false" customHeight="false" outlineLevel="0" collapsed="false">
      <c r="A45" s="14" t="n">
        <v>45774</v>
      </c>
      <c r="B45" s="347" t="s">
        <v>107</v>
      </c>
      <c r="C45" s="328" t="s">
        <v>363</v>
      </c>
      <c r="D45" s="348" t="n">
        <v>10</v>
      </c>
      <c r="E45" s="348" t="n">
        <v>250</v>
      </c>
      <c r="F45" s="322" t="n">
        <f aca="false">bordro810[[#This Row],[Saat]]*bordro810[[#This Row],[S.Ücret]]</f>
        <v>2500</v>
      </c>
      <c r="G45" s="352" t="n">
        <v>0</v>
      </c>
      <c r="H45" s="349" t="s">
        <v>369</v>
      </c>
      <c r="I45" s="329" t="n">
        <f aca="false">bordro810[[#This Row],[Ödeme]]-bordro810[[#This Row],[M. Tutar]]</f>
        <v>-2500</v>
      </c>
      <c r="J45" s="350" t="n">
        <f aca="false">SUMIF(bordro810[Personel],bordro810[[#This Row],[Personel]],F$3:F45)-SUMIF(bordro810[Personel],bordro810[[#This Row],[Personel]],G$3:G45)</f>
        <v>13000</v>
      </c>
      <c r="K45" s="351" t="str">
        <f aca="false">TEXT(bordro810[[#This Row],[Tarih]],"yyyy")</f>
        <v>2025</v>
      </c>
      <c r="L45" s="1" t="str">
        <f aca="false">TEXT(bordro810[[#This Row],[Tarih]],"yyyy/aa")</f>
        <v>2025.aa</v>
      </c>
      <c r="M45" s="1" t="str">
        <f aca="false">TEXT(bordro810[[#This Row],[Tarih]],"gggg")</f>
        <v>ADMS</v>
      </c>
      <c r="N45" s="1" t="str">
        <f aca="false">VLOOKUP(B45,PersonelListesi!A$1:G$41,4,FALSE())</f>
        <v>_OPERATÖR</v>
      </c>
      <c r="O45" s="353"/>
      <c r="P45" s="321"/>
    </row>
    <row r="46" customFormat="false" ht="13.5" hidden="false" customHeight="true" outlineLevel="0" collapsed="false">
      <c r="A46" s="14" t="n">
        <v>45774</v>
      </c>
      <c r="B46" s="347" t="s">
        <v>100</v>
      </c>
      <c r="C46" s="328" t="s">
        <v>363</v>
      </c>
      <c r="D46" s="348" t="n">
        <v>10</v>
      </c>
      <c r="E46" s="348" t="n">
        <v>230</v>
      </c>
      <c r="F46" s="322" t="n">
        <f aca="false">bordro810[[#This Row],[Saat]]*bordro810[[#This Row],[S.Ücret]]</f>
        <v>2300</v>
      </c>
      <c r="G46" s="352" t="n">
        <v>0</v>
      </c>
      <c r="H46" s="349" t="s">
        <v>369</v>
      </c>
      <c r="I46" s="329" t="n">
        <f aca="false">bordro810[[#This Row],[Ödeme]]-bordro810[[#This Row],[M. Tutar]]</f>
        <v>-2300</v>
      </c>
      <c r="J46" s="350" t="n">
        <f aca="false">SUMIF(bordro810[Personel],bordro810[[#This Row],[Personel]],F$3:F46)-SUMIF(bordro810[Personel],bordro810[[#This Row],[Personel]],G$3:G46)</f>
        <v>17240</v>
      </c>
      <c r="K46" s="351" t="str">
        <f aca="false">TEXT(bordro810[[#This Row],[Tarih]],"yyyy")</f>
        <v>2025</v>
      </c>
      <c r="L46" s="1" t="str">
        <f aca="false">TEXT(bordro810[[#This Row],[Tarih]],"yyyy/aa")</f>
        <v>2025.aa</v>
      </c>
      <c r="M46" s="1" t="str">
        <f aca="false">TEXT(bordro810[[#This Row],[Tarih]],"gggg")</f>
        <v>ADMS</v>
      </c>
      <c r="N46" s="1" t="str">
        <f aca="false">VLOOKUP(B46,PersonelListesi!A$1:G$41,4,FALSE())</f>
        <v>_KANTAR</v>
      </c>
      <c r="O46" s="353"/>
      <c r="P46" s="321"/>
    </row>
    <row r="47" customFormat="false" ht="15" hidden="false" customHeight="false" outlineLevel="0" collapsed="false">
      <c r="A47" s="14" t="n">
        <v>45781</v>
      </c>
      <c r="B47" s="347" t="s">
        <v>119</v>
      </c>
      <c r="C47" s="328" t="s">
        <v>363</v>
      </c>
      <c r="D47" s="348" t="n">
        <v>20</v>
      </c>
      <c r="E47" s="348" t="n">
        <v>250</v>
      </c>
      <c r="F47" s="322" t="n">
        <f aca="false">bordro810[[#This Row],[Saat]]*bordro810[[#This Row],[S.Ücret]]</f>
        <v>5000</v>
      </c>
      <c r="G47" s="352" t="n">
        <v>0</v>
      </c>
      <c r="H47" s="349" t="s">
        <v>369</v>
      </c>
      <c r="I47" s="329" t="n">
        <f aca="false">bordro810[[#This Row],[Ödeme]]-bordro810[[#This Row],[M. Tutar]]</f>
        <v>-5000</v>
      </c>
      <c r="J47" s="350" t="n">
        <f aca="false">SUMIF(bordro810[Personel],bordro810[[#This Row],[Personel]],F$3:F47)-SUMIF(bordro810[Personel],bordro810[[#This Row],[Personel]],G$3:G47)</f>
        <v>5000</v>
      </c>
      <c r="K47" s="351" t="str">
        <f aca="false">TEXT(bordro810[[#This Row],[Tarih]],"yyyy")</f>
        <v>2025</v>
      </c>
      <c r="L47" s="1" t="str">
        <f aca="false">TEXT(bordro810[[#This Row],[Tarih]],"yyyy/aa")</f>
        <v>2025.aa</v>
      </c>
      <c r="M47" s="1" t="str">
        <f aca="false">TEXT(bordro810[[#This Row],[Tarih]],"gggg")</f>
        <v>ADMS</v>
      </c>
      <c r="N47" s="1" t="str">
        <f aca="false">VLOOKUP(B47,PersonelListesi!A$1:G$41,4,FALSE())</f>
        <v>_OPERATÖR</v>
      </c>
      <c r="O47" s="353"/>
      <c r="P47" s="321"/>
    </row>
    <row r="48" customFormat="false" ht="15" hidden="false" customHeight="false" outlineLevel="0" collapsed="false">
      <c r="A48" s="14" t="n">
        <v>45781</v>
      </c>
      <c r="B48" s="347" t="s">
        <v>48</v>
      </c>
      <c r="C48" s="328" t="s">
        <v>363</v>
      </c>
      <c r="D48" s="348" t="n">
        <v>10</v>
      </c>
      <c r="E48" s="348" t="n">
        <v>230</v>
      </c>
      <c r="F48" s="322" t="n">
        <f aca="false">bordro810[[#This Row],[Saat]]*bordro810[[#This Row],[S.Ücret]]</f>
        <v>2300</v>
      </c>
      <c r="G48" s="352" t="n">
        <v>0</v>
      </c>
      <c r="H48" s="349" t="s">
        <v>369</v>
      </c>
      <c r="I48" s="329" t="n">
        <f aca="false">bordro810[[#This Row],[Ödeme]]-bordro810[[#This Row],[M. Tutar]]</f>
        <v>-2300</v>
      </c>
      <c r="J48" s="350" t="n">
        <f aca="false">SUMIF(bordro810[Personel],bordro810[[#This Row],[Personel]],F$3:F48)-SUMIF(bordro810[Personel],bordro810[[#This Row],[Personel]],G$3:G48)</f>
        <v>2300</v>
      </c>
      <c r="K48" s="351" t="str">
        <f aca="false">TEXT(bordro810[[#This Row],[Tarih]],"yyyy")</f>
        <v>2025</v>
      </c>
      <c r="L48" s="1" t="str">
        <f aca="false">TEXT(bordro810[[#This Row],[Tarih]],"yyyy/aa")</f>
        <v>2025.aa</v>
      </c>
      <c r="M48" s="1" t="str">
        <f aca="false">TEXT(bordro810[[#This Row],[Tarih]],"gggg")</f>
        <v>ADMS</v>
      </c>
      <c r="N48" s="1" t="str">
        <f aca="false">VLOOKUP(B48,PersonelListesi!A$1:G$41,4,FALSE())</f>
        <v>_ŞOFÖR</v>
      </c>
      <c r="O48" s="353"/>
      <c r="P48" s="321"/>
    </row>
    <row r="49" customFormat="false" ht="15" hidden="false" customHeight="false" outlineLevel="0" collapsed="false">
      <c r="A49" s="14" t="n">
        <v>45781</v>
      </c>
      <c r="B49" s="347" t="s">
        <v>116</v>
      </c>
      <c r="C49" s="328" t="s">
        <v>363</v>
      </c>
      <c r="D49" s="348" t="n">
        <v>10</v>
      </c>
      <c r="E49" s="348" t="n">
        <v>230</v>
      </c>
      <c r="F49" s="322" t="n">
        <f aca="false">bordro810[[#This Row],[Saat]]*bordro810[[#This Row],[S.Ücret]]</f>
        <v>2300</v>
      </c>
      <c r="G49" s="352" t="n">
        <v>0</v>
      </c>
      <c r="H49" s="349" t="s">
        <v>369</v>
      </c>
      <c r="I49" s="329" t="n">
        <f aca="false">bordro810[[#This Row],[Ödeme]]-bordro810[[#This Row],[M. Tutar]]</f>
        <v>-2300</v>
      </c>
      <c r="J49" s="350" t="n">
        <f aca="false">SUMIF(bordro810[Personel],bordro810[[#This Row],[Personel]],F$3:F49)-SUMIF(bordro810[Personel],bordro810[[#This Row],[Personel]],G$3:G49)</f>
        <v>7820</v>
      </c>
      <c r="K49" s="351" t="str">
        <f aca="false">TEXT(bordro810[[#This Row],[Tarih]],"yyyy")</f>
        <v>2025</v>
      </c>
      <c r="L49" s="1" t="str">
        <f aca="false">TEXT(bordro810[[#This Row],[Tarih]],"yyyy/aa")</f>
        <v>2025.aa</v>
      </c>
      <c r="M49" s="1" t="str">
        <f aca="false">TEXT(bordro810[[#This Row],[Tarih]],"gggg")</f>
        <v>ADMS</v>
      </c>
      <c r="N49" s="1" t="str">
        <f aca="false">VLOOKUP(B49,PersonelListesi!A$1:G$41,4,FALSE())</f>
        <v>_ŞOFÖR</v>
      </c>
      <c r="O49" s="353"/>
      <c r="P49" s="321"/>
    </row>
    <row r="50" customFormat="false" ht="15" hidden="false" customHeight="false" outlineLevel="0" collapsed="false">
      <c r="A50" s="14" t="n">
        <v>45781</v>
      </c>
      <c r="B50" s="347" t="s">
        <v>102</v>
      </c>
      <c r="C50" s="328" t="s">
        <v>363</v>
      </c>
      <c r="D50" s="348" t="n">
        <v>10</v>
      </c>
      <c r="E50" s="348" t="n">
        <v>230</v>
      </c>
      <c r="F50" s="322" t="n">
        <f aca="false">bordro810[[#This Row],[Saat]]*bordro810[[#This Row],[S.Ücret]]</f>
        <v>2300</v>
      </c>
      <c r="G50" s="352" t="n">
        <v>0</v>
      </c>
      <c r="H50" s="349" t="s">
        <v>369</v>
      </c>
      <c r="I50" s="329" t="n">
        <f aca="false">bordro810[[#This Row],[Ödeme]]-bordro810[[#This Row],[M. Tutar]]</f>
        <v>-2300</v>
      </c>
      <c r="J50" s="350" t="n">
        <f aca="false">SUMIF(bordro810[Personel],bordro810[[#This Row],[Personel]],F$3:F50)-SUMIF(bordro810[Personel],bordro810[[#This Row],[Personel]],G$3:G50)</f>
        <v>15030</v>
      </c>
      <c r="K50" s="351" t="str">
        <f aca="false">TEXT(bordro810[[#This Row],[Tarih]],"yyyy")</f>
        <v>2025</v>
      </c>
      <c r="L50" s="1" t="str">
        <f aca="false">TEXT(bordro810[[#This Row],[Tarih]],"yyyy/aa")</f>
        <v>2025.aa</v>
      </c>
      <c r="M50" s="1" t="str">
        <f aca="false">TEXT(bordro810[[#This Row],[Tarih]],"gggg")</f>
        <v>ADMS</v>
      </c>
      <c r="N50" s="1" t="str">
        <f aca="false">VLOOKUP(B50,PersonelListesi!A$1:G$41,4,FALSE())</f>
        <v>_ŞOFÖR</v>
      </c>
      <c r="O50" s="353"/>
      <c r="P50" s="321"/>
    </row>
    <row r="51" customFormat="false" ht="15" hidden="false" customHeight="false" outlineLevel="0" collapsed="false">
      <c r="A51" s="14" t="n">
        <v>45781</v>
      </c>
      <c r="B51" s="347" t="s">
        <v>103</v>
      </c>
      <c r="C51" s="328" t="s">
        <v>363</v>
      </c>
      <c r="D51" s="348" t="n">
        <v>10</v>
      </c>
      <c r="E51" s="348" t="n">
        <v>250</v>
      </c>
      <c r="F51" s="322" t="n">
        <f aca="false">bordro810[[#This Row],[Saat]]*bordro810[[#This Row],[S.Ücret]]</f>
        <v>2500</v>
      </c>
      <c r="G51" s="352" t="n">
        <v>0</v>
      </c>
      <c r="H51" s="349" t="s">
        <v>369</v>
      </c>
      <c r="I51" s="329" t="n">
        <f aca="false">bordro810[[#This Row],[Ödeme]]-bordro810[[#This Row],[M. Tutar]]</f>
        <v>-2500</v>
      </c>
      <c r="J51" s="350" t="n">
        <f aca="false">SUMIF(bordro810[Personel],bordro810[[#This Row],[Personel]],F$3:F51)-SUMIF(bordro810[Personel],bordro810[[#This Row],[Personel]],G$3:G51)</f>
        <v>5000</v>
      </c>
      <c r="K51" s="351" t="str">
        <f aca="false">TEXT(bordro810[[#This Row],[Tarih]],"yyyy")</f>
        <v>2025</v>
      </c>
      <c r="L51" s="1" t="str">
        <f aca="false">TEXT(bordro810[[#This Row],[Tarih]],"yyyy/aa")</f>
        <v>2025.aa</v>
      </c>
      <c r="M51" s="1" t="str">
        <f aca="false">TEXT(bordro810[[#This Row],[Tarih]],"gggg")</f>
        <v>ADMS</v>
      </c>
      <c r="N51" s="1" t="str">
        <f aca="false">VLOOKUP(B51,PersonelListesi!A$1:G$41,4,FALSE())</f>
        <v>_OPERATÖR</v>
      </c>
      <c r="O51" s="353"/>
      <c r="P51" s="321"/>
    </row>
    <row r="52" customFormat="false" ht="15" hidden="false" customHeight="false" outlineLevel="0" collapsed="false">
      <c r="A52" s="14" t="n">
        <v>45781</v>
      </c>
      <c r="B52" s="347" t="s">
        <v>87</v>
      </c>
      <c r="C52" s="328" t="s">
        <v>363</v>
      </c>
      <c r="D52" s="348" t="n">
        <v>10</v>
      </c>
      <c r="E52" s="348" t="n">
        <v>250</v>
      </c>
      <c r="F52" s="322" t="n">
        <f aca="false">bordro810[[#This Row],[Saat]]*bordro810[[#This Row],[S.Ücret]]</f>
        <v>2500</v>
      </c>
      <c r="G52" s="352" t="n">
        <v>2500</v>
      </c>
      <c r="H52" s="349" t="s">
        <v>369</v>
      </c>
      <c r="I52" s="329" t="n">
        <f aca="false">bordro810[[#This Row],[Ödeme]]-bordro810[[#This Row],[M. Tutar]]</f>
        <v>0</v>
      </c>
      <c r="J52" s="350" t="n">
        <f aca="false">SUMIF(bordro810[Personel],bordro810[[#This Row],[Personel]],F$3:F52)-SUMIF(bordro810[Personel],bordro810[[#This Row],[Personel]],G$3:G52)</f>
        <v>4750</v>
      </c>
      <c r="K52" s="351" t="str">
        <f aca="false">TEXT(bordro810[[#This Row],[Tarih]],"yyyy")</f>
        <v>2025</v>
      </c>
      <c r="L52" s="1" t="str">
        <f aca="false">TEXT(bordro810[[#This Row],[Tarih]],"yyyy/aa")</f>
        <v>2025.aa</v>
      </c>
      <c r="M52" s="1" t="str">
        <f aca="false">TEXT(bordro810[[#This Row],[Tarih]],"gggg")</f>
        <v>ADMS</v>
      </c>
      <c r="N52" s="1" t="str">
        <f aca="false">VLOOKUP(B52,PersonelListesi!A$1:G$41,4,FALSE())</f>
        <v>_D.ELEMAN</v>
      </c>
      <c r="O52" s="353"/>
      <c r="P52" s="321"/>
    </row>
    <row r="53" customFormat="false" ht="15" hidden="false" customHeight="false" outlineLevel="0" collapsed="false">
      <c r="A53" s="14" t="n">
        <v>45781</v>
      </c>
      <c r="B53" s="347" t="s">
        <v>89</v>
      </c>
      <c r="C53" s="328" t="s">
        <v>363</v>
      </c>
      <c r="D53" s="348" t="n">
        <v>10</v>
      </c>
      <c r="E53" s="348" t="n">
        <v>150</v>
      </c>
      <c r="F53" s="322" t="n">
        <f aca="false">bordro810[[#This Row],[Saat]]*bordro810[[#This Row],[S.Ücret]]</f>
        <v>1500</v>
      </c>
      <c r="G53" s="352" t="n">
        <v>0</v>
      </c>
      <c r="H53" s="349" t="s">
        <v>369</v>
      </c>
      <c r="I53" s="329" t="n">
        <f aca="false">bordro810[[#This Row],[Ödeme]]-bordro810[[#This Row],[M. Tutar]]</f>
        <v>-1500</v>
      </c>
      <c r="J53" s="350" t="n">
        <f aca="false">SUMIF(bordro810[Personel],bordro810[[#This Row],[Personel]],F$3:F53)-SUMIF(bordro810[Personel],bordro810[[#This Row],[Personel]],G$3:G53)</f>
        <v>5100</v>
      </c>
      <c r="K53" s="351" t="str">
        <f aca="false">TEXT(bordro810[[#This Row],[Tarih]],"yyyy")</f>
        <v>2025</v>
      </c>
      <c r="L53" s="1" t="str">
        <f aca="false">TEXT(bordro810[[#This Row],[Tarih]],"yyyy/aa")</f>
        <v>2025.aa</v>
      </c>
      <c r="M53" s="1" t="str">
        <f aca="false">TEXT(bordro810[[#This Row],[Tarih]],"gggg")</f>
        <v>ADMS</v>
      </c>
      <c r="N53" s="1" t="str">
        <f aca="false">VLOOKUP(B53,PersonelListesi!A$1:G$41,4,FALSE())</f>
        <v>_D.ELEMAN</v>
      </c>
      <c r="O53" s="353"/>
      <c r="P53" s="321"/>
    </row>
    <row r="54" customFormat="false" ht="15" hidden="false" customHeight="false" outlineLevel="0" collapsed="false">
      <c r="A54" s="14" t="n">
        <v>45796</v>
      </c>
      <c r="B54" s="328" t="s">
        <v>100</v>
      </c>
      <c r="C54" s="328" t="s">
        <v>363</v>
      </c>
      <c r="D54" s="348" t="n">
        <v>10</v>
      </c>
      <c r="E54" s="348" t="n">
        <v>230</v>
      </c>
      <c r="F54" s="322" t="n">
        <f aca="false">bordro810[[#This Row],[Saat]]*bordro810[[#This Row],[S.Ücret]]</f>
        <v>2300</v>
      </c>
      <c r="G54" s="352" t="n">
        <v>0</v>
      </c>
      <c r="H54" s="358" t="s">
        <v>389</v>
      </c>
      <c r="I54" s="329" t="n">
        <f aca="false">bordro810[[#This Row],[Ödeme]]-bordro810[[#This Row],[M. Tutar]]</f>
        <v>-2300</v>
      </c>
      <c r="J54" s="350" t="n">
        <f aca="false">SUMIF(bordro810[Personel],bordro810[[#This Row],[Personel]],F$3:F54)-SUMIF(bordro810[Personel],bordro810[[#This Row],[Personel]],G$3:G54)</f>
        <v>17240</v>
      </c>
      <c r="K54" s="351" t="str">
        <f aca="false">TEXT(bordro810[[#This Row],[Tarih]],"yyyy")</f>
        <v>2025</v>
      </c>
      <c r="L54" s="1" t="str">
        <f aca="false">TEXT(bordro810[[#This Row],[Tarih]],"yyyy/aa")</f>
        <v>2025.aa</v>
      </c>
      <c r="M54" s="1" t="str">
        <f aca="false">TEXT(bordro810[[#This Row],[Tarih]],"gggg")</f>
        <v>ADMS</v>
      </c>
      <c r="N54" s="1" t="str">
        <f aca="false">VLOOKUP(B54,PersonelListesi!A$1:G$41,4,FALSE())</f>
        <v>_KANTAR</v>
      </c>
      <c r="O54" s="325"/>
    </row>
    <row r="55" customFormat="false" ht="15" hidden="false" customHeight="false" outlineLevel="0" collapsed="false">
      <c r="A55" s="14" t="n">
        <v>45796</v>
      </c>
      <c r="B55" s="359" t="s">
        <v>107</v>
      </c>
      <c r="C55" s="359" t="s">
        <v>363</v>
      </c>
      <c r="D55" s="348" t="n">
        <v>10</v>
      </c>
      <c r="E55" s="312" t="n">
        <v>250</v>
      </c>
      <c r="F55" s="322" t="n">
        <f aca="false">bordro810[[#This Row],[Saat]]*bordro810[[#This Row],[S.Ücret]]</f>
        <v>2500</v>
      </c>
      <c r="G55" s="352" t="n">
        <v>0</v>
      </c>
      <c r="H55" s="358" t="s">
        <v>389</v>
      </c>
      <c r="I55" s="329" t="n">
        <f aca="false">bordro810[[#This Row],[Ödeme]]-bordro810[[#This Row],[M. Tutar]]</f>
        <v>-2500</v>
      </c>
      <c r="J55" s="350" t="n">
        <f aca="false">SUMIF(bordro810[Personel],bordro810[[#This Row],[Personel]],F$3:F55)-SUMIF(bordro810[Personel],bordro810[[#This Row],[Personel]],G$3:G55)</f>
        <v>13000</v>
      </c>
      <c r="K55" s="351" t="str">
        <f aca="false">TEXT(bordro810[[#This Row],[Tarih]],"yyyy")</f>
        <v>2025</v>
      </c>
      <c r="L55" s="1" t="str">
        <f aca="false">TEXT(bordro810[[#This Row],[Tarih]],"yyyy/aa")</f>
        <v>2025.aa</v>
      </c>
      <c r="M55" s="1" t="str">
        <f aca="false">TEXT(bordro810[[#This Row],[Tarih]],"gggg")</f>
        <v>ADMS</v>
      </c>
      <c r="N55" s="1" t="str">
        <f aca="false">VLOOKUP(B55,PersonelListesi!A$1:G$41,4,FALSE())</f>
        <v>_OPERATÖR</v>
      </c>
      <c r="O55" s="325"/>
    </row>
    <row r="56" customFormat="false" ht="15" hidden="false" customHeight="false" outlineLevel="0" collapsed="false">
      <c r="A56" s="14" t="n">
        <v>45813</v>
      </c>
      <c r="B56" s="359" t="s">
        <v>115</v>
      </c>
      <c r="C56" s="359" t="s">
        <v>363</v>
      </c>
      <c r="E56" s="312" t="n">
        <f aca="false">VLOOKUP(B56,PersonelListesi!A$1:G$47,5,FALSE())</f>
        <v>0</v>
      </c>
      <c r="F56" s="322" t="n">
        <f aca="false">bordro810[[#This Row],[Saat]]*bordro810[[#This Row],[S.Ücret]]</f>
        <v>0</v>
      </c>
      <c r="G56" s="352" t="n">
        <v>0</v>
      </c>
      <c r="H56" s="358" t="s">
        <v>390</v>
      </c>
      <c r="I56" s="329" t="n">
        <f aca="false">bordro810[[#This Row],[Ödeme]]-bordro810[[#This Row],[M. Tutar]]</f>
        <v>0</v>
      </c>
      <c r="J56" s="350" t="n">
        <f aca="false">SUMIF(bordro810[Personel],bordro810[[#This Row],[Personel]],F$3:F56)-SUMIF(bordro810[Personel],bordro810[[#This Row],[Personel]],G$3:G56)</f>
        <v>0</v>
      </c>
      <c r="K56" s="351" t="str">
        <f aca="false">TEXT(bordro810[[#This Row],[Tarih]],"yyyy")</f>
        <v>2025</v>
      </c>
      <c r="L56" s="1" t="str">
        <f aca="false">TEXT(bordro810[[#This Row],[Tarih]],"yyyy/aa")</f>
        <v>2025.aa</v>
      </c>
      <c r="M56" s="1" t="str">
        <f aca="false">TEXT(bordro810[[#This Row],[Tarih]],"gggg")</f>
        <v>ADMS</v>
      </c>
      <c r="N56" s="1" t="str">
        <f aca="false">VLOOKUP(B56,PersonelListesi!A$1:G$41,4,FALSE())</f>
        <v>_BEKÇİ</v>
      </c>
      <c r="O56" s="325"/>
    </row>
    <row r="57" customFormat="false" ht="15" hidden="false" customHeight="false" outlineLevel="0" collapsed="false">
      <c r="A57" s="14" t="n">
        <v>45814</v>
      </c>
      <c r="B57" s="359" t="s">
        <v>115</v>
      </c>
      <c r="C57" s="359" t="s">
        <v>363</v>
      </c>
      <c r="E57" s="312" t="n">
        <f aca="false">VLOOKUP(B57,PersonelListesi!A$1:G$47,5,FALSE())</f>
        <v>0</v>
      </c>
      <c r="F57" s="322" t="n">
        <f aca="false">bordro810[[#This Row],[Saat]]*bordro810[[#This Row],[S.Ücret]]</f>
        <v>0</v>
      </c>
      <c r="G57" s="352" t="n">
        <v>0</v>
      </c>
      <c r="H57" s="358" t="s">
        <v>391</v>
      </c>
      <c r="I57" s="329" t="n">
        <f aca="false">bordro810[[#This Row],[Ödeme]]-bordro810[[#This Row],[M. Tutar]]</f>
        <v>0</v>
      </c>
      <c r="J57" s="350" t="n">
        <f aca="false">SUMIF(bordro810[Personel],bordro810[[#This Row],[Personel]],F$3:F57)-SUMIF(bordro810[Personel],bordro810[[#This Row],[Personel]],G$3:G57)</f>
        <v>0</v>
      </c>
      <c r="K57" s="351" t="str">
        <f aca="false">TEXT(bordro810[[#This Row],[Tarih]],"yyyy")</f>
        <v>2025</v>
      </c>
      <c r="L57" s="1" t="str">
        <f aca="false">TEXT(bordro810[[#This Row],[Tarih]],"yyyy/aa")</f>
        <v>2025.aa</v>
      </c>
      <c r="M57" s="1" t="str">
        <f aca="false">TEXT(bordro810[[#This Row],[Tarih]],"gggg")</f>
        <v>ADMS</v>
      </c>
      <c r="N57" s="1" t="str">
        <f aca="false">VLOOKUP(B57,PersonelListesi!A$1:G$41,4,FALSE())</f>
        <v>_BEKÇİ</v>
      </c>
      <c r="O57" s="325"/>
    </row>
    <row r="58" customFormat="false" ht="15" hidden="false" customHeight="false" outlineLevel="0" collapsed="false">
      <c r="A58" s="14" t="n">
        <v>45815</v>
      </c>
      <c r="B58" s="359" t="s">
        <v>115</v>
      </c>
      <c r="C58" s="359" t="s">
        <v>363</v>
      </c>
      <c r="E58" s="312" t="n">
        <f aca="false">VLOOKUP(B58,PersonelListesi!A$1:G$47,5,FALSE())</f>
        <v>0</v>
      </c>
      <c r="F58" s="322" t="n">
        <f aca="false">bordro810[[#This Row],[Saat]]*bordro810[[#This Row],[S.Ücret]]</f>
        <v>0</v>
      </c>
      <c r="G58" s="352" t="n">
        <v>0</v>
      </c>
      <c r="H58" s="358" t="s">
        <v>392</v>
      </c>
      <c r="I58" s="329" t="n">
        <f aca="false">bordro810[[#This Row],[Ödeme]]-bordro810[[#This Row],[M. Tutar]]</f>
        <v>0</v>
      </c>
      <c r="J58" s="350" t="n">
        <f aca="false">SUMIF(bordro810[Personel],bordro810[[#This Row],[Personel]],F$3:F58)-SUMIF(bordro810[Personel],bordro810[[#This Row],[Personel]],G$3:G58)</f>
        <v>0</v>
      </c>
      <c r="K58" s="351" t="str">
        <f aca="false">TEXT(bordro810[[#This Row],[Tarih]],"yyyy")</f>
        <v>2025</v>
      </c>
      <c r="L58" s="1" t="str">
        <f aca="false">TEXT(bordro810[[#This Row],[Tarih]],"yyyy/aa")</f>
        <v>2025.aa</v>
      </c>
      <c r="M58" s="1" t="str">
        <f aca="false">TEXT(bordro810[[#This Row],[Tarih]],"gggg")</f>
        <v>ADMS</v>
      </c>
      <c r="N58" s="1" t="str">
        <f aca="false">VLOOKUP(B58,PersonelListesi!A$1:G$41,4,FALSE())</f>
        <v>_BEKÇİ</v>
      </c>
      <c r="O58" s="325"/>
    </row>
    <row r="59" customFormat="false" ht="15" hidden="false" customHeight="false" outlineLevel="0" collapsed="false">
      <c r="A59" s="14" t="n">
        <v>45816</v>
      </c>
      <c r="B59" s="359" t="s">
        <v>85</v>
      </c>
      <c r="C59" s="359" t="s">
        <v>363</v>
      </c>
      <c r="D59" s="312" t="n">
        <v>5</v>
      </c>
      <c r="E59" s="312" t="n">
        <f aca="false">VLOOKUP(B59,PersonelListesi!A$1:G$47,5,FALSE())</f>
        <v>200</v>
      </c>
      <c r="F59" s="322" t="n">
        <f aca="false">bordro810[[#This Row],[Saat]]*bordro810[[#This Row],[S.Ücret]]</f>
        <v>1000</v>
      </c>
      <c r="G59" s="352" t="n">
        <v>0</v>
      </c>
      <c r="H59" s="358" t="s">
        <v>376</v>
      </c>
      <c r="I59" s="329" t="n">
        <f aca="false">bordro810[[#This Row],[Ödeme]]-bordro810[[#This Row],[M. Tutar]]</f>
        <v>-1000</v>
      </c>
      <c r="J59" s="350" t="n">
        <f aca="false">SUMIF(bordro810[Personel],bordro810[[#This Row],[Personel]],F$3:F59)-SUMIF(bordro810[Personel],bordro810[[#This Row],[Personel]],G$3:G59)</f>
        <v>19740</v>
      </c>
      <c r="K59" s="351" t="str">
        <f aca="false">TEXT(bordro810[[#This Row],[Tarih]],"yyyy")</f>
        <v>2025</v>
      </c>
      <c r="L59" s="1" t="str">
        <f aca="false">TEXT(bordro810[[#This Row],[Tarih]],"yyyy/aa")</f>
        <v>2025.aa</v>
      </c>
      <c r="M59" s="1" t="str">
        <f aca="false">TEXT(bordro810[[#This Row],[Tarih]],"gggg")</f>
        <v>ADMS</v>
      </c>
      <c r="N59" s="1" t="str">
        <f aca="false">VLOOKUP(B59,PersonelListesi!A$1:G$41,4,FALSE())</f>
        <v>_D.ELEMAN</v>
      </c>
      <c r="O59" s="325"/>
    </row>
    <row r="60" customFormat="false" ht="15" hidden="false" customHeight="false" outlineLevel="0" collapsed="false">
      <c r="A60" s="14" t="n">
        <v>45816</v>
      </c>
      <c r="B60" s="359" t="s">
        <v>122</v>
      </c>
      <c r="C60" s="359" t="s">
        <v>363</v>
      </c>
      <c r="D60" s="312" t="n">
        <v>10</v>
      </c>
      <c r="E60" s="312" t="n">
        <v>100</v>
      </c>
      <c r="F60" s="322" t="n">
        <f aca="false">bordro810[[#This Row],[Saat]]*bordro810[[#This Row],[S.Ücret]]</f>
        <v>1000</v>
      </c>
      <c r="G60" s="352" t="n">
        <v>0</v>
      </c>
      <c r="H60" s="358" t="s">
        <v>393</v>
      </c>
      <c r="I60" s="329" t="n">
        <f aca="false">bordro810[[#This Row],[Ödeme]]-bordro810[[#This Row],[M. Tutar]]</f>
        <v>-1000</v>
      </c>
      <c r="J60" s="350" t="n">
        <f aca="false">SUMIF(bordro810[Personel],bordro810[[#This Row],[Personel]],F$3:F60)-SUMIF(bordro810[Personel],bordro810[[#This Row],[Personel]],G$3:G60)</f>
        <v>9250</v>
      </c>
      <c r="K60" s="351" t="str">
        <f aca="false">TEXT(bordro810[[#This Row],[Tarih]],"yyyy")</f>
        <v>2025</v>
      </c>
      <c r="L60" s="1" t="str">
        <f aca="false">TEXT(bordro810[[#This Row],[Tarih]],"yyyy/aa")</f>
        <v>2025.aa</v>
      </c>
      <c r="M60" s="1" t="str">
        <f aca="false">TEXT(bordro810[[#This Row],[Tarih]],"gggg")</f>
        <v>ADMS</v>
      </c>
      <c r="N60" s="1" t="str">
        <f aca="false">VLOOKUP(B60,PersonelListesi!A$1:G$41,4,FALSE())</f>
        <v>_OPERATÖR</v>
      </c>
      <c r="O60" s="325"/>
    </row>
    <row r="61" customFormat="false" ht="15" hidden="false" customHeight="false" outlineLevel="0" collapsed="false">
      <c r="A61" s="14" t="n">
        <v>45817</v>
      </c>
      <c r="B61" s="359" t="s">
        <v>85</v>
      </c>
      <c r="C61" s="359" t="s">
        <v>363</v>
      </c>
      <c r="D61" s="312" t="n">
        <v>5</v>
      </c>
      <c r="E61" s="312" t="n">
        <f aca="false">VLOOKUP(B61,PersonelListesi!A$1:G$47,5,FALSE())</f>
        <v>200</v>
      </c>
      <c r="F61" s="322" t="n">
        <f aca="false">bordro810[[#This Row],[Saat]]*bordro810[[#This Row],[S.Ücret]]</f>
        <v>1000</v>
      </c>
      <c r="G61" s="352" t="n">
        <v>0</v>
      </c>
      <c r="H61" s="358" t="s">
        <v>377</v>
      </c>
      <c r="I61" s="329" t="n">
        <f aca="false">bordro810[[#This Row],[Ödeme]]-bordro810[[#This Row],[M. Tutar]]</f>
        <v>-1000</v>
      </c>
      <c r="J61" s="350" t="n">
        <f aca="false">SUMIF(bordro810[Personel],bordro810[[#This Row],[Personel]],F$3:F61)-SUMIF(bordro810[Personel],bordro810[[#This Row],[Personel]],G$3:G61)</f>
        <v>19740</v>
      </c>
      <c r="K61" s="351" t="str">
        <f aca="false">TEXT(bordro810[[#This Row],[Tarih]],"yyyy")</f>
        <v>2025</v>
      </c>
      <c r="L61" s="1" t="str">
        <f aca="false">TEXT(bordro810[[#This Row],[Tarih]],"yyyy/aa")</f>
        <v>2025.aa</v>
      </c>
      <c r="M61" s="1" t="str">
        <f aca="false">TEXT(bordro810[[#This Row],[Tarih]],"gggg")</f>
        <v>ADMS</v>
      </c>
      <c r="N61" s="1" t="str">
        <f aca="false">VLOOKUP(B61,PersonelListesi!A$1:G$41,4,FALSE())</f>
        <v>_D.ELEMAN</v>
      </c>
      <c r="O61" s="325"/>
    </row>
    <row r="62" customFormat="false" ht="15" hidden="false" customHeight="false" outlineLevel="0" collapsed="false">
      <c r="A62" s="14" t="n">
        <v>45817</v>
      </c>
      <c r="B62" s="359" t="s">
        <v>102</v>
      </c>
      <c r="C62" s="359" t="s">
        <v>363</v>
      </c>
      <c r="D62" s="312" t="n">
        <v>5</v>
      </c>
      <c r="E62" s="312" t="n">
        <v>200</v>
      </c>
      <c r="F62" s="322" t="n">
        <f aca="false">bordro810[[#This Row],[Saat]]*bordro810[[#This Row],[S.Ücret]]</f>
        <v>1000</v>
      </c>
      <c r="G62" s="352" t="n">
        <v>0</v>
      </c>
      <c r="H62" s="358" t="s">
        <v>394</v>
      </c>
      <c r="I62" s="329" t="n">
        <f aca="false">bordro810[[#This Row],[Ödeme]]-bordro810[[#This Row],[M. Tutar]]</f>
        <v>-1000</v>
      </c>
      <c r="J62" s="350" t="n">
        <f aca="false">SUMIF(bordro810[Personel],bordro810[[#This Row],[Personel]],F$3:F62)-SUMIF(bordro810[Personel],bordro810[[#This Row],[Personel]],G$3:G62)</f>
        <v>15030</v>
      </c>
      <c r="K62" s="351" t="str">
        <f aca="false">TEXT(bordro810[[#This Row],[Tarih]],"yyyy")</f>
        <v>2025</v>
      </c>
      <c r="L62" s="1" t="str">
        <f aca="false">TEXT(bordro810[[#This Row],[Tarih]],"yyyy/aa")</f>
        <v>2025.aa</v>
      </c>
      <c r="M62" s="1" t="str">
        <f aca="false">TEXT(bordro810[[#This Row],[Tarih]],"gggg")</f>
        <v>ADMS</v>
      </c>
      <c r="N62" s="1" t="str">
        <f aca="false">VLOOKUP(B62,PersonelListesi!A$1:G$41,4,FALSE())</f>
        <v>_ŞOFÖR</v>
      </c>
      <c r="O62" s="325"/>
    </row>
    <row r="63" customFormat="false" ht="15" hidden="false" customHeight="false" outlineLevel="0" collapsed="false">
      <c r="A63" s="14" t="n">
        <v>45842</v>
      </c>
      <c r="B63" s="360" t="s">
        <v>100</v>
      </c>
      <c r="C63" s="360" t="s">
        <v>385</v>
      </c>
      <c r="D63" s="361"/>
      <c r="E63" s="361"/>
      <c r="F63" s="356" t="n">
        <f aca="false">bordro810[[#This Row],[Saat]]*bordro810[[#This Row],[S.Ücret]]</f>
        <v>0</v>
      </c>
      <c r="G63" s="352" t="n">
        <v>1000</v>
      </c>
      <c r="H63" s="362"/>
      <c r="I63" s="357"/>
      <c r="J63" s="350"/>
      <c r="K63" s="13"/>
      <c r="O63" s="325"/>
    </row>
    <row r="64" customFormat="false" ht="15" hidden="false" customHeight="false" outlineLevel="0" collapsed="false">
      <c r="A64" s="14" t="n">
        <v>45853</v>
      </c>
      <c r="B64" s="359" t="s">
        <v>100</v>
      </c>
      <c r="C64" s="359" t="s">
        <v>363</v>
      </c>
      <c r="D64" s="312" t="n">
        <v>10</v>
      </c>
      <c r="E64" s="312" t="n">
        <v>230</v>
      </c>
      <c r="F64" s="322" t="n">
        <f aca="false">bordro810[[#This Row],[Saat]]*bordro810[[#This Row],[S.Ücret]]</f>
        <v>2300</v>
      </c>
      <c r="G64" s="352" t="n">
        <v>0</v>
      </c>
      <c r="H64" s="1" t="s">
        <v>395</v>
      </c>
      <c r="I64" s="329" t="n">
        <f aca="false">bordro810[[#This Row],[Ödeme]]-bordro810[[#This Row],[M. Tutar]]</f>
        <v>-2300</v>
      </c>
      <c r="J64" s="350" t="n">
        <f aca="false">SUMIF(bordro810[Personel],bordro810[[#This Row],[Personel]],F$3:F64)-SUMIF(bordro810[Personel],bordro810[[#This Row],[Personel]],G$3:G64)</f>
        <v>17240</v>
      </c>
      <c r="K64" s="351" t="str">
        <f aca="false">TEXT(bordro810[[#This Row],[Tarih]],"yyyy")</f>
        <v>2025</v>
      </c>
      <c r="L64" s="1" t="str">
        <f aca="false">TEXT(bordro810[[#This Row],[Tarih]],"yyyy/aa")</f>
        <v>2025.aa</v>
      </c>
      <c r="M64" s="1" t="str">
        <f aca="false">TEXT(bordro810[[#This Row],[Tarih]],"gggg")</f>
        <v>ADMS</v>
      </c>
      <c r="N64" s="1" t="str">
        <f aca="false">VLOOKUP(B64,PersonelListesi!A$1:G$41,4,FALSE())</f>
        <v>_KANTAR</v>
      </c>
      <c r="O64" s="325"/>
    </row>
    <row r="65" customFormat="false" ht="15" hidden="false" customHeight="false" outlineLevel="0" collapsed="false">
      <c r="A65" s="14" t="n">
        <v>45853</v>
      </c>
      <c r="B65" s="359" t="s">
        <v>107</v>
      </c>
      <c r="C65" s="359" t="s">
        <v>363</v>
      </c>
      <c r="D65" s="312" t="n">
        <v>20</v>
      </c>
      <c r="E65" s="312" t="n">
        <v>250</v>
      </c>
      <c r="F65" s="322" t="n">
        <f aca="false">bordro810[[#This Row],[Saat]]*bordro810[[#This Row],[S.Ücret]]</f>
        <v>5000</v>
      </c>
      <c r="G65" s="352" t="n">
        <v>0</v>
      </c>
      <c r="H65" s="1" t="s">
        <v>395</v>
      </c>
      <c r="I65" s="329" t="n">
        <f aca="false">bordro810[[#This Row],[Ödeme]]-bordro810[[#This Row],[M. Tutar]]</f>
        <v>-5000</v>
      </c>
      <c r="J65" s="350" t="n">
        <f aca="false">SUMIF(bordro810[Personel],bordro810[[#This Row],[Personel]],F$3:F65)-SUMIF(bordro810[Personel],bordro810[[#This Row],[Personel]],G$3:G65)</f>
        <v>13000</v>
      </c>
      <c r="K65" s="351" t="str">
        <f aca="false">TEXT(bordro810[[#This Row],[Tarih]],"yyyy")</f>
        <v>2025</v>
      </c>
      <c r="L65" s="1" t="str">
        <f aca="false">TEXT(bordro810[[#This Row],[Tarih]],"yyyy/aa")</f>
        <v>2025.aa</v>
      </c>
      <c r="M65" s="1" t="str">
        <f aca="false">TEXT(bordro810[[#This Row],[Tarih]],"gggg")</f>
        <v>ADMS</v>
      </c>
      <c r="N65" s="1" t="str">
        <f aca="false">VLOOKUP(B65,PersonelListesi!A$1:G$41,4,FALSE())</f>
        <v>_OPERATÖR</v>
      </c>
      <c r="O65" s="325"/>
    </row>
    <row r="66" customFormat="false" ht="15" hidden="false" customHeight="false" outlineLevel="0" collapsed="false">
      <c r="A66" s="14" t="n">
        <v>45858</v>
      </c>
      <c r="B66" s="359" t="s">
        <v>100</v>
      </c>
      <c r="C66" s="359" t="s">
        <v>363</v>
      </c>
      <c r="D66" s="312" t="n">
        <v>10</v>
      </c>
      <c r="E66" s="312" t="n">
        <v>230</v>
      </c>
      <c r="F66" s="322" t="n">
        <f aca="false">bordro810[[#This Row],[Saat]]*bordro810[[#This Row],[S.Ücret]]</f>
        <v>2300</v>
      </c>
      <c r="G66" s="352" t="n">
        <v>0</v>
      </c>
      <c r="H66" s="1" t="s">
        <v>369</v>
      </c>
      <c r="I66" s="329" t="n">
        <f aca="false">bordro810[[#This Row],[Ödeme]]-bordro810[[#This Row],[M. Tutar]]</f>
        <v>-2300</v>
      </c>
      <c r="J66" s="350" t="n">
        <f aca="false">SUMIF(bordro810[Personel],bordro810[[#This Row],[Personel]],F$3:F66)-SUMIF(bordro810[Personel],bordro810[[#This Row],[Personel]],G$3:G66)</f>
        <v>17240</v>
      </c>
      <c r="K66" s="351" t="str">
        <f aca="false">TEXT(bordro810[[#This Row],[Tarih]],"yyyy")</f>
        <v>2025</v>
      </c>
      <c r="L66" s="1" t="str">
        <f aca="false">TEXT(bordro810[[#This Row],[Tarih]],"yyyy/aa")</f>
        <v>2025.aa</v>
      </c>
      <c r="M66" s="1" t="str">
        <f aca="false">TEXT(bordro810[[#This Row],[Tarih]],"gggg")</f>
        <v>ADMS</v>
      </c>
      <c r="N66" s="1" t="str">
        <f aca="false">VLOOKUP(B66,PersonelListesi!A$1:G$41,4,FALSE())</f>
        <v>_KANTAR</v>
      </c>
      <c r="O66" s="325"/>
    </row>
    <row r="67" customFormat="false" ht="15" hidden="false" customHeight="false" outlineLevel="0" collapsed="false">
      <c r="A67" s="14" t="n">
        <v>45863</v>
      </c>
      <c r="B67" s="360" t="s">
        <v>100</v>
      </c>
      <c r="C67" s="360" t="s">
        <v>385</v>
      </c>
      <c r="D67" s="361"/>
      <c r="E67" s="361"/>
      <c r="F67" s="356" t="n">
        <f aca="false">bordro810[[#This Row],[Saat]]*bordro810[[#This Row],[S.Ücret]]</f>
        <v>0</v>
      </c>
      <c r="G67" s="352" t="n">
        <v>2000</v>
      </c>
      <c r="H67" s="352"/>
      <c r="I67" s="357"/>
      <c r="J67" s="350"/>
      <c r="K67" s="13"/>
      <c r="O67" s="325"/>
    </row>
    <row r="68" customFormat="false" ht="15" hidden="false" customHeight="false" outlineLevel="0" collapsed="false">
      <c r="A68" s="14" t="n">
        <v>45865</v>
      </c>
      <c r="B68" s="359" t="s">
        <v>100</v>
      </c>
      <c r="C68" s="359" t="s">
        <v>363</v>
      </c>
      <c r="D68" s="312" t="n">
        <v>10</v>
      </c>
      <c r="E68" s="312" t="n">
        <v>230</v>
      </c>
      <c r="F68" s="322" t="n">
        <f aca="false">bordro810[[#This Row],[Saat]]*bordro810[[#This Row],[S.Ücret]]</f>
        <v>2300</v>
      </c>
      <c r="G68" s="352" t="n">
        <v>0</v>
      </c>
      <c r="H68" s="1" t="s">
        <v>369</v>
      </c>
      <c r="I68" s="329" t="n">
        <f aca="false">bordro810[[#This Row],[Ödeme]]-bordro810[[#This Row],[M. Tutar]]</f>
        <v>-2300</v>
      </c>
      <c r="J68" s="350" t="n">
        <f aca="false">SUMIF(bordro810[Personel],bordro810[[#This Row],[Personel]],F$3:F68)-SUMIF(bordro810[Personel],bordro810[[#This Row],[Personel]],G$3:G68)</f>
        <v>17240</v>
      </c>
      <c r="K68" s="351" t="str">
        <f aca="false">TEXT(bordro810[[#This Row],[Tarih]],"yyyy")</f>
        <v>2025</v>
      </c>
      <c r="L68" s="1" t="str">
        <f aca="false">TEXT(bordro810[[#This Row],[Tarih]],"yyyy/aa")</f>
        <v>2025.aa</v>
      </c>
      <c r="M68" s="1" t="str">
        <f aca="false">TEXT(bordro810[[#This Row],[Tarih]],"gggg")</f>
        <v>ADMS</v>
      </c>
      <c r="N68" s="1" t="str">
        <f aca="false">VLOOKUP(B68,PersonelListesi!A$1:G$41,4,FALSE())</f>
        <v>_KANTAR</v>
      </c>
      <c r="O68" s="325"/>
    </row>
    <row r="69" customFormat="false" ht="15" hidden="false" customHeight="false" outlineLevel="0" collapsed="false">
      <c r="A69" s="14" t="n">
        <v>45869</v>
      </c>
      <c r="B69" s="359" t="s">
        <v>100</v>
      </c>
      <c r="C69" s="359" t="s">
        <v>363</v>
      </c>
      <c r="D69" s="312" t="n">
        <v>4</v>
      </c>
      <c r="E69" s="312" t="n">
        <v>230</v>
      </c>
      <c r="F69" s="322" t="n">
        <f aca="false">bordro810[[#This Row],[Saat]]*bordro810[[#This Row],[S.Ücret]]</f>
        <v>920</v>
      </c>
      <c r="G69" s="352" t="n">
        <v>0</v>
      </c>
      <c r="H69" s="1" t="s">
        <v>396</v>
      </c>
      <c r="I69" s="329" t="n">
        <f aca="false">bordro810[[#This Row],[Ödeme]]-bordro810[[#This Row],[M. Tutar]]</f>
        <v>-920</v>
      </c>
      <c r="J69" s="350" t="n">
        <f aca="false">SUMIF(bordro810[Personel],bordro810[[#This Row],[Personel]],F$3:F69)-SUMIF(bordro810[Personel],bordro810[[#This Row],[Personel]],G$3:G69)</f>
        <v>17240</v>
      </c>
      <c r="K69" s="351" t="str">
        <f aca="false">TEXT(bordro810[[#This Row],[Tarih]],"yyyy")</f>
        <v>2025</v>
      </c>
      <c r="L69" s="1" t="str">
        <f aca="false">TEXT(bordro810[[#This Row],[Tarih]],"yyyy/aa")</f>
        <v>2025.aa</v>
      </c>
      <c r="M69" s="1" t="str">
        <f aca="false">TEXT(bordro810[[#This Row],[Tarih]],"gggg")</f>
        <v>ADMS</v>
      </c>
      <c r="N69" s="1" t="str">
        <f aca="false">VLOOKUP(B69,PersonelListesi!A$1:G$41,4,FALSE())</f>
        <v>_KANTAR</v>
      </c>
      <c r="O69" s="325"/>
    </row>
    <row r="70" customFormat="false" ht="15" hidden="false" customHeight="false" outlineLevel="0" collapsed="false">
      <c r="A70" s="14" t="n">
        <v>45870</v>
      </c>
      <c r="B70" s="359" t="s">
        <v>100</v>
      </c>
      <c r="C70" s="359" t="s">
        <v>363</v>
      </c>
      <c r="D70" s="312" t="n">
        <v>2</v>
      </c>
      <c r="E70" s="312" t="n">
        <v>230</v>
      </c>
      <c r="F70" s="322" t="n">
        <f aca="false">bordro810[[#This Row],[Saat]]*bordro810[[#This Row],[S.Ücret]]</f>
        <v>460</v>
      </c>
      <c r="G70" s="352" t="n">
        <v>0</v>
      </c>
      <c r="H70" s="1" t="s">
        <v>397</v>
      </c>
      <c r="I70" s="329" t="n">
        <f aca="false">bordro810[[#This Row],[Ödeme]]-bordro810[[#This Row],[M. Tutar]]</f>
        <v>-460</v>
      </c>
      <c r="J70" s="350" t="n">
        <f aca="false">SUMIF(bordro810[Personel],bordro810[[#This Row],[Personel]],F$3:F70)-SUMIF(bordro810[Personel],bordro810[[#This Row],[Personel]],G$3:G70)</f>
        <v>17240</v>
      </c>
      <c r="K70" s="351" t="str">
        <f aca="false">TEXT(bordro810[[#This Row],[Tarih]],"yyyy")</f>
        <v>2025</v>
      </c>
      <c r="L70" s="1" t="str">
        <f aca="false">TEXT(bordro810[[#This Row],[Tarih]],"yyyy/aa")</f>
        <v>2025.aa</v>
      </c>
      <c r="M70" s="1" t="str">
        <f aca="false">TEXT(bordro810[[#This Row],[Tarih]],"gggg")</f>
        <v>ADMS</v>
      </c>
      <c r="N70" s="1" t="str">
        <f aca="false">VLOOKUP(B70,PersonelListesi!A$1:G$41,4,FALSE())</f>
        <v>_KANTAR</v>
      </c>
      <c r="O70" s="325"/>
    </row>
    <row r="71" customFormat="false" ht="15" hidden="false" customHeight="false" outlineLevel="0" collapsed="false">
      <c r="A71" s="14" t="n">
        <v>45870</v>
      </c>
      <c r="B71" s="360" t="s">
        <v>93</v>
      </c>
      <c r="C71" s="360" t="s">
        <v>363</v>
      </c>
      <c r="D71" s="361" t="n">
        <v>2</v>
      </c>
      <c r="E71" s="312" t="n">
        <f aca="false">VLOOKUP(B71,PersonelListesi!A$1:G$47,5,FALSE())</f>
        <v>250</v>
      </c>
      <c r="F71" s="322" t="n">
        <f aca="false">bordro810[[#This Row],[Saat]]*bordro810[[#This Row],[S.Ücret]]</f>
        <v>500</v>
      </c>
      <c r="G71" s="352" t="n">
        <v>0</v>
      </c>
      <c r="H71" s="352" t="s">
        <v>397</v>
      </c>
      <c r="I71" s="329" t="n">
        <f aca="false">bordro810[[#This Row],[Ödeme]]-bordro810[[#This Row],[M. Tutar]]</f>
        <v>-500</v>
      </c>
      <c r="J71" s="350" t="n">
        <f aca="false">SUMIF(bordro810[Personel],bordro810[[#This Row],[Personel]],F$3:F71)-SUMIF(bordro810[Personel],bordro810[[#This Row],[Personel]],G$3:G71)</f>
        <v>8550</v>
      </c>
      <c r="K71" s="351" t="str">
        <f aca="false">TEXT(bordro810[[#This Row],[Tarih]],"yyyy")</f>
        <v>2025</v>
      </c>
      <c r="L71" s="1" t="str">
        <f aca="false">TEXT(bordro810[[#This Row],[Tarih]],"yyyy/aa")</f>
        <v>2025.aa</v>
      </c>
      <c r="M71" s="1" t="str">
        <f aca="false">TEXT(bordro810[[#This Row],[Tarih]],"gggg")</f>
        <v>ADMS</v>
      </c>
      <c r="N71" s="1" t="str">
        <f aca="false">VLOOKUP(B71,PersonelListesi!A$1:G$41,4,FALSE())</f>
        <v>_OPERATÖR</v>
      </c>
      <c r="O71" s="325"/>
    </row>
    <row r="72" customFormat="false" ht="15" hidden="false" customHeight="false" outlineLevel="0" collapsed="false">
      <c r="A72" s="14" t="n">
        <v>45871</v>
      </c>
      <c r="B72" s="360" t="s">
        <v>107</v>
      </c>
      <c r="C72" s="360" t="s">
        <v>363</v>
      </c>
      <c r="D72" s="361" t="n">
        <v>2</v>
      </c>
      <c r="E72" s="312" t="n">
        <v>250</v>
      </c>
      <c r="F72" s="322" t="n">
        <f aca="false">bordro810[[#This Row],[Saat]]*bordro810[[#This Row],[S.Ücret]]</f>
        <v>500</v>
      </c>
      <c r="G72" s="352" t="n">
        <v>0</v>
      </c>
      <c r="H72" s="352" t="s">
        <v>398</v>
      </c>
      <c r="I72" s="329" t="n">
        <f aca="false">bordro810[[#This Row],[Ödeme]]-bordro810[[#This Row],[M. Tutar]]</f>
        <v>-500</v>
      </c>
      <c r="J72" s="350" t="n">
        <f aca="false">SUMIF(bordro810[Personel],bordro810[[#This Row],[Personel]],F$3:F72)-SUMIF(bordro810[Personel],bordro810[[#This Row],[Personel]],G$3:G72)</f>
        <v>13000</v>
      </c>
      <c r="K72" s="351" t="str">
        <f aca="false">TEXT(bordro810[[#This Row],[Tarih]],"yyyy")</f>
        <v>2025</v>
      </c>
      <c r="L72" s="1" t="str">
        <f aca="false">TEXT(bordro810[[#This Row],[Tarih]],"yyyy/aa")</f>
        <v>2025.aa</v>
      </c>
      <c r="M72" s="1" t="str">
        <f aca="false">TEXT(bordro810[[#This Row],[Tarih]],"gggg")</f>
        <v>ADMS</v>
      </c>
      <c r="N72" s="1" t="str">
        <f aca="false">VLOOKUP(B72,PersonelListesi!A$1:G$41,4,FALSE())</f>
        <v>_OPERATÖR</v>
      </c>
      <c r="O72" s="325"/>
    </row>
    <row r="73" customFormat="false" ht="15" hidden="false" customHeight="false" outlineLevel="0" collapsed="false">
      <c r="A73" s="14" t="n">
        <v>45871</v>
      </c>
      <c r="B73" s="359" t="s">
        <v>100</v>
      </c>
      <c r="C73" s="359" t="s">
        <v>363</v>
      </c>
      <c r="D73" s="312" t="n">
        <v>2</v>
      </c>
      <c r="E73" s="312" t="n">
        <v>230</v>
      </c>
      <c r="F73" s="322" t="n">
        <f aca="false">bordro810[[#This Row],[Saat]]*bordro810[[#This Row],[S.Ücret]]</f>
        <v>460</v>
      </c>
      <c r="G73" s="352" t="n">
        <v>0</v>
      </c>
      <c r="H73" s="1" t="s">
        <v>398</v>
      </c>
      <c r="I73" s="329" t="n">
        <f aca="false">bordro810[[#This Row],[Ödeme]]-bordro810[[#This Row],[M. Tutar]]</f>
        <v>-460</v>
      </c>
      <c r="J73" s="350" t="n">
        <f aca="false">SUMIF(bordro810[Personel],bordro810[[#This Row],[Personel]],F$3:F73)-SUMIF(bordro810[Personel],bordro810[[#This Row],[Personel]],G$3:G73)</f>
        <v>17240</v>
      </c>
      <c r="K73" s="351" t="str">
        <f aca="false">TEXT(bordro810[[#This Row],[Tarih]],"yyyy")</f>
        <v>2025</v>
      </c>
      <c r="L73" s="1" t="str">
        <f aca="false">TEXT(bordro810[[#This Row],[Tarih]],"yyyy/aa")</f>
        <v>2025.aa</v>
      </c>
      <c r="M73" s="1" t="str">
        <f aca="false">TEXT(bordro810[[#This Row],[Tarih]],"gggg")</f>
        <v>ADMS</v>
      </c>
      <c r="N73" s="1" t="str">
        <f aca="false">VLOOKUP(B73,PersonelListesi!A$1:G$41,4,FALSE())</f>
        <v>_KANTAR</v>
      </c>
      <c r="O73" s="325"/>
    </row>
    <row r="74" customFormat="false" ht="15" hidden="false" customHeight="false" outlineLevel="0" collapsed="false">
      <c r="A74" s="14" t="n">
        <v>45872</v>
      </c>
      <c r="B74" s="360" t="s">
        <v>122</v>
      </c>
      <c r="C74" s="360" t="s">
        <v>363</v>
      </c>
      <c r="D74" s="361" t="n">
        <v>10</v>
      </c>
      <c r="E74" s="312" t="n">
        <v>250</v>
      </c>
      <c r="F74" s="322" t="n">
        <f aca="false">bordro810[[#This Row],[Saat]]*bordro810[[#This Row],[S.Ücret]]</f>
        <v>2500</v>
      </c>
      <c r="G74" s="352" t="n">
        <v>0</v>
      </c>
      <c r="H74" s="352" t="s">
        <v>369</v>
      </c>
      <c r="I74" s="329" t="n">
        <f aca="false">bordro810[[#This Row],[Ödeme]]-bordro810[[#This Row],[M. Tutar]]</f>
        <v>-2500</v>
      </c>
      <c r="J74" s="350" t="n">
        <f aca="false">SUMIF(bordro810[Personel],bordro810[[#This Row],[Personel]],F$3:F74)-SUMIF(bordro810[Personel],bordro810[[#This Row],[Personel]],G$3:G74)</f>
        <v>9250</v>
      </c>
      <c r="K74" s="351" t="str">
        <f aca="false">TEXT(bordro810[[#This Row],[Tarih]],"yyyy")</f>
        <v>2025</v>
      </c>
      <c r="L74" s="1" t="str">
        <f aca="false">TEXT(bordro810[[#This Row],[Tarih]],"yyyy/aa")</f>
        <v>2025.aa</v>
      </c>
      <c r="M74" s="1" t="str">
        <f aca="false">TEXT(bordro810[[#This Row],[Tarih]],"gggg")</f>
        <v>ADMS</v>
      </c>
      <c r="N74" s="1" t="str">
        <f aca="false">VLOOKUP(B74,PersonelListesi!A$1:G$41,4,FALSE())</f>
        <v>_OPERATÖR</v>
      </c>
      <c r="O74" s="325"/>
    </row>
    <row r="75" customFormat="false" ht="15" hidden="false" customHeight="false" outlineLevel="0" collapsed="false">
      <c r="A75" s="14" t="n">
        <v>45872</v>
      </c>
      <c r="B75" s="360" t="s">
        <v>95</v>
      </c>
      <c r="C75" s="360" t="s">
        <v>363</v>
      </c>
      <c r="D75" s="361" t="n">
        <v>10</v>
      </c>
      <c r="E75" s="312" t="n">
        <v>230</v>
      </c>
      <c r="F75" s="322" t="n">
        <f aca="false">bordro810[[#This Row],[Saat]]*bordro810[[#This Row],[S.Ücret]]</f>
        <v>2300</v>
      </c>
      <c r="G75" s="352" t="n">
        <v>0</v>
      </c>
      <c r="H75" s="352" t="s">
        <v>369</v>
      </c>
      <c r="I75" s="329" t="n">
        <f aca="false">bordro810[[#This Row],[Ödeme]]-bordro810[[#This Row],[M. Tutar]]</f>
        <v>-2300</v>
      </c>
      <c r="J75" s="350" t="n">
        <f aca="false">SUMIF(bordro810[Personel],bordro810[[#This Row],[Personel]],F$3:F75)-SUMIF(bordro810[Personel],bordro810[[#This Row],[Personel]],G$3:G75)</f>
        <v>5060</v>
      </c>
      <c r="K75" s="351" t="str">
        <f aca="false">TEXT(bordro810[[#This Row],[Tarih]],"yyyy")</f>
        <v>2025</v>
      </c>
      <c r="L75" s="1" t="str">
        <f aca="false">TEXT(bordro810[[#This Row],[Tarih]],"yyyy/aa")</f>
        <v>2025.aa</v>
      </c>
      <c r="M75" s="1" t="str">
        <f aca="false">TEXT(bordro810[[#This Row],[Tarih]],"gggg")</f>
        <v>ADMS</v>
      </c>
      <c r="N75" s="1" t="str">
        <f aca="false">VLOOKUP(B75,PersonelListesi!A$1:G$41,4,FALSE())</f>
        <v>_ŞOFÖR</v>
      </c>
      <c r="O75" s="325"/>
    </row>
    <row r="76" customFormat="false" ht="15" hidden="false" customHeight="false" outlineLevel="0" collapsed="false">
      <c r="A76" s="14" t="n">
        <v>45872</v>
      </c>
      <c r="B76" s="360" t="s">
        <v>102</v>
      </c>
      <c r="C76" s="360" t="s">
        <v>363</v>
      </c>
      <c r="D76" s="361" t="n">
        <v>10</v>
      </c>
      <c r="E76" s="312" t="n">
        <v>230</v>
      </c>
      <c r="F76" s="322" t="n">
        <f aca="false">bordro810[[#This Row],[Saat]]*bordro810[[#This Row],[S.Ücret]]</f>
        <v>2300</v>
      </c>
      <c r="G76" s="352" t="n">
        <v>0</v>
      </c>
      <c r="H76" s="352" t="s">
        <v>369</v>
      </c>
      <c r="I76" s="329" t="n">
        <f aca="false">bordro810[[#This Row],[Ödeme]]-bordro810[[#This Row],[M. Tutar]]</f>
        <v>-2300</v>
      </c>
      <c r="J76" s="350" t="n">
        <f aca="false">SUMIF(bordro810[Personel],bordro810[[#This Row],[Personel]],F$3:F76)-SUMIF(bordro810[Personel],bordro810[[#This Row],[Personel]],G$3:G76)</f>
        <v>15030</v>
      </c>
      <c r="K76" s="351" t="str">
        <f aca="false">TEXT(bordro810[[#This Row],[Tarih]],"yyyy")</f>
        <v>2025</v>
      </c>
      <c r="L76" s="1" t="str">
        <f aca="false">TEXT(bordro810[[#This Row],[Tarih]],"yyyy/aa")</f>
        <v>2025.aa</v>
      </c>
      <c r="M76" s="1" t="str">
        <f aca="false">TEXT(bordro810[[#This Row],[Tarih]],"gggg")</f>
        <v>ADMS</v>
      </c>
      <c r="N76" s="1" t="str">
        <f aca="false">VLOOKUP(B76,PersonelListesi!A$1:G$41,4,FALSE())</f>
        <v>_ŞOFÖR</v>
      </c>
      <c r="O76" s="325"/>
    </row>
    <row r="77" customFormat="false" ht="15" hidden="false" customHeight="false" outlineLevel="0" collapsed="false">
      <c r="A77" s="14" t="n">
        <v>45872</v>
      </c>
      <c r="B77" s="360" t="s">
        <v>85</v>
      </c>
      <c r="C77" s="360" t="s">
        <v>363</v>
      </c>
      <c r="D77" s="361" t="n">
        <v>10</v>
      </c>
      <c r="E77" s="312" t="n">
        <v>230</v>
      </c>
      <c r="F77" s="322" t="n">
        <f aca="false">bordro810[[#This Row],[Saat]]*bordro810[[#This Row],[S.Ücret]]</f>
        <v>2300</v>
      </c>
      <c r="G77" s="352" t="n">
        <v>0</v>
      </c>
      <c r="H77" s="352" t="s">
        <v>369</v>
      </c>
      <c r="I77" s="329" t="n">
        <f aca="false">bordro810[[#This Row],[Ödeme]]-bordro810[[#This Row],[M. Tutar]]</f>
        <v>-2300</v>
      </c>
      <c r="J77" s="350" t="n">
        <f aca="false">SUMIF(bordro810[Personel],bordro810[[#This Row],[Personel]],F$3:F77)-SUMIF(bordro810[Personel],bordro810[[#This Row],[Personel]],G$3:G77)</f>
        <v>19740</v>
      </c>
      <c r="K77" s="351" t="str">
        <f aca="false">TEXT(bordro810[[#This Row],[Tarih]],"yyyy")</f>
        <v>2025</v>
      </c>
      <c r="L77" s="1" t="str">
        <f aca="false">TEXT(bordro810[[#This Row],[Tarih]],"yyyy/aa")</f>
        <v>2025.aa</v>
      </c>
      <c r="M77" s="1" t="str">
        <f aca="false">TEXT(bordro810[[#This Row],[Tarih]],"gggg")</f>
        <v>ADMS</v>
      </c>
      <c r="N77" s="1" t="str">
        <f aca="false">VLOOKUP(B77,PersonelListesi!A$1:G$41,4,FALSE())</f>
        <v>_D.ELEMAN</v>
      </c>
      <c r="O77" s="325"/>
    </row>
    <row r="78" customFormat="false" ht="15" hidden="false" customHeight="false" outlineLevel="0" collapsed="false">
      <c r="A78" s="14" t="n">
        <v>45872</v>
      </c>
      <c r="B78" s="360" t="s">
        <v>91</v>
      </c>
      <c r="C78" s="360" t="s">
        <v>363</v>
      </c>
      <c r="D78" s="361" t="n">
        <v>10</v>
      </c>
      <c r="E78" s="312" t="n">
        <v>150</v>
      </c>
      <c r="F78" s="322" t="n">
        <f aca="false">bordro810[[#This Row],[Saat]]*bordro810[[#This Row],[S.Ücret]]</f>
        <v>1500</v>
      </c>
      <c r="G78" s="352" t="n">
        <v>0</v>
      </c>
      <c r="H78" s="352" t="s">
        <v>369</v>
      </c>
      <c r="I78" s="329" t="n">
        <f aca="false">bordro810[[#This Row],[Ödeme]]-bordro810[[#This Row],[M. Tutar]]</f>
        <v>-1500</v>
      </c>
      <c r="J78" s="350" t="n">
        <f aca="false">SUMIF(bordro810[Personel],bordro810[[#This Row],[Personel]],F$3:F78)-SUMIF(bordro810[Personel],bordro810[[#This Row],[Personel]],G$3:G78)</f>
        <v>9300</v>
      </c>
      <c r="K78" s="351" t="str">
        <f aca="false">TEXT(bordro810[[#This Row],[Tarih]],"yyyy")</f>
        <v>2025</v>
      </c>
      <c r="L78" s="1" t="str">
        <f aca="false">TEXT(bordro810[[#This Row],[Tarih]],"yyyy/aa")</f>
        <v>2025.aa</v>
      </c>
      <c r="M78" s="1" t="str">
        <f aca="false">TEXT(bordro810[[#This Row],[Tarih]],"gggg")</f>
        <v>ADMS</v>
      </c>
      <c r="N78" s="1" t="str">
        <f aca="false">VLOOKUP(B78,PersonelListesi!A$1:G$41,4,FALSE())</f>
        <v>_D.ELEMAN</v>
      </c>
      <c r="O78" s="325"/>
    </row>
    <row r="79" customFormat="false" ht="15" hidden="false" customHeight="false" outlineLevel="0" collapsed="false">
      <c r="A79" s="14" t="n">
        <v>45872</v>
      </c>
      <c r="B79" s="360" t="s">
        <v>93</v>
      </c>
      <c r="C79" s="360" t="s">
        <v>363</v>
      </c>
      <c r="D79" s="361" t="n">
        <v>10</v>
      </c>
      <c r="E79" s="312" t="n">
        <f aca="false">VLOOKUP(B79,PersonelListesi!A$1:G$47,5,FALSE())</f>
        <v>250</v>
      </c>
      <c r="F79" s="322" t="n">
        <f aca="false">bordro810[[#This Row],[Saat]]*bordro810[[#This Row],[S.Ücret]]</f>
        <v>2500</v>
      </c>
      <c r="G79" s="352" t="n">
        <v>0</v>
      </c>
      <c r="H79" s="352" t="s">
        <v>369</v>
      </c>
      <c r="I79" s="329" t="n">
        <f aca="false">bordro810[[#This Row],[Ödeme]]-bordro810[[#This Row],[M. Tutar]]</f>
        <v>-2500</v>
      </c>
      <c r="J79" s="350" t="n">
        <f aca="false">SUMIF(bordro810[Personel],bordro810[[#This Row],[Personel]],F$3:F79)-SUMIF(bordro810[Personel],bordro810[[#This Row],[Personel]],G$3:G79)</f>
        <v>8550</v>
      </c>
      <c r="K79" s="351" t="str">
        <f aca="false">TEXT(bordro810[[#This Row],[Tarih]],"yyyy")</f>
        <v>2025</v>
      </c>
      <c r="L79" s="1" t="str">
        <f aca="false">TEXT(bordro810[[#This Row],[Tarih]],"yyyy/aa")</f>
        <v>2025.aa</v>
      </c>
      <c r="M79" s="1" t="str">
        <f aca="false">TEXT(bordro810[[#This Row],[Tarih]],"gggg")</f>
        <v>ADMS</v>
      </c>
      <c r="N79" s="1" t="str">
        <f aca="false">VLOOKUP(B79,PersonelListesi!A$1:G$41,4,FALSE())</f>
        <v>_OPERATÖR</v>
      </c>
      <c r="O79" s="325"/>
    </row>
    <row r="80" customFormat="false" ht="15" hidden="false" customHeight="false" outlineLevel="0" collapsed="false">
      <c r="A80" s="14" t="n">
        <v>45872</v>
      </c>
      <c r="B80" s="359" t="s">
        <v>100</v>
      </c>
      <c r="C80" s="360" t="s">
        <v>363</v>
      </c>
      <c r="D80" s="312" t="n">
        <v>10</v>
      </c>
      <c r="E80" s="312" t="n">
        <v>230</v>
      </c>
      <c r="F80" s="322" t="n">
        <f aca="false">bordro810[[#This Row],[Saat]]*bordro810[[#This Row],[S.Ücret]]</f>
        <v>2300</v>
      </c>
      <c r="G80" s="352" t="n">
        <v>0</v>
      </c>
      <c r="H80" s="1" t="s">
        <v>369</v>
      </c>
      <c r="I80" s="329" t="n">
        <f aca="false">bordro810[[#This Row],[Ödeme]]-bordro810[[#This Row],[M. Tutar]]</f>
        <v>-2300</v>
      </c>
      <c r="J80" s="350" t="n">
        <f aca="false">SUMIF(bordro810[Personel],bordro810[[#This Row],[Personel]],F$3:F80)-SUMIF(bordro810[Personel],bordro810[[#This Row],[Personel]],G$3:G80)</f>
        <v>17240</v>
      </c>
      <c r="K80" s="351" t="str">
        <f aca="false">TEXT(bordro810[[#This Row],[Tarih]],"yyyy")</f>
        <v>2025</v>
      </c>
      <c r="L80" s="1" t="str">
        <f aca="false">TEXT(bordro810[[#This Row],[Tarih]],"yyyy/aa")</f>
        <v>2025.aa</v>
      </c>
      <c r="M80" s="1" t="str">
        <f aca="false">TEXT(bordro810[[#This Row],[Tarih]],"gggg")</f>
        <v>ADMS</v>
      </c>
      <c r="N80" s="1" t="str">
        <f aca="false">VLOOKUP(B80,PersonelListesi!A$1:G$41,4,FALSE())</f>
        <v>_KANTAR</v>
      </c>
      <c r="O80" s="325"/>
    </row>
    <row r="81" customFormat="false" ht="15" hidden="false" customHeight="false" outlineLevel="0" collapsed="false">
      <c r="A81" s="14" t="n">
        <v>45875</v>
      </c>
      <c r="B81" s="360" t="s">
        <v>122</v>
      </c>
      <c r="C81" s="360" t="s">
        <v>363</v>
      </c>
      <c r="D81" s="361" t="n">
        <v>3</v>
      </c>
      <c r="E81" s="312" t="n">
        <v>250</v>
      </c>
      <c r="F81" s="322" t="n">
        <f aca="false">bordro810[[#This Row],[Saat]]*bordro810[[#This Row],[S.Ücret]]</f>
        <v>750</v>
      </c>
      <c r="G81" s="352" t="n">
        <v>0</v>
      </c>
      <c r="H81" s="352" t="s">
        <v>378</v>
      </c>
      <c r="I81" s="329" t="n">
        <f aca="false">bordro810[[#This Row],[Ödeme]]-bordro810[[#This Row],[M. Tutar]]</f>
        <v>-750</v>
      </c>
      <c r="J81" s="350" t="n">
        <f aca="false">SUMIF(bordro810[Personel],bordro810[[#This Row],[Personel]],F$3:F81)-SUMIF(bordro810[Personel],bordro810[[#This Row],[Personel]],G$3:G81)</f>
        <v>9250</v>
      </c>
      <c r="K81" s="351" t="str">
        <f aca="false">TEXT(bordro810[[#This Row],[Tarih]],"yyyy")</f>
        <v>2025</v>
      </c>
      <c r="L81" s="1" t="str">
        <f aca="false">TEXT(bordro810[[#This Row],[Tarih]],"yyyy/aa")</f>
        <v>2025.aa</v>
      </c>
      <c r="M81" s="1" t="str">
        <f aca="false">TEXT(bordro810[[#This Row],[Tarih]],"gggg")</f>
        <v>ADMS</v>
      </c>
      <c r="N81" s="1" t="str">
        <f aca="false">VLOOKUP(B81,PersonelListesi!A$1:G$41,4,FALSE())</f>
        <v>_OPERATÖR</v>
      </c>
      <c r="O81" s="325"/>
    </row>
    <row r="82" customFormat="false" ht="15" hidden="false" customHeight="false" outlineLevel="0" collapsed="false">
      <c r="A82" s="14" t="n">
        <v>45875</v>
      </c>
      <c r="B82" s="360" t="s">
        <v>116</v>
      </c>
      <c r="C82" s="360" t="s">
        <v>363</v>
      </c>
      <c r="D82" s="361" t="n">
        <v>3</v>
      </c>
      <c r="E82" s="312" t="n">
        <v>230</v>
      </c>
      <c r="F82" s="322" t="n">
        <f aca="false">bordro810[[#This Row],[Saat]]*bordro810[[#This Row],[S.Ücret]]</f>
        <v>690</v>
      </c>
      <c r="G82" s="352" t="n">
        <v>0</v>
      </c>
      <c r="H82" s="352" t="s">
        <v>378</v>
      </c>
      <c r="I82" s="329" t="n">
        <f aca="false">bordro810[[#This Row],[Ödeme]]-bordro810[[#This Row],[M. Tutar]]</f>
        <v>-690</v>
      </c>
      <c r="J82" s="350" t="n">
        <f aca="false">SUMIF(bordro810[Personel],bordro810[[#This Row],[Personel]],F$3:F82)-SUMIF(bordro810[Personel],bordro810[[#This Row],[Personel]],G$3:G82)</f>
        <v>7820</v>
      </c>
      <c r="K82" s="351" t="str">
        <f aca="false">TEXT(bordro810[[#This Row],[Tarih]],"yyyy")</f>
        <v>2025</v>
      </c>
      <c r="L82" s="1" t="str">
        <f aca="false">TEXT(bordro810[[#This Row],[Tarih]],"yyyy/aa")</f>
        <v>2025.aa</v>
      </c>
      <c r="M82" s="1" t="str">
        <f aca="false">TEXT(bordro810[[#This Row],[Tarih]],"gggg")</f>
        <v>ADMS</v>
      </c>
      <c r="N82" s="1" t="str">
        <f aca="false">VLOOKUP(B82,PersonelListesi!A$1:G$41,4,FALSE())</f>
        <v>_ŞOFÖR</v>
      </c>
      <c r="O82" s="325"/>
    </row>
    <row r="83" customFormat="false" ht="15" hidden="false" customHeight="false" outlineLevel="0" collapsed="false">
      <c r="A83" s="14" t="n">
        <v>45875</v>
      </c>
      <c r="B83" s="360" t="s">
        <v>102</v>
      </c>
      <c r="C83" s="360" t="s">
        <v>363</v>
      </c>
      <c r="D83" s="361" t="n">
        <v>3</v>
      </c>
      <c r="E83" s="312" t="n">
        <v>230</v>
      </c>
      <c r="F83" s="322" t="n">
        <f aca="false">bordro810[[#This Row],[Saat]]*bordro810[[#This Row],[S.Ücret]]</f>
        <v>690</v>
      </c>
      <c r="G83" s="352" t="n">
        <v>0</v>
      </c>
      <c r="H83" s="352" t="s">
        <v>378</v>
      </c>
      <c r="I83" s="329" t="n">
        <f aca="false">bordro810[[#This Row],[Ödeme]]-bordro810[[#This Row],[M. Tutar]]</f>
        <v>-690</v>
      </c>
      <c r="J83" s="350" t="n">
        <f aca="false">SUMIF(bordro810[Personel],bordro810[[#This Row],[Personel]],F$3:F83)-SUMIF(bordro810[Personel],bordro810[[#This Row],[Personel]],G$3:G83)</f>
        <v>15030</v>
      </c>
      <c r="K83" s="351" t="str">
        <f aca="false">TEXT(bordro810[[#This Row],[Tarih]],"yyyy")</f>
        <v>2025</v>
      </c>
      <c r="L83" s="1" t="str">
        <f aca="false">TEXT(bordro810[[#This Row],[Tarih]],"yyyy/aa")</f>
        <v>2025.aa</v>
      </c>
      <c r="M83" s="1" t="str">
        <f aca="false">TEXT(bordro810[[#This Row],[Tarih]],"gggg")</f>
        <v>ADMS</v>
      </c>
      <c r="N83" s="1" t="str">
        <f aca="false">VLOOKUP(B83,PersonelListesi!A$1:G$41,4,FALSE())</f>
        <v>_ŞOFÖR</v>
      </c>
      <c r="O83" s="325"/>
    </row>
    <row r="84" customFormat="false" ht="15" hidden="false" customHeight="false" outlineLevel="0" collapsed="false">
      <c r="A84" s="14" t="n">
        <v>45875</v>
      </c>
      <c r="B84" s="360" t="s">
        <v>87</v>
      </c>
      <c r="C84" s="360" t="s">
        <v>363</v>
      </c>
      <c r="D84" s="361" t="n">
        <v>3</v>
      </c>
      <c r="E84" s="312" t="n">
        <v>250</v>
      </c>
      <c r="F84" s="322" t="n">
        <f aca="false">bordro810[[#This Row],[Saat]]*bordro810[[#This Row],[S.Ücret]]</f>
        <v>750</v>
      </c>
      <c r="G84" s="352" t="n">
        <v>0</v>
      </c>
      <c r="H84" s="352" t="s">
        <v>378</v>
      </c>
      <c r="I84" s="329" t="n">
        <f aca="false">bordro810[[#This Row],[Ödeme]]-bordro810[[#This Row],[M. Tutar]]</f>
        <v>-750</v>
      </c>
      <c r="J84" s="350" t="n">
        <f aca="false">SUMIF(bordro810[Personel],bordro810[[#This Row],[Personel]],F$3:F84)-SUMIF(bordro810[Personel],bordro810[[#This Row],[Personel]],G$3:G84)</f>
        <v>4750</v>
      </c>
      <c r="K84" s="351" t="str">
        <f aca="false">TEXT(bordro810[[#This Row],[Tarih]],"yyyy")</f>
        <v>2025</v>
      </c>
      <c r="L84" s="1" t="str">
        <f aca="false">TEXT(bordro810[[#This Row],[Tarih]],"yyyy/aa")</f>
        <v>2025.aa</v>
      </c>
      <c r="M84" s="1" t="str">
        <f aca="false">TEXT(bordro810[[#This Row],[Tarih]],"gggg")</f>
        <v>ADMS</v>
      </c>
      <c r="N84" s="1" t="str">
        <f aca="false">VLOOKUP(B84,PersonelListesi!A$1:G$41,4,FALSE())</f>
        <v>_D.ELEMAN</v>
      </c>
      <c r="O84" s="325"/>
    </row>
    <row r="85" customFormat="false" ht="15" hidden="false" customHeight="false" outlineLevel="0" collapsed="false">
      <c r="A85" s="14" t="n">
        <v>45875</v>
      </c>
      <c r="B85" s="360" t="s">
        <v>91</v>
      </c>
      <c r="C85" s="360" t="s">
        <v>363</v>
      </c>
      <c r="D85" s="361" t="n">
        <v>3</v>
      </c>
      <c r="E85" s="312" t="n">
        <v>150</v>
      </c>
      <c r="F85" s="322" t="n">
        <f aca="false">bordro810[[#This Row],[Saat]]*bordro810[[#This Row],[S.Ücret]]</f>
        <v>450</v>
      </c>
      <c r="G85" s="352" t="n">
        <v>0</v>
      </c>
      <c r="H85" s="352" t="s">
        <v>378</v>
      </c>
      <c r="I85" s="329" t="n">
        <f aca="false">bordro810[[#This Row],[Ödeme]]-bordro810[[#This Row],[M. Tutar]]</f>
        <v>-450</v>
      </c>
      <c r="J85" s="350" t="n">
        <f aca="false">SUMIF(bordro810[Personel],bordro810[[#This Row],[Personel]],F$3:F85)-SUMIF(bordro810[Personel],bordro810[[#This Row],[Personel]],G$3:G85)</f>
        <v>9300</v>
      </c>
      <c r="K85" s="351" t="str">
        <f aca="false">TEXT(bordro810[[#This Row],[Tarih]],"yyyy")</f>
        <v>2025</v>
      </c>
      <c r="L85" s="1" t="str">
        <f aca="false">TEXT(bordro810[[#This Row],[Tarih]],"yyyy/aa")</f>
        <v>2025.aa</v>
      </c>
      <c r="M85" s="1" t="str">
        <f aca="false">TEXT(bordro810[[#This Row],[Tarih]],"gggg")</f>
        <v>ADMS</v>
      </c>
      <c r="N85" s="1" t="str">
        <f aca="false">VLOOKUP(B85,PersonelListesi!A$1:G$41,4,FALSE())</f>
        <v>_D.ELEMAN</v>
      </c>
      <c r="O85" s="325"/>
    </row>
    <row r="86" customFormat="false" ht="15" hidden="false" customHeight="false" outlineLevel="0" collapsed="false">
      <c r="A86" s="14" t="n">
        <v>45876</v>
      </c>
      <c r="B86" s="360" t="s">
        <v>121</v>
      </c>
      <c r="C86" s="360" t="s">
        <v>363</v>
      </c>
      <c r="D86" s="361" t="n">
        <v>3</v>
      </c>
      <c r="E86" s="312" t="n">
        <v>250</v>
      </c>
      <c r="F86" s="322" t="n">
        <f aca="false">bordro810[[#This Row],[Saat]]*bordro810[[#This Row],[S.Ücret]]</f>
        <v>750</v>
      </c>
      <c r="G86" s="352" t="n">
        <v>0</v>
      </c>
      <c r="H86" s="362" t="s">
        <v>379</v>
      </c>
      <c r="I86" s="329" t="n">
        <f aca="false">bordro810[[#This Row],[Ödeme]]-bordro810[[#This Row],[M. Tutar]]</f>
        <v>-750</v>
      </c>
      <c r="J86" s="350" t="n">
        <f aca="false">SUMIF(bordro810[Personel],bordro810[[#This Row],[Personel]],F$3:F86)-SUMIF(bordro810[Personel],bordro810[[#This Row],[Personel]],G$3:G86)</f>
        <v>6250</v>
      </c>
      <c r="K86" s="351" t="str">
        <f aca="false">TEXT(bordro810[[#This Row],[Tarih]],"yyyy")</f>
        <v>2025</v>
      </c>
      <c r="L86" s="1" t="str">
        <f aca="false">TEXT(bordro810[[#This Row],[Tarih]],"yyyy/aa")</f>
        <v>2025.aa</v>
      </c>
      <c r="M86" s="1" t="str">
        <f aca="false">TEXT(bordro810[[#This Row],[Tarih]],"gggg")</f>
        <v>ADMS</v>
      </c>
      <c r="N86" s="1" t="str">
        <f aca="false">VLOOKUP(B86,PersonelListesi!A$1:G$41,4,FALSE())</f>
        <v>_OPERATÖR</v>
      </c>
      <c r="O86" s="325"/>
    </row>
    <row r="87" customFormat="false" ht="15" hidden="false" customHeight="false" outlineLevel="0" collapsed="false">
      <c r="A87" s="14" t="n">
        <v>45876</v>
      </c>
      <c r="B87" s="360" t="s">
        <v>95</v>
      </c>
      <c r="C87" s="360" t="s">
        <v>363</v>
      </c>
      <c r="D87" s="361" t="n">
        <v>3</v>
      </c>
      <c r="E87" s="312" t="n">
        <v>230</v>
      </c>
      <c r="F87" s="322" t="n">
        <f aca="false">bordro810[[#This Row],[Saat]]*bordro810[[#This Row],[S.Ücret]]</f>
        <v>690</v>
      </c>
      <c r="G87" s="352" t="n">
        <v>0</v>
      </c>
      <c r="H87" s="352" t="s">
        <v>379</v>
      </c>
      <c r="I87" s="329" t="n">
        <f aca="false">bordro810[[#This Row],[Ödeme]]-bordro810[[#This Row],[M. Tutar]]</f>
        <v>-690</v>
      </c>
      <c r="J87" s="350" t="n">
        <f aca="false">SUMIF(bordro810[Personel],bordro810[[#This Row],[Personel]],F$3:F87)-SUMIF(bordro810[Personel],bordro810[[#This Row],[Personel]],G$3:G87)</f>
        <v>5060</v>
      </c>
      <c r="K87" s="351" t="str">
        <f aca="false">TEXT(bordro810[[#This Row],[Tarih]],"yyyy")</f>
        <v>2025</v>
      </c>
      <c r="L87" s="1" t="str">
        <f aca="false">TEXT(bordro810[[#This Row],[Tarih]],"yyyy/aa")</f>
        <v>2025.aa</v>
      </c>
      <c r="M87" s="1" t="str">
        <f aca="false">TEXT(bordro810[[#This Row],[Tarih]],"gggg")</f>
        <v>ADMS</v>
      </c>
      <c r="N87" s="1" t="str">
        <f aca="false">VLOOKUP(B87,PersonelListesi!A$1:G$41,4,FALSE())</f>
        <v>_ŞOFÖR</v>
      </c>
      <c r="O87" s="325"/>
    </row>
    <row r="88" customFormat="false" ht="15" hidden="false" customHeight="false" outlineLevel="0" collapsed="false">
      <c r="A88" s="14" t="n">
        <v>45876</v>
      </c>
      <c r="B88" s="360" t="s">
        <v>116</v>
      </c>
      <c r="C88" s="360" t="s">
        <v>363</v>
      </c>
      <c r="D88" s="361" t="n">
        <v>3</v>
      </c>
      <c r="E88" s="312" t="n">
        <v>230</v>
      </c>
      <c r="F88" s="322" t="n">
        <f aca="false">bordro810[[#This Row],[Saat]]*bordro810[[#This Row],[S.Ücret]]</f>
        <v>690</v>
      </c>
      <c r="G88" s="352" t="n">
        <v>0</v>
      </c>
      <c r="H88" s="352" t="s">
        <v>379</v>
      </c>
      <c r="I88" s="329" t="n">
        <f aca="false">bordro810[[#This Row],[Ödeme]]-bordro810[[#This Row],[M. Tutar]]</f>
        <v>-690</v>
      </c>
      <c r="J88" s="350" t="n">
        <f aca="false">SUMIF(bordro810[Personel],bordro810[[#This Row],[Personel]],F$3:F88)-SUMIF(bordro810[Personel],bordro810[[#This Row],[Personel]],G$3:G88)</f>
        <v>7820</v>
      </c>
      <c r="K88" s="351" t="str">
        <f aca="false">TEXT(bordro810[[#This Row],[Tarih]],"yyyy")</f>
        <v>2025</v>
      </c>
      <c r="L88" s="1" t="str">
        <f aca="false">TEXT(bordro810[[#This Row],[Tarih]],"yyyy/aa")</f>
        <v>2025.aa</v>
      </c>
      <c r="M88" s="1" t="str">
        <f aca="false">TEXT(bordro810[[#This Row],[Tarih]],"gggg")</f>
        <v>ADMS</v>
      </c>
      <c r="N88" s="1" t="str">
        <f aca="false">VLOOKUP(B88,PersonelListesi!A$1:G$41,4,FALSE())</f>
        <v>_ŞOFÖR</v>
      </c>
      <c r="O88" s="325"/>
    </row>
    <row r="89" customFormat="false" ht="15" hidden="false" customHeight="false" outlineLevel="0" collapsed="false">
      <c r="A89" s="14" t="n">
        <v>45876</v>
      </c>
      <c r="B89" s="360" t="s">
        <v>85</v>
      </c>
      <c r="C89" s="360" t="s">
        <v>363</v>
      </c>
      <c r="D89" s="361" t="n">
        <v>3</v>
      </c>
      <c r="E89" s="312" t="n">
        <v>230</v>
      </c>
      <c r="F89" s="322" t="n">
        <f aca="false">bordro810[[#This Row],[Saat]]*bordro810[[#This Row],[S.Ücret]]</f>
        <v>690</v>
      </c>
      <c r="G89" s="352" t="n">
        <v>0</v>
      </c>
      <c r="H89" s="352" t="s">
        <v>379</v>
      </c>
      <c r="I89" s="329" t="n">
        <f aca="false">bordro810[[#This Row],[Ödeme]]-bordro810[[#This Row],[M. Tutar]]</f>
        <v>-690</v>
      </c>
      <c r="J89" s="350" t="n">
        <f aca="false">SUMIF(bordro810[Personel],bordro810[[#This Row],[Personel]],F$3:F89)-SUMIF(bordro810[Personel],bordro810[[#This Row],[Personel]],G$3:G89)</f>
        <v>19740</v>
      </c>
      <c r="K89" s="351" t="str">
        <f aca="false">TEXT(bordro810[[#This Row],[Tarih]],"yyyy")</f>
        <v>2025</v>
      </c>
      <c r="L89" s="1" t="str">
        <f aca="false">TEXT(bordro810[[#This Row],[Tarih]],"yyyy/aa")</f>
        <v>2025.aa</v>
      </c>
      <c r="M89" s="1" t="str">
        <f aca="false">TEXT(bordro810[[#This Row],[Tarih]],"gggg")</f>
        <v>ADMS</v>
      </c>
      <c r="N89" s="1" t="str">
        <f aca="false">VLOOKUP(B89,PersonelListesi!A$1:G$41,4,FALSE())</f>
        <v>_D.ELEMAN</v>
      </c>
      <c r="O89" s="325"/>
    </row>
    <row r="90" customFormat="false" ht="15" hidden="false" customHeight="false" outlineLevel="0" collapsed="false">
      <c r="A90" s="14" t="n">
        <v>45876</v>
      </c>
      <c r="B90" s="360" t="s">
        <v>91</v>
      </c>
      <c r="C90" s="360" t="s">
        <v>363</v>
      </c>
      <c r="D90" s="361" t="n">
        <v>3</v>
      </c>
      <c r="E90" s="312" t="n">
        <v>150</v>
      </c>
      <c r="F90" s="322" t="n">
        <f aca="false">bordro810[[#This Row],[Saat]]*bordro810[[#This Row],[S.Ücret]]</f>
        <v>450</v>
      </c>
      <c r="G90" s="352" t="n">
        <v>0</v>
      </c>
      <c r="H90" s="352" t="s">
        <v>379</v>
      </c>
      <c r="I90" s="329" t="n">
        <f aca="false">bordro810[[#This Row],[Ödeme]]-bordro810[[#This Row],[M. Tutar]]</f>
        <v>-450</v>
      </c>
      <c r="J90" s="350" t="n">
        <f aca="false">SUMIF(bordro810[Personel],bordro810[[#This Row],[Personel]],F$3:F90)-SUMIF(bordro810[Personel],bordro810[[#This Row],[Personel]],G$3:G90)</f>
        <v>9300</v>
      </c>
      <c r="K90" s="351" t="str">
        <f aca="false">TEXT(bordro810[[#This Row],[Tarih]],"yyyy")</f>
        <v>2025</v>
      </c>
      <c r="L90" s="1" t="str">
        <f aca="false">TEXT(bordro810[[#This Row],[Tarih]],"yyyy/aa")</f>
        <v>2025.aa</v>
      </c>
      <c r="M90" s="1" t="str">
        <f aca="false">TEXT(bordro810[[#This Row],[Tarih]],"gggg")</f>
        <v>ADMS</v>
      </c>
      <c r="N90" s="1" t="str">
        <f aca="false">VLOOKUP(B90,PersonelListesi!A$1:G$41,4,FALSE())</f>
        <v>_D.ELEMAN</v>
      </c>
      <c r="O90" s="325"/>
    </row>
    <row r="91" customFormat="false" ht="15" hidden="false" customHeight="false" outlineLevel="0" collapsed="false">
      <c r="A91" s="14" t="n">
        <v>45877</v>
      </c>
      <c r="B91" s="360" t="s">
        <v>121</v>
      </c>
      <c r="C91" s="360" t="s">
        <v>363</v>
      </c>
      <c r="D91" s="361" t="n">
        <v>3</v>
      </c>
      <c r="E91" s="312" t="n">
        <v>250</v>
      </c>
      <c r="F91" s="322" t="n">
        <f aca="false">bordro810[[#This Row],[Saat]]*bordro810[[#This Row],[S.Ücret]]</f>
        <v>750</v>
      </c>
      <c r="G91" s="352" t="n">
        <v>0</v>
      </c>
      <c r="H91" s="352" t="s">
        <v>380</v>
      </c>
      <c r="I91" s="329" t="n">
        <f aca="false">bordro810[[#This Row],[Ödeme]]-bordro810[[#This Row],[M. Tutar]]</f>
        <v>-750</v>
      </c>
      <c r="J91" s="350" t="n">
        <f aca="false">SUMIF(bordro810[Personel],bordro810[[#This Row],[Personel]],F$3:F91)-SUMIF(bordro810[Personel],bordro810[[#This Row],[Personel]],G$3:G91)</f>
        <v>6250</v>
      </c>
      <c r="K91" s="351" t="str">
        <f aca="false">TEXT(bordro810[[#This Row],[Tarih]],"yyyy")</f>
        <v>2025</v>
      </c>
      <c r="L91" s="1" t="str">
        <f aca="false">TEXT(bordro810[[#This Row],[Tarih]],"yyyy/aa")</f>
        <v>2025.aa</v>
      </c>
      <c r="M91" s="1" t="str">
        <f aca="false">TEXT(bordro810[[#This Row],[Tarih]],"gggg")</f>
        <v>ADMS</v>
      </c>
      <c r="N91" s="1" t="str">
        <f aca="false">VLOOKUP(B91,PersonelListesi!A$1:G$41,4,FALSE())</f>
        <v>_OPERATÖR</v>
      </c>
      <c r="O91" s="325"/>
    </row>
    <row r="92" customFormat="false" ht="15" hidden="false" customHeight="false" outlineLevel="0" collapsed="false">
      <c r="A92" s="14" t="n">
        <v>45877</v>
      </c>
      <c r="B92" s="360" t="s">
        <v>95</v>
      </c>
      <c r="C92" s="360" t="s">
        <v>363</v>
      </c>
      <c r="D92" s="361" t="n">
        <v>3</v>
      </c>
      <c r="E92" s="312" t="n">
        <v>230</v>
      </c>
      <c r="F92" s="322" t="n">
        <f aca="false">bordro810[[#This Row],[Saat]]*bordro810[[#This Row],[S.Ücret]]</f>
        <v>690</v>
      </c>
      <c r="G92" s="352" t="n">
        <v>0</v>
      </c>
      <c r="H92" s="352" t="s">
        <v>380</v>
      </c>
      <c r="I92" s="329" t="n">
        <f aca="false">bordro810[[#This Row],[Ödeme]]-bordro810[[#This Row],[M. Tutar]]</f>
        <v>-690</v>
      </c>
      <c r="J92" s="350" t="n">
        <f aca="false">SUMIF(bordro810[Personel],bordro810[[#This Row],[Personel]],F$3:F92)-SUMIF(bordro810[Personel],bordro810[[#This Row],[Personel]],G$3:G92)</f>
        <v>5060</v>
      </c>
      <c r="K92" s="351" t="str">
        <f aca="false">TEXT(bordro810[[#This Row],[Tarih]],"yyyy")</f>
        <v>2025</v>
      </c>
      <c r="L92" s="1" t="str">
        <f aca="false">TEXT(bordro810[[#This Row],[Tarih]],"yyyy/aa")</f>
        <v>2025.aa</v>
      </c>
      <c r="M92" s="1" t="str">
        <f aca="false">TEXT(bordro810[[#This Row],[Tarih]],"gggg")</f>
        <v>ADMS</v>
      </c>
      <c r="N92" s="1" t="str">
        <f aca="false">VLOOKUP(B92,PersonelListesi!A$1:G$41,4,FALSE())</f>
        <v>_ŞOFÖR</v>
      </c>
      <c r="O92" s="325"/>
    </row>
    <row r="93" customFormat="false" ht="15" hidden="false" customHeight="false" outlineLevel="0" collapsed="false">
      <c r="A93" s="14" t="n">
        <v>45877</v>
      </c>
      <c r="B93" s="360" t="s">
        <v>102</v>
      </c>
      <c r="C93" s="360" t="s">
        <v>363</v>
      </c>
      <c r="D93" s="361" t="n">
        <v>3</v>
      </c>
      <c r="E93" s="312" t="n">
        <v>230</v>
      </c>
      <c r="F93" s="322" t="n">
        <f aca="false">bordro810[[#This Row],[Saat]]*bordro810[[#This Row],[S.Ücret]]</f>
        <v>690</v>
      </c>
      <c r="G93" s="352" t="n">
        <v>0</v>
      </c>
      <c r="H93" s="352" t="s">
        <v>380</v>
      </c>
      <c r="I93" s="329" t="n">
        <f aca="false">bordro810[[#This Row],[Ödeme]]-bordro810[[#This Row],[M. Tutar]]</f>
        <v>-690</v>
      </c>
      <c r="J93" s="350" t="n">
        <f aca="false">SUMIF(bordro810[Personel],bordro810[[#This Row],[Personel]],F$3:F93)-SUMIF(bordro810[Personel],bordro810[[#This Row],[Personel]],G$3:G93)</f>
        <v>15030</v>
      </c>
      <c r="K93" s="351" t="str">
        <f aca="false">TEXT(bordro810[[#This Row],[Tarih]],"yyyy")</f>
        <v>2025</v>
      </c>
      <c r="L93" s="1" t="str">
        <f aca="false">TEXT(bordro810[[#This Row],[Tarih]],"yyyy/aa")</f>
        <v>2025.aa</v>
      </c>
      <c r="M93" s="1" t="str">
        <f aca="false">TEXT(bordro810[[#This Row],[Tarih]],"gggg")</f>
        <v>ADMS</v>
      </c>
      <c r="N93" s="1" t="str">
        <f aca="false">VLOOKUP(B93,PersonelListesi!A$1:G$41,4,FALSE())</f>
        <v>_ŞOFÖR</v>
      </c>
      <c r="O93" s="325"/>
    </row>
    <row r="94" customFormat="false" ht="15" hidden="false" customHeight="false" outlineLevel="0" collapsed="false">
      <c r="A94" s="14" t="n">
        <v>45877</v>
      </c>
      <c r="B94" s="360" t="s">
        <v>87</v>
      </c>
      <c r="C94" s="360" t="s">
        <v>363</v>
      </c>
      <c r="D94" s="361" t="n">
        <v>3</v>
      </c>
      <c r="E94" s="312" t="n">
        <v>250</v>
      </c>
      <c r="F94" s="322" t="n">
        <f aca="false">bordro810[[#This Row],[Saat]]*bordro810[[#This Row],[S.Ücret]]</f>
        <v>750</v>
      </c>
      <c r="G94" s="352" t="n">
        <v>0</v>
      </c>
      <c r="H94" s="352" t="s">
        <v>380</v>
      </c>
      <c r="I94" s="329" t="n">
        <f aca="false">bordro810[[#This Row],[Ödeme]]-bordro810[[#This Row],[M. Tutar]]</f>
        <v>-750</v>
      </c>
      <c r="J94" s="350" t="n">
        <f aca="false">SUMIF(bordro810[Personel],bordro810[[#This Row],[Personel]],F$3:F94)-SUMIF(bordro810[Personel],bordro810[[#This Row],[Personel]],G$3:G94)</f>
        <v>4750</v>
      </c>
      <c r="K94" s="351" t="str">
        <f aca="false">TEXT(bordro810[[#This Row],[Tarih]],"yyyy")</f>
        <v>2025</v>
      </c>
      <c r="L94" s="1" t="str">
        <f aca="false">TEXT(bordro810[[#This Row],[Tarih]],"yyyy/aa")</f>
        <v>2025.aa</v>
      </c>
      <c r="M94" s="1" t="str">
        <f aca="false">TEXT(bordro810[[#This Row],[Tarih]],"gggg")</f>
        <v>ADMS</v>
      </c>
      <c r="N94" s="1" t="str">
        <f aca="false">VLOOKUP(B94,PersonelListesi!A$1:G$41,4,FALSE())</f>
        <v>_D.ELEMAN</v>
      </c>
      <c r="O94" s="325"/>
    </row>
    <row r="95" customFormat="false" ht="15" hidden="false" customHeight="false" outlineLevel="0" collapsed="false">
      <c r="A95" s="14" t="n">
        <v>45877</v>
      </c>
      <c r="B95" s="360" t="s">
        <v>91</v>
      </c>
      <c r="C95" s="360" t="s">
        <v>363</v>
      </c>
      <c r="D95" s="361" t="n">
        <v>3</v>
      </c>
      <c r="E95" s="312" t="n">
        <v>150</v>
      </c>
      <c r="F95" s="322" t="n">
        <f aca="false">bordro810[[#This Row],[Saat]]*bordro810[[#This Row],[S.Ücret]]</f>
        <v>450</v>
      </c>
      <c r="G95" s="352" t="n">
        <v>0</v>
      </c>
      <c r="H95" s="352" t="s">
        <v>380</v>
      </c>
      <c r="I95" s="329" t="n">
        <f aca="false">bordro810[[#This Row],[Ödeme]]-bordro810[[#This Row],[M. Tutar]]</f>
        <v>-450</v>
      </c>
      <c r="J95" s="350" t="n">
        <f aca="false">SUMIF(bordro810[Personel],bordro810[[#This Row],[Personel]],F$3:F95)-SUMIF(bordro810[Personel],bordro810[[#This Row],[Personel]],G$3:G95)</f>
        <v>9300</v>
      </c>
      <c r="K95" s="351" t="str">
        <f aca="false">TEXT(bordro810[[#This Row],[Tarih]],"yyyy")</f>
        <v>2025</v>
      </c>
      <c r="L95" s="1" t="str">
        <f aca="false">TEXT(bordro810[[#This Row],[Tarih]],"yyyy/aa")</f>
        <v>2025.aa</v>
      </c>
      <c r="M95" s="1" t="str">
        <f aca="false">TEXT(bordro810[[#This Row],[Tarih]],"gggg")</f>
        <v>ADMS</v>
      </c>
      <c r="N95" s="1" t="str">
        <f aca="false">VLOOKUP(B95,PersonelListesi!A$1:G$41,4,FALSE())</f>
        <v>_D.ELEMAN</v>
      </c>
      <c r="O95" s="325"/>
    </row>
    <row r="96" customFormat="false" ht="15" hidden="false" customHeight="false" outlineLevel="0" collapsed="false">
      <c r="A96" s="14" t="n">
        <v>45879</v>
      </c>
      <c r="B96" s="360" t="s">
        <v>121</v>
      </c>
      <c r="C96" s="360" t="s">
        <v>363</v>
      </c>
      <c r="D96" s="361" t="n">
        <v>10</v>
      </c>
      <c r="E96" s="312" t="n">
        <v>250</v>
      </c>
      <c r="F96" s="322" t="n">
        <f aca="false">bordro810[[#This Row],[Saat]]*bordro810[[#This Row],[S.Ücret]]</f>
        <v>2500</v>
      </c>
      <c r="G96" s="352" t="n">
        <v>0</v>
      </c>
      <c r="H96" s="352" t="s">
        <v>369</v>
      </c>
      <c r="I96" s="329" t="n">
        <f aca="false">bordro810[[#This Row],[Ödeme]]-bordro810[[#This Row],[M. Tutar]]</f>
        <v>-2500</v>
      </c>
      <c r="J96" s="350" t="n">
        <f aca="false">SUMIF(bordro810[Personel],bordro810[[#This Row],[Personel]],F$3:F96)-SUMIF(bordro810[Personel],bordro810[[#This Row],[Personel]],G$3:G96)</f>
        <v>6250</v>
      </c>
      <c r="K96" s="351" t="str">
        <f aca="false">TEXT(bordro810[[#This Row],[Tarih]],"yyyy")</f>
        <v>2025</v>
      </c>
      <c r="L96" s="1" t="str">
        <f aca="false">TEXT(bordro810[[#This Row],[Tarih]],"yyyy/aa")</f>
        <v>2025.aa</v>
      </c>
      <c r="M96" s="1" t="str">
        <f aca="false">TEXT(bordro810[[#This Row],[Tarih]],"gggg")</f>
        <v>ADMS</v>
      </c>
      <c r="N96" s="1" t="str">
        <f aca="false">VLOOKUP(B96,PersonelListesi!A$1:G$41,4,FALSE())</f>
        <v>_OPERATÖR</v>
      </c>
      <c r="O96" s="325"/>
    </row>
    <row r="97" customFormat="false" ht="15" hidden="false" customHeight="false" outlineLevel="0" collapsed="false">
      <c r="A97" s="14" t="n">
        <v>45879</v>
      </c>
      <c r="B97" s="360" t="s">
        <v>116</v>
      </c>
      <c r="C97" s="360" t="s">
        <v>363</v>
      </c>
      <c r="D97" s="361" t="n">
        <v>10</v>
      </c>
      <c r="E97" s="312" t="n">
        <v>230</v>
      </c>
      <c r="F97" s="322" t="n">
        <f aca="false">bordro810[[#This Row],[Saat]]*bordro810[[#This Row],[S.Ücret]]</f>
        <v>2300</v>
      </c>
      <c r="G97" s="352" t="n">
        <v>0</v>
      </c>
      <c r="H97" s="352" t="s">
        <v>369</v>
      </c>
      <c r="I97" s="329" t="n">
        <f aca="false">bordro810[[#This Row],[Ödeme]]-bordro810[[#This Row],[M. Tutar]]</f>
        <v>-2300</v>
      </c>
      <c r="J97" s="350" t="n">
        <f aca="false">SUMIF(bordro810[Personel],bordro810[[#This Row],[Personel]],F$3:F97)-SUMIF(bordro810[Personel],bordro810[[#This Row],[Personel]],G$3:G97)</f>
        <v>7820</v>
      </c>
      <c r="K97" s="351" t="str">
        <f aca="false">TEXT(bordro810[[#This Row],[Tarih]],"yyyy")</f>
        <v>2025</v>
      </c>
      <c r="L97" s="1" t="str">
        <f aca="false">TEXT(bordro810[[#This Row],[Tarih]],"yyyy/aa")</f>
        <v>2025.aa</v>
      </c>
      <c r="M97" s="1" t="str">
        <f aca="false">TEXT(bordro810[[#This Row],[Tarih]],"gggg")</f>
        <v>ADMS</v>
      </c>
      <c r="N97" s="1" t="str">
        <f aca="false">VLOOKUP(B97,PersonelListesi!A$1:G$41,4,FALSE())</f>
        <v>_ŞOFÖR</v>
      </c>
      <c r="O97" s="325"/>
    </row>
    <row r="98" customFormat="false" ht="15" hidden="false" customHeight="false" outlineLevel="0" collapsed="false">
      <c r="A98" s="14" t="n">
        <v>45879</v>
      </c>
      <c r="B98" s="360" t="s">
        <v>102</v>
      </c>
      <c r="C98" s="360" t="s">
        <v>363</v>
      </c>
      <c r="D98" s="361" t="n">
        <v>10</v>
      </c>
      <c r="E98" s="312" t="n">
        <v>230</v>
      </c>
      <c r="F98" s="322" t="n">
        <f aca="false">bordro810[[#This Row],[Saat]]*bordro810[[#This Row],[S.Ücret]]</f>
        <v>2300</v>
      </c>
      <c r="G98" s="352" t="n">
        <v>0</v>
      </c>
      <c r="H98" s="352" t="s">
        <v>369</v>
      </c>
      <c r="I98" s="329" t="n">
        <f aca="false">bordro810[[#This Row],[Ödeme]]-bordro810[[#This Row],[M. Tutar]]</f>
        <v>-2300</v>
      </c>
      <c r="J98" s="350" t="n">
        <f aca="false">SUMIF(bordro810[Personel],bordro810[[#This Row],[Personel]],F$3:F98)-SUMIF(bordro810[Personel],bordro810[[#This Row],[Personel]],G$3:G98)</f>
        <v>15030</v>
      </c>
      <c r="K98" s="351" t="str">
        <f aca="false">TEXT(bordro810[[#This Row],[Tarih]],"yyyy")</f>
        <v>2025</v>
      </c>
      <c r="L98" s="1" t="str">
        <f aca="false">TEXT(bordro810[[#This Row],[Tarih]],"yyyy/aa")</f>
        <v>2025.aa</v>
      </c>
      <c r="M98" s="1" t="str">
        <f aca="false">TEXT(bordro810[[#This Row],[Tarih]],"gggg")</f>
        <v>ADMS</v>
      </c>
      <c r="N98" s="1" t="str">
        <f aca="false">VLOOKUP(B98,PersonelListesi!A$1:G$41,4,FALSE())</f>
        <v>_ŞOFÖR</v>
      </c>
      <c r="O98" s="325"/>
    </row>
    <row r="99" customFormat="false" ht="15" hidden="false" customHeight="false" outlineLevel="0" collapsed="false">
      <c r="A99" s="14" t="n">
        <v>45879</v>
      </c>
      <c r="B99" s="360" t="s">
        <v>87</v>
      </c>
      <c r="C99" s="360" t="s">
        <v>363</v>
      </c>
      <c r="D99" s="361" t="n">
        <v>10</v>
      </c>
      <c r="E99" s="312" t="n">
        <v>250</v>
      </c>
      <c r="F99" s="322" t="n">
        <f aca="false">bordro810[[#This Row],[Saat]]*bordro810[[#This Row],[S.Ücret]]</f>
        <v>2500</v>
      </c>
      <c r="G99" s="352" t="n">
        <v>0</v>
      </c>
      <c r="H99" s="352" t="s">
        <v>369</v>
      </c>
      <c r="I99" s="329" t="n">
        <f aca="false">bordro810[[#This Row],[Ödeme]]-bordro810[[#This Row],[M. Tutar]]</f>
        <v>-2500</v>
      </c>
      <c r="J99" s="350" t="n">
        <f aca="false">SUMIF(bordro810[Personel],bordro810[[#This Row],[Personel]],F$3:F99)-SUMIF(bordro810[Personel],bordro810[[#This Row],[Personel]],G$3:G99)</f>
        <v>4750</v>
      </c>
      <c r="K99" s="351" t="str">
        <f aca="false">TEXT(bordro810[[#This Row],[Tarih]],"yyyy")</f>
        <v>2025</v>
      </c>
      <c r="L99" s="1" t="str">
        <f aca="false">TEXT(bordro810[[#This Row],[Tarih]],"yyyy/aa")</f>
        <v>2025.aa</v>
      </c>
      <c r="M99" s="1" t="str">
        <f aca="false">TEXT(bordro810[[#This Row],[Tarih]],"gggg")</f>
        <v>ADMS</v>
      </c>
      <c r="N99" s="1" t="str">
        <f aca="false">VLOOKUP(B99,PersonelListesi!A$1:G$41,4,FALSE())</f>
        <v>_D.ELEMAN</v>
      </c>
      <c r="O99" s="325"/>
    </row>
    <row r="100" customFormat="false" ht="15" hidden="false" customHeight="false" outlineLevel="0" collapsed="false">
      <c r="A100" s="14" t="n">
        <v>45879</v>
      </c>
      <c r="B100" s="360" t="s">
        <v>91</v>
      </c>
      <c r="C100" s="360" t="s">
        <v>363</v>
      </c>
      <c r="D100" s="361" t="n">
        <v>30</v>
      </c>
      <c r="E100" s="312" t="n">
        <v>150</v>
      </c>
      <c r="F100" s="322" t="n">
        <f aca="false">bordro810[[#This Row],[Saat]]*bordro810[[#This Row],[S.Ücret]]</f>
        <v>4500</v>
      </c>
      <c r="G100" s="352" t="n">
        <v>0</v>
      </c>
      <c r="H100" s="352" t="s">
        <v>369</v>
      </c>
      <c r="I100" s="329" t="n">
        <f aca="false">bordro810[[#This Row],[Ödeme]]-bordro810[[#This Row],[M. Tutar]]</f>
        <v>-4500</v>
      </c>
      <c r="J100" s="350" t="n">
        <f aca="false">SUMIF(bordro810[Personel],bordro810[[#This Row],[Personel]],F$3:F100)-SUMIF(bordro810[Personel],bordro810[[#This Row],[Personel]],G$3:G100)</f>
        <v>9300</v>
      </c>
      <c r="K100" s="351" t="str">
        <f aca="false">TEXT(bordro810[[#This Row],[Tarih]],"yyyy")</f>
        <v>2025</v>
      </c>
      <c r="L100" s="1" t="str">
        <f aca="false">TEXT(bordro810[[#This Row],[Tarih]],"yyyy/aa")</f>
        <v>2025.aa</v>
      </c>
      <c r="M100" s="1" t="str">
        <f aca="false">TEXT(bordro810[[#This Row],[Tarih]],"gggg")</f>
        <v>ADMS</v>
      </c>
      <c r="N100" s="1" t="str">
        <f aca="false">VLOOKUP(B100,PersonelListesi!A$1:G$41,4,FALSE())</f>
        <v>_D.ELEMAN</v>
      </c>
      <c r="O100" s="325"/>
    </row>
    <row r="101" customFormat="false" ht="15" hidden="false" customHeight="false" outlineLevel="0" collapsed="false">
      <c r="A101" s="14" t="n">
        <v>45879</v>
      </c>
      <c r="B101" s="360" t="s">
        <v>93</v>
      </c>
      <c r="C101" s="360" t="s">
        <v>363</v>
      </c>
      <c r="D101" s="361" t="n">
        <v>10</v>
      </c>
      <c r="E101" s="312" t="n">
        <f aca="false">VLOOKUP(B101,PersonelListesi!A$1:G$47,5,FALSE())</f>
        <v>250</v>
      </c>
      <c r="F101" s="322" t="n">
        <f aca="false">bordro810[[#This Row],[Saat]]*bordro810[[#This Row],[S.Ücret]]</f>
        <v>2500</v>
      </c>
      <c r="G101" s="352" t="n">
        <v>0</v>
      </c>
      <c r="H101" s="352" t="s">
        <v>369</v>
      </c>
      <c r="I101" s="329" t="n">
        <f aca="false">bordro810[[#This Row],[Ödeme]]-bordro810[[#This Row],[M. Tutar]]</f>
        <v>-2500</v>
      </c>
      <c r="J101" s="350" t="n">
        <f aca="false">SUMIF(bordro810[Personel],bordro810[[#This Row],[Personel]],F$3:F101)-SUMIF(bordro810[Personel],bordro810[[#This Row],[Personel]],G$3:G101)</f>
        <v>8550</v>
      </c>
      <c r="K101" s="351" t="str">
        <f aca="false">TEXT(bordro810[[#This Row],[Tarih]],"yyyy")</f>
        <v>2025</v>
      </c>
      <c r="L101" s="1" t="str">
        <f aca="false">TEXT(bordro810[[#This Row],[Tarih]],"yyyy/aa")</f>
        <v>2025.aa</v>
      </c>
      <c r="M101" s="1" t="str">
        <f aca="false">TEXT(bordro810[[#This Row],[Tarih]],"gggg")</f>
        <v>ADMS</v>
      </c>
      <c r="N101" s="1" t="str">
        <f aca="false">VLOOKUP(B101,PersonelListesi!A$1:G$41,4,FALSE())</f>
        <v>_OPERATÖR</v>
      </c>
      <c r="O101" s="325"/>
    </row>
    <row r="102" customFormat="false" ht="15" hidden="false" customHeight="false" outlineLevel="0" collapsed="false">
      <c r="A102" s="14" t="n">
        <v>45879</v>
      </c>
      <c r="B102" s="355" t="s">
        <v>100</v>
      </c>
      <c r="C102" s="355" t="s">
        <v>363</v>
      </c>
      <c r="D102" s="361" t="n">
        <v>10</v>
      </c>
      <c r="E102" s="312" t="n">
        <v>230</v>
      </c>
      <c r="F102" s="322" t="n">
        <f aca="false">bordro810[[#This Row],[Saat]]*bordro810[[#This Row],[S.Ücret]]</f>
        <v>2300</v>
      </c>
      <c r="G102" s="352" t="n">
        <v>0</v>
      </c>
      <c r="H102" s="352" t="s">
        <v>369</v>
      </c>
      <c r="I102" s="329" t="n">
        <f aca="false">bordro810[[#This Row],[Ödeme]]-bordro810[[#This Row],[M. Tutar]]</f>
        <v>-2300</v>
      </c>
      <c r="J102" s="350" t="n">
        <f aca="false">SUMIF(bordro810[Personel],bordro810[[#This Row],[Personel]],F$3:F102)-SUMIF(bordro810[Personel],bordro810[[#This Row],[Personel]],G$3:G102)</f>
        <v>17240</v>
      </c>
      <c r="K102" s="351" t="str">
        <f aca="false">TEXT(bordro810[[#This Row],[Tarih]],"yyyy")</f>
        <v>2025</v>
      </c>
      <c r="L102" s="1" t="str">
        <f aca="false">TEXT(bordro810[[#This Row],[Tarih]],"yyyy/aa")</f>
        <v>2025.aa</v>
      </c>
      <c r="M102" s="1" t="str">
        <f aca="false">TEXT(bordro810[[#This Row],[Tarih]],"gggg")</f>
        <v>ADMS</v>
      </c>
      <c r="N102" s="1" t="str">
        <f aca="false">VLOOKUP(B102,PersonelListesi!A$1:G$41,4,FALSE())</f>
        <v>_KANTAR</v>
      </c>
      <c r="O102" s="325"/>
    </row>
    <row r="103" customFormat="false" ht="15" hidden="false" customHeight="false" outlineLevel="0" collapsed="false">
      <c r="A103" s="14" t="n">
        <v>45881</v>
      </c>
      <c r="B103" s="355" t="s">
        <v>121</v>
      </c>
      <c r="C103" s="355" t="s">
        <v>363</v>
      </c>
      <c r="D103" s="361" t="n">
        <v>3</v>
      </c>
      <c r="E103" s="312" t="n">
        <v>250</v>
      </c>
      <c r="F103" s="322" t="n">
        <f aca="false">bordro810[[#This Row],[Saat]]*bordro810[[#This Row],[S.Ücret]]</f>
        <v>750</v>
      </c>
      <c r="G103" s="352" t="n">
        <v>0</v>
      </c>
      <c r="H103" s="362" t="s">
        <v>381</v>
      </c>
      <c r="I103" s="329" t="n">
        <f aca="false">bordro810[[#This Row],[Ödeme]]-bordro810[[#This Row],[M. Tutar]]</f>
        <v>-750</v>
      </c>
      <c r="J103" s="350" t="n">
        <f aca="false">SUMIF(bordro810[Personel],bordro810[[#This Row],[Personel]],F$3:F103)-SUMIF(bordro810[Personel],bordro810[[#This Row],[Personel]],G$3:G103)</f>
        <v>6250</v>
      </c>
      <c r="K103" s="351" t="str">
        <f aca="false">TEXT(bordro810[[#This Row],[Tarih]],"yyyy")</f>
        <v>2025</v>
      </c>
      <c r="L103" s="1" t="str">
        <f aca="false">TEXT(bordro810[[#This Row],[Tarih]],"yyyy/aa")</f>
        <v>2025.aa</v>
      </c>
      <c r="M103" s="1" t="str">
        <f aca="false">TEXT(bordro810[[#This Row],[Tarih]],"gggg")</f>
        <v>ADMS</v>
      </c>
      <c r="N103" s="1" t="str">
        <f aca="false">VLOOKUP(B103,PersonelListesi!A$1:G$41,4,FALSE())</f>
        <v>_OPERATÖR</v>
      </c>
      <c r="O103" s="325"/>
    </row>
    <row r="104" customFormat="false" ht="15" hidden="false" customHeight="false" outlineLevel="0" collapsed="false">
      <c r="A104" s="14" t="n">
        <v>45881</v>
      </c>
      <c r="B104" s="355" t="s">
        <v>95</v>
      </c>
      <c r="C104" s="355" t="s">
        <v>363</v>
      </c>
      <c r="D104" s="361" t="n">
        <v>3</v>
      </c>
      <c r="E104" s="312" t="n">
        <v>230</v>
      </c>
      <c r="F104" s="322" t="n">
        <f aca="false">bordro810[[#This Row],[Saat]]*bordro810[[#This Row],[S.Ücret]]</f>
        <v>690</v>
      </c>
      <c r="G104" s="352" t="n">
        <v>0</v>
      </c>
      <c r="H104" s="362" t="s">
        <v>381</v>
      </c>
      <c r="I104" s="329" t="n">
        <f aca="false">bordro810[[#This Row],[Ödeme]]-bordro810[[#This Row],[M. Tutar]]</f>
        <v>-690</v>
      </c>
      <c r="J104" s="350" t="n">
        <f aca="false">SUMIF(bordro810[Personel],bordro810[[#This Row],[Personel]],F$3:F104)-SUMIF(bordro810[Personel],bordro810[[#This Row],[Personel]],G$3:G104)</f>
        <v>5060</v>
      </c>
      <c r="K104" s="351" t="str">
        <f aca="false">TEXT(bordro810[[#This Row],[Tarih]],"yyyy")</f>
        <v>2025</v>
      </c>
      <c r="L104" s="1" t="str">
        <f aca="false">TEXT(bordro810[[#This Row],[Tarih]],"yyyy/aa")</f>
        <v>2025.aa</v>
      </c>
      <c r="M104" s="1" t="str">
        <f aca="false">TEXT(bordro810[[#This Row],[Tarih]],"gggg")</f>
        <v>ADMS</v>
      </c>
      <c r="N104" s="1" t="str">
        <f aca="false">VLOOKUP(B104,PersonelListesi!A$1:G$41,4,FALSE())</f>
        <v>_ŞOFÖR</v>
      </c>
      <c r="O104" s="363"/>
      <c r="R104" s="358" t="s">
        <v>399</v>
      </c>
    </row>
    <row r="105" customFormat="false" ht="15" hidden="false" customHeight="false" outlineLevel="0" collapsed="false">
      <c r="A105" s="14" t="n">
        <v>45881</v>
      </c>
      <c r="B105" s="355" t="s">
        <v>116</v>
      </c>
      <c r="C105" s="355" t="s">
        <v>363</v>
      </c>
      <c r="D105" s="361" t="n">
        <v>3</v>
      </c>
      <c r="E105" s="312" t="n">
        <v>230</v>
      </c>
      <c r="F105" s="322" t="n">
        <f aca="false">bordro810[[#This Row],[Saat]]*bordro810[[#This Row],[S.Ücret]]</f>
        <v>690</v>
      </c>
      <c r="G105" s="352" t="n">
        <v>0</v>
      </c>
      <c r="H105" s="362" t="s">
        <v>381</v>
      </c>
      <c r="I105" s="329" t="n">
        <f aca="false">bordro810[[#This Row],[Ödeme]]-bordro810[[#This Row],[M. Tutar]]</f>
        <v>-690</v>
      </c>
      <c r="J105" s="350" t="n">
        <f aca="false">SUMIF(bordro810[Personel],bordro810[[#This Row],[Personel]],F$3:F105)-SUMIF(bordro810[Personel],bordro810[[#This Row],[Personel]],G$3:G105)</f>
        <v>7820</v>
      </c>
      <c r="K105" s="351" t="str">
        <f aca="false">TEXT(bordro810[[#This Row],[Tarih]],"yyyy")</f>
        <v>2025</v>
      </c>
      <c r="L105" s="1" t="str">
        <f aca="false">TEXT(bordro810[[#This Row],[Tarih]],"yyyy/aa")</f>
        <v>2025.aa</v>
      </c>
      <c r="M105" s="1" t="str">
        <f aca="false">TEXT(bordro810[[#This Row],[Tarih]],"gggg")</f>
        <v>ADMS</v>
      </c>
      <c r="N105" s="1" t="str">
        <f aca="false">VLOOKUP(B105,PersonelListesi!A$1:G$41,4,FALSE())</f>
        <v>_ŞOFÖR</v>
      </c>
      <c r="O105" s="363"/>
      <c r="R105" s="358" t="s">
        <v>400</v>
      </c>
      <c r="S105" s="358" t="s">
        <v>401</v>
      </c>
    </row>
    <row r="106" customFormat="false" ht="15" hidden="false" customHeight="false" outlineLevel="0" collapsed="false">
      <c r="A106" s="14" t="n">
        <v>45881</v>
      </c>
      <c r="B106" s="355" t="s">
        <v>85</v>
      </c>
      <c r="C106" s="355" t="s">
        <v>363</v>
      </c>
      <c r="D106" s="361" t="n">
        <v>3</v>
      </c>
      <c r="E106" s="312" t="n">
        <v>230</v>
      </c>
      <c r="F106" s="322" t="n">
        <f aca="false">bordro810[[#This Row],[Saat]]*bordro810[[#This Row],[S.Ücret]]</f>
        <v>690</v>
      </c>
      <c r="G106" s="352" t="n">
        <v>0</v>
      </c>
      <c r="H106" s="362" t="s">
        <v>381</v>
      </c>
      <c r="I106" s="329" t="n">
        <f aca="false">bordro810[[#This Row],[Ödeme]]-bordro810[[#This Row],[M. Tutar]]</f>
        <v>-690</v>
      </c>
      <c r="J106" s="350" t="n">
        <f aca="false">SUMIF(bordro810[Personel],bordro810[[#This Row],[Personel]],F$3:F106)-SUMIF(bordro810[Personel],bordro810[[#This Row],[Personel]],G$3:G106)</f>
        <v>19740</v>
      </c>
      <c r="K106" s="351" t="str">
        <f aca="false">TEXT(bordro810[[#This Row],[Tarih]],"yyyy")</f>
        <v>2025</v>
      </c>
      <c r="L106" s="1" t="str">
        <f aca="false">TEXT(bordro810[[#This Row],[Tarih]],"yyyy/aa")</f>
        <v>2025.aa</v>
      </c>
      <c r="M106" s="1" t="str">
        <f aca="false">TEXT(bordro810[[#This Row],[Tarih]],"gggg")</f>
        <v>ADMS</v>
      </c>
      <c r="N106" s="1" t="str">
        <f aca="false">VLOOKUP(B106,PersonelListesi!A$1:G$41,4,FALSE())</f>
        <v>_D.ELEMAN</v>
      </c>
      <c r="O106" s="363"/>
      <c r="R106" s="358" t="s">
        <v>402</v>
      </c>
      <c r="S106" s="358" t="s">
        <v>403</v>
      </c>
    </row>
    <row r="107" customFormat="false" ht="15" hidden="false" customHeight="false" outlineLevel="0" collapsed="false">
      <c r="A107" s="14" t="n">
        <v>45881</v>
      </c>
      <c r="B107" s="355" t="s">
        <v>91</v>
      </c>
      <c r="C107" s="355" t="s">
        <v>363</v>
      </c>
      <c r="D107" s="361" t="n">
        <v>3</v>
      </c>
      <c r="E107" s="312" t="n">
        <v>150</v>
      </c>
      <c r="F107" s="322" t="n">
        <f aca="false">bordro810[[#This Row],[Saat]]*bordro810[[#This Row],[S.Ücret]]</f>
        <v>450</v>
      </c>
      <c r="G107" s="352" t="n">
        <v>0</v>
      </c>
      <c r="H107" s="362" t="s">
        <v>381</v>
      </c>
      <c r="I107" s="329" t="n">
        <f aca="false">bordro810[[#This Row],[Ödeme]]-bordro810[[#This Row],[M. Tutar]]</f>
        <v>-450</v>
      </c>
      <c r="J107" s="350" t="n">
        <f aca="false">SUMIF(bordro810[Personel],bordro810[[#This Row],[Personel]],F$3:F107)-SUMIF(bordro810[Personel],bordro810[[#This Row],[Personel]],G$3:G107)</f>
        <v>9300</v>
      </c>
      <c r="K107" s="351" t="str">
        <f aca="false">TEXT(bordro810[[#This Row],[Tarih]],"yyyy")</f>
        <v>2025</v>
      </c>
      <c r="L107" s="1" t="str">
        <f aca="false">TEXT(bordro810[[#This Row],[Tarih]],"yyyy/aa")</f>
        <v>2025.aa</v>
      </c>
      <c r="M107" s="1" t="str">
        <f aca="false">TEXT(bordro810[[#This Row],[Tarih]],"gggg")</f>
        <v>ADMS</v>
      </c>
      <c r="N107" s="1" t="str">
        <f aca="false">VLOOKUP(B107,PersonelListesi!A$1:G$41,4,FALSE())</f>
        <v>_D.ELEMAN</v>
      </c>
      <c r="O107" s="363"/>
    </row>
    <row r="108" customFormat="false" ht="15" hidden="false" customHeight="false" outlineLevel="0" collapsed="false">
      <c r="A108" s="14" t="n">
        <v>45882</v>
      </c>
      <c r="B108" s="355" t="s">
        <v>121</v>
      </c>
      <c r="C108" s="355" t="s">
        <v>363</v>
      </c>
      <c r="D108" s="361" t="n">
        <v>3</v>
      </c>
      <c r="E108" s="312" t="n">
        <v>250</v>
      </c>
      <c r="F108" s="322" t="n">
        <f aca="false">bordro810[[#This Row],[Saat]]*bordro810[[#This Row],[S.Ücret]]</f>
        <v>750</v>
      </c>
      <c r="G108" s="352" t="n">
        <v>0</v>
      </c>
      <c r="H108" s="362" t="s">
        <v>378</v>
      </c>
      <c r="I108" s="329" t="n">
        <f aca="false">bordro810[[#This Row],[Ödeme]]-bordro810[[#This Row],[M. Tutar]]</f>
        <v>-750</v>
      </c>
      <c r="J108" s="350" t="n">
        <f aca="false">SUMIF(bordro810[Personel],bordro810[[#This Row],[Personel]],F$3:F108)-SUMIF(bordro810[Personel],bordro810[[#This Row],[Personel]],G$3:G108)</f>
        <v>6250</v>
      </c>
      <c r="K108" s="351" t="str">
        <f aca="false">TEXT(bordro810[[#This Row],[Tarih]],"yyyy")</f>
        <v>2025</v>
      </c>
      <c r="L108" s="1" t="str">
        <f aca="false">TEXT(bordro810[[#This Row],[Tarih]],"yyyy/aa")</f>
        <v>2025.aa</v>
      </c>
      <c r="M108" s="1" t="str">
        <f aca="false">TEXT(bordro810[[#This Row],[Tarih]],"gggg")</f>
        <v>ADMS</v>
      </c>
      <c r="N108" s="1" t="str">
        <f aca="false">VLOOKUP(B108,PersonelListesi!A$1:G$41,4,FALSE())</f>
        <v>_OPERATÖR</v>
      </c>
      <c r="O108" s="363"/>
    </row>
    <row r="109" customFormat="false" ht="15" hidden="false" customHeight="false" outlineLevel="0" collapsed="false">
      <c r="A109" s="14" t="n">
        <v>45882</v>
      </c>
      <c r="B109" s="355" t="s">
        <v>95</v>
      </c>
      <c r="C109" s="355" t="s">
        <v>363</v>
      </c>
      <c r="D109" s="361" t="n">
        <v>3</v>
      </c>
      <c r="E109" s="312" t="n">
        <v>230</v>
      </c>
      <c r="F109" s="322" t="n">
        <f aca="false">bordro810[[#This Row],[Saat]]*bordro810[[#This Row],[S.Ücret]]</f>
        <v>690</v>
      </c>
      <c r="G109" s="352" t="n">
        <v>0</v>
      </c>
      <c r="H109" s="362" t="s">
        <v>378</v>
      </c>
      <c r="I109" s="329" t="n">
        <f aca="false">bordro810[[#This Row],[Ödeme]]-bordro810[[#This Row],[M. Tutar]]</f>
        <v>-690</v>
      </c>
      <c r="J109" s="350" t="n">
        <f aca="false">SUMIF(bordro810[Personel],bordro810[[#This Row],[Personel]],F$3:F109)-SUMIF(bordro810[Personel],bordro810[[#This Row],[Personel]],G$3:G109)</f>
        <v>5060</v>
      </c>
      <c r="K109" s="351" t="str">
        <f aca="false">TEXT(bordro810[[#This Row],[Tarih]],"yyyy")</f>
        <v>2025</v>
      </c>
      <c r="L109" s="1" t="str">
        <f aca="false">TEXT(bordro810[[#This Row],[Tarih]],"yyyy/aa")</f>
        <v>2025.aa</v>
      </c>
      <c r="M109" s="1" t="str">
        <f aca="false">TEXT(bordro810[[#This Row],[Tarih]],"gggg")</f>
        <v>ADMS</v>
      </c>
      <c r="N109" s="1" t="str">
        <f aca="false">VLOOKUP(B109,PersonelListesi!A$1:G$41,4,FALSE())</f>
        <v>_ŞOFÖR</v>
      </c>
      <c r="O109" s="363"/>
    </row>
    <row r="110" customFormat="false" ht="15" hidden="false" customHeight="false" outlineLevel="0" collapsed="false">
      <c r="A110" s="14" t="n">
        <v>45882</v>
      </c>
      <c r="B110" s="355" t="s">
        <v>102</v>
      </c>
      <c r="C110" s="355" t="s">
        <v>363</v>
      </c>
      <c r="D110" s="361" t="n">
        <v>3</v>
      </c>
      <c r="E110" s="312" t="n">
        <v>230</v>
      </c>
      <c r="F110" s="322" t="n">
        <f aca="false">bordro810[[#This Row],[Saat]]*bordro810[[#This Row],[S.Ücret]]</f>
        <v>690</v>
      </c>
      <c r="G110" s="352" t="n">
        <v>0</v>
      </c>
      <c r="H110" s="362" t="s">
        <v>378</v>
      </c>
      <c r="I110" s="329" t="n">
        <f aca="false">bordro810[[#This Row],[Ödeme]]-bordro810[[#This Row],[M. Tutar]]</f>
        <v>-690</v>
      </c>
      <c r="J110" s="350" t="n">
        <f aca="false">SUMIF(bordro810[Personel],bordro810[[#This Row],[Personel]],F$3:F110)-SUMIF(bordro810[Personel],bordro810[[#This Row],[Personel]],G$3:G110)</f>
        <v>15030</v>
      </c>
      <c r="K110" s="351" t="str">
        <f aca="false">TEXT(bordro810[[#This Row],[Tarih]],"yyyy")</f>
        <v>2025</v>
      </c>
      <c r="L110" s="1" t="str">
        <f aca="false">TEXT(bordro810[[#This Row],[Tarih]],"yyyy/aa")</f>
        <v>2025.aa</v>
      </c>
      <c r="M110" s="1" t="str">
        <f aca="false">TEXT(bordro810[[#This Row],[Tarih]],"gggg")</f>
        <v>ADMS</v>
      </c>
      <c r="N110" s="1" t="str">
        <f aca="false">VLOOKUP(B110,PersonelListesi!A$1:G$41,4,FALSE())</f>
        <v>_ŞOFÖR</v>
      </c>
      <c r="O110" s="363"/>
    </row>
    <row r="111" customFormat="false" ht="15" hidden="false" customHeight="false" outlineLevel="0" collapsed="false">
      <c r="A111" s="14" t="n">
        <v>45882</v>
      </c>
      <c r="B111" s="355" t="s">
        <v>116</v>
      </c>
      <c r="C111" s="355" t="s">
        <v>363</v>
      </c>
      <c r="D111" s="361" t="n">
        <v>3</v>
      </c>
      <c r="E111" s="312" t="n">
        <v>230</v>
      </c>
      <c r="F111" s="322" t="n">
        <f aca="false">bordro810[[#This Row],[Saat]]*bordro810[[#This Row],[S.Ücret]]</f>
        <v>690</v>
      </c>
      <c r="G111" s="352" t="n">
        <v>0</v>
      </c>
      <c r="H111" s="362" t="s">
        <v>378</v>
      </c>
      <c r="I111" s="329" t="n">
        <f aca="false">bordro810[[#This Row],[Ödeme]]-bordro810[[#This Row],[M. Tutar]]</f>
        <v>-690</v>
      </c>
      <c r="J111" s="350" t="n">
        <f aca="false">SUMIF(bordro810[Personel],bordro810[[#This Row],[Personel]],F$3:F111)-SUMIF(bordro810[Personel],bordro810[[#This Row],[Personel]],G$3:G111)</f>
        <v>7820</v>
      </c>
      <c r="K111" s="351" t="str">
        <f aca="false">TEXT(bordro810[[#This Row],[Tarih]],"yyyy")</f>
        <v>2025</v>
      </c>
      <c r="L111" s="1" t="str">
        <f aca="false">TEXT(bordro810[[#This Row],[Tarih]],"yyyy/aa")</f>
        <v>2025.aa</v>
      </c>
      <c r="M111" s="1" t="str">
        <f aca="false">TEXT(bordro810[[#This Row],[Tarih]],"gggg")</f>
        <v>ADMS</v>
      </c>
      <c r="N111" s="1" t="str">
        <f aca="false">VLOOKUP(B111,PersonelListesi!A$1:G$41,4,FALSE())</f>
        <v>_ŞOFÖR</v>
      </c>
      <c r="O111" s="363"/>
    </row>
    <row r="112" customFormat="false" ht="15" hidden="false" customHeight="false" outlineLevel="0" collapsed="false">
      <c r="A112" s="14" t="n">
        <v>45882</v>
      </c>
      <c r="B112" s="355" t="s">
        <v>93</v>
      </c>
      <c r="C112" s="355" t="s">
        <v>363</v>
      </c>
      <c r="D112" s="361" t="n">
        <v>3</v>
      </c>
      <c r="E112" s="312" t="n">
        <f aca="false">VLOOKUP(B112,PersonelListesi!A$1:G$47,5,FALSE())</f>
        <v>250</v>
      </c>
      <c r="F112" s="322" t="n">
        <f aca="false">bordro810[[#This Row],[Saat]]*bordro810[[#This Row],[S.Ücret]]</f>
        <v>750</v>
      </c>
      <c r="G112" s="352" t="n">
        <v>0</v>
      </c>
      <c r="H112" s="362" t="s">
        <v>378</v>
      </c>
      <c r="I112" s="329" t="n">
        <f aca="false">bordro810[[#This Row],[Ödeme]]-bordro810[[#This Row],[M. Tutar]]</f>
        <v>-750</v>
      </c>
      <c r="J112" s="350" t="n">
        <f aca="false">SUMIF(bordro810[Personel],bordro810[[#This Row],[Personel]],F$3:F112)-SUMIF(bordro810[Personel],bordro810[[#This Row],[Personel]],G$3:G112)</f>
        <v>8550</v>
      </c>
      <c r="K112" s="351" t="str">
        <f aca="false">TEXT(bordro810[[#This Row],[Tarih]],"yyyy")</f>
        <v>2025</v>
      </c>
      <c r="L112" s="1" t="str">
        <f aca="false">TEXT(bordro810[[#This Row],[Tarih]],"yyyy/aa")</f>
        <v>2025.aa</v>
      </c>
      <c r="M112" s="1" t="str">
        <f aca="false">TEXT(bordro810[[#This Row],[Tarih]],"gggg")</f>
        <v>ADMS</v>
      </c>
      <c r="N112" s="1" t="str">
        <f aca="false">VLOOKUP(B112,PersonelListesi!A$1:G$41,4,FALSE())</f>
        <v>_OPERATÖR</v>
      </c>
      <c r="O112" s="363"/>
    </row>
    <row r="113" customFormat="false" ht="15" hidden="false" customHeight="false" outlineLevel="0" collapsed="false">
      <c r="A113" s="14" t="n">
        <v>45882</v>
      </c>
      <c r="B113" s="355" t="s">
        <v>87</v>
      </c>
      <c r="C113" s="355" t="s">
        <v>363</v>
      </c>
      <c r="D113" s="361" t="n">
        <v>3</v>
      </c>
      <c r="E113" s="312" t="n">
        <f aca="false">VLOOKUP(B113,PersonelListesi!A$1:G$47,5,FALSE())</f>
        <v>250</v>
      </c>
      <c r="F113" s="322" t="n">
        <f aca="false">bordro810[[#This Row],[Saat]]*bordro810[[#This Row],[S.Ücret]]</f>
        <v>750</v>
      </c>
      <c r="G113" s="352" t="n">
        <v>0</v>
      </c>
      <c r="H113" s="362" t="s">
        <v>378</v>
      </c>
      <c r="I113" s="329" t="n">
        <f aca="false">bordro810[[#This Row],[Ödeme]]-bordro810[[#This Row],[M. Tutar]]</f>
        <v>-750</v>
      </c>
      <c r="J113" s="350" t="n">
        <f aca="false">SUMIF(bordro810[Personel],bordro810[[#This Row],[Personel]],F$3:F113)-SUMIF(bordro810[Personel],bordro810[[#This Row],[Personel]],G$3:G113)</f>
        <v>4750</v>
      </c>
      <c r="K113" s="351" t="str">
        <f aca="false">TEXT(bordro810[[#This Row],[Tarih]],"yyyy")</f>
        <v>2025</v>
      </c>
      <c r="L113" s="1" t="str">
        <f aca="false">TEXT(bordro810[[#This Row],[Tarih]],"yyyy/aa")</f>
        <v>2025.aa</v>
      </c>
      <c r="M113" s="1" t="str">
        <f aca="false">TEXT(bordro810[[#This Row],[Tarih]],"gggg")</f>
        <v>ADMS</v>
      </c>
      <c r="N113" s="1" t="str">
        <f aca="false">VLOOKUP(B113,PersonelListesi!A$1:G$41,4,FALSE())</f>
        <v>_D.ELEMAN</v>
      </c>
      <c r="O113" s="363"/>
    </row>
    <row r="114" customFormat="false" ht="15" hidden="false" customHeight="false" outlineLevel="0" collapsed="false">
      <c r="A114" s="14" t="n">
        <v>45883</v>
      </c>
      <c r="B114" s="355" t="s">
        <v>121</v>
      </c>
      <c r="C114" s="355" t="s">
        <v>363</v>
      </c>
      <c r="D114" s="361" t="n">
        <v>3</v>
      </c>
      <c r="E114" s="312" t="n">
        <f aca="false">VLOOKUP(B114,PersonelListesi!A$1:G$47,5,FALSE())</f>
        <v>250</v>
      </c>
      <c r="F114" s="322" t="n">
        <f aca="false">bordro810[[#This Row],[Saat]]*bordro810[[#This Row],[S.Ücret]]</f>
        <v>750</v>
      </c>
      <c r="G114" s="352" t="n">
        <v>0</v>
      </c>
      <c r="H114" s="352"/>
      <c r="I114" s="329" t="n">
        <f aca="false">bordro810[[#This Row],[Ödeme]]-bordro810[[#This Row],[M. Tutar]]</f>
        <v>-750</v>
      </c>
      <c r="J114" s="350" t="n">
        <f aca="false">SUMIF(bordro810[Personel],bordro810[[#This Row],[Personel]],F$3:F114)-SUMIF(bordro810[Personel],bordro810[[#This Row],[Personel]],G$3:G114)</f>
        <v>6250</v>
      </c>
      <c r="K114" s="351" t="str">
        <f aca="false">TEXT(bordro810[[#This Row],[Tarih]],"yyyy")</f>
        <v>2025</v>
      </c>
      <c r="L114" s="1" t="str">
        <f aca="false">TEXT(bordro810[[#This Row],[Tarih]],"yyyy/aa")</f>
        <v>2025.aa</v>
      </c>
      <c r="M114" s="1" t="str">
        <f aca="false">TEXT(bordro810[[#This Row],[Tarih]],"gggg")</f>
        <v>ADMS</v>
      </c>
      <c r="N114" s="1" t="str">
        <f aca="false">VLOOKUP(B114,PersonelListesi!A$1:G$41,4,FALSE())</f>
        <v>_OPERATÖR</v>
      </c>
      <c r="O114" s="363"/>
    </row>
    <row r="115" customFormat="false" ht="15" hidden="false" customHeight="false" outlineLevel="0" collapsed="false">
      <c r="A115" s="14" t="n">
        <v>45883</v>
      </c>
      <c r="B115" s="364" t="s">
        <v>95</v>
      </c>
      <c r="C115" s="364"/>
      <c r="D115" s="361"/>
      <c r="E115" s="312" t="n">
        <f aca="false">VLOOKUP(B115,PersonelListesi!A$1:G$47,5,FALSE())</f>
        <v>200</v>
      </c>
      <c r="F115" s="322" t="n">
        <f aca="false">bordro810[[#This Row],[Saat]]*bordro810[[#This Row],[S.Ücret]]</f>
        <v>0</v>
      </c>
      <c r="G115" s="352" t="n">
        <v>0</v>
      </c>
      <c r="H115" s="352"/>
      <c r="I115" s="329" t="n">
        <f aca="false">bordro810[[#This Row],[Ödeme]]-bordro810[[#This Row],[M. Tutar]]</f>
        <v>0</v>
      </c>
      <c r="J115" s="350" t="n">
        <f aca="false">SUMIF(bordro810[Personel],bordro810[[#This Row],[Personel]],F$3:F115)-SUMIF(bordro810[Personel],bordro810[[#This Row],[Personel]],G$3:G115)</f>
        <v>5060</v>
      </c>
      <c r="K115" s="351" t="str">
        <f aca="false">TEXT(bordro810[[#This Row],[Tarih]],"yyyy")</f>
        <v>2025</v>
      </c>
      <c r="L115" s="1" t="str">
        <f aca="false">TEXT(bordro810[[#This Row],[Tarih]],"yyyy/aa")</f>
        <v>2025.aa</v>
      </c>
      <c r="M115" s="1" t="str">
        <f aca="false">TEXT(bordro810[[#This Row],[Tarih]],"gggg")</f>
        <v>ADMS</v>
      </c>
      <c r="N115" s="1" t="str">
        <f aca="false">VLOOKUP(B115,PersonelListesi!A$1:G$41,4,FALSE())</f>
        <v>_ŞOFÖR</v>
      </c>
      <c r="O115" s="363"/>
    </row>
    <row r="116" customFormat="false" ht="15" hidden="false" customHeight="false" outlineLevel="0" collapsed="false">
      <c r="B116" s="364"/>
      <c r="C116" s="364"/>
      <c r="D116" s="361"/>
      <c r="E116" s="312" t="e">
        <f aca="false">VLOOKUP(B116,PersonelListesi!A$1:G$47,5,FALSE())</f>
        <v>#N/A</v>
      </c>
      <c r="F116" s="322" t="e">
        <f aca="false">bordro810[[#This Row],[Saat]]*bordro810[[#This Row],[S.Ücret]]</f>
        <v>#N/A</v>
      </c>
      <c r="G116" s="352" t="n">
        <v>0</v>
      </c>
      <c r="H116" s="352"/>
      <c r="I116" s="329" t="e">
        <f aca="false">bordro810[[#This Row],[Ödeme]]-bordro810[[#This Row],[M. Tutar]]</f>
        <v>#N/A</v>
      </c>
      <c r="J116" s="350" t="n">
        <f aca="false">SUMIF(bordro810[Personel],bordro810[[#This Row],[Personel]],F$3:F116)-SUMIF(bordro810[Personel],bordro810[[#This Row],[Personel]],G$3:G116)</f>
        <v>0</v>
      </c>
      <c r="K116" s="351" t="str">
        <f aca="false">TEXT(bordro810[[#This Row],[Tarih]],"yyyy")</f>
        <v>1899</v>
      </c>
      <c r="L116" s="1" t="str">
        <f aca="false">TEXT(bordro810[[#This Row],[Tarih]],"yyyy/aa")</f>
        <v>1899.aa</v>
      </c>
      <c r="M116" s="1" t="str">
        <f aca="false">TEXT(bordro810[[#This Row],[Tarih]],"gggg")</f>
        <v>ADMS</v>
      </c>
      <c r="N116" s="1" t="e">
        <f aca="false">VLOOKUP(B116,PersonelListesi!A$1:G$41,4,FALSE())</f>
        <v>#N/A</v>
      </c>
      <c r="O116" s="363"/>
    </row>
    <row r="117" customFormat="false" ht="15" hidden="false" customHeight="false" outlineLevel="0" collapsed="false">
      <c r="B117" s="364"/>
      <c r="C117" s="364"/>
      <c r="D117" s="361"/>
      <c r="E117" s="312" t="e">
        <f aca="false">VLOOKUP(B117,PersonelListesi!A$1:G$47,5,FALSE())</f>
        <v>#N/A</v>
      </c>
      <c r="F117" s="322" t="e">
        <f aca="false">bordro810[[#This Row],[Saat]]*bordro810[[#This Row],[S.Ücret]]</f>
        <v>#N/A</v>
      </c>
      <c r="G117" s="352" t="n">
        <v>0</v>
      </c>
      <c r="H117" s="352"/>
      <c r="I117" s="329" t="e">
        <f aca="false">bordro810[[#This Row],[Ödeme]]-bordro810[[#This Row],[M. Tutar]]</f>
        <v>#N/A</v>
      </c>
      <c r="J117" s="350" t="n">
        <f aca="false">SUMIF(bordro810[Personel],bordro810[[#This Row],[Personel]],F$3:F117)-SUMIF(bordro810[Personel],bordro810[[#This Row],[Personel]],G$3:G117)</f>
        <v>0</v>
      </c>
      <c r="K117" s="351" t="str">
        <f aca="false">TEXT(bordro810[[#This Row],[Tarih]],"yyyy")</f>
        <v>1899</v>
      </c>
      <c r="L117" s="1" t="str">
        <f aca="false">TEXT(bordro810[[#This Row],[Tarih]],"yyyy/aa")</f>
        <v>1899.aa</v>
      </c>
      <c r="M117" s="1" t="str">
        <f aca="false">TEXT(bordro810[[#This Row],[Tarih]],"gggg")</f>
        <v>ADMS</v>
      </c>
      <c r="N117" s="1" t="e">
        <f aca="false">VLOOKUP(B117,PersonelListesi!A$1:G$41,4,FALSE())</f>
        <v>#N/A</v>
      </c>
      <c r="O117" s="363"/>
    </row>
    <row r="118" customFormat="false" ht="15" hidden="false" customHeight="false" outlineLevel="0" collapsed="false">
      <c r="B118" s="364"/>
      <c r="C118" s="364"/>
      <c r="D118" s="361"/>
      <c r="E118" s="312" t="e">
        <f aca="false">VLOOKUP(B118,PersonelListesi!A$1:G$47,5,FALSE())</f>
        <v>#N/A</v>
      </c>
      <c r="F118" s="322" t="e">
        <f aca="false">bordro810[[#This Row],[Saat]]*bordro810[[#This Row],[S.Ücret]]</f>
        <v>#N/A</v>
      </c>
      <c r="G118" s="352" t="n">
        <v>0</v>
      </c>
      <c r="H118" s="352"/>
      <c r="I118" s="329" t="e">
        <f aca="false">bordro810[[#This Row],[Ödeme]]-bordro810[[#This Row],[M. Tutar]]</f>
        <v>#N/A</v>
      </c>
      <c r="J118" s="350" t="n">
        <f aca="false">SUMIF(bordro810[Personel],bordro810[[#This Row],[Personel]],F$3:F118)-SUMIF(bordro810[Personel],bordro810[[#This Row],[Personel]],G$3:G118)</f>
        <v>0</v>
      </c>
      <c r="K118" s="351" t="str">
        <f aca="false">TEXT(bordro810[[#This Row],[Tarih]],"yyyy")</f>
        <v>1899</v>
      </c>
      <c r="L118" s="1" t="str">
        <f aca="false">TEXT(bordro810[[#This Row],[Tarih]],"yyyy/aa")</f>
        <v>1899.aa</v>
      </c>
      <c r="M118" s="1" t="str">
        <f aca="false">TEXT(bordro810[[#This Row],[Tarih]],"gggg")</f>
        <v>ADMS</v>
      </c>
      <c r="N118" s="1" t="e">
        <f aca="false">VLOOKUP(B118,PersonelListesi!A$1:G$41,4,FALSE())</f>
        <v>#N/A</v>
      </c>
      <c r="O118" s="363"/>
    </row>
    <row r="119" customFormat="false" ht="15" hidden="false" customHeight="false" outlineLevel="0" collapsed="false">
      <c r="B119" s="364"/>
      <c r="C119" s="364"/>
      <c r="D119" s="361"/>
      <c r="E119" s="312" t="e">
        <f aca="false">VLOOKUP(B119,PersonelListesi!A$1:G$47,5,FALSE())</f>
        <v>#N/A</v>
      </c>
      <c r="F119" s="322" t="e">
        <f aca="false">bordro810[[#This Row],[Saat]]*bordro810[[#This Row],[S.Ücret]]</f>
        <v>#N/A</v>
      </c>
      <c r="G119" s="352" t="n">
        <v>0</v>
      </c>
      <c r="H119" s="352"/>
      <c r="I119" s="329" t="e">
        <f aca="false">bordro810[[#This Row],[Ödeme]]-bordro810[[#This Row],[M. Tutar]]</f>
        <v>#N/A</v>
      </c>
      <c r="J119" s="350" t="n">
        <f aca="false">SUMIF(bordro810[Personel],bordro810[[#This Row],[Personel]],F$3:F119)-SUMIF(bordro810[Personel],bordro810[[#This Row],[Personel]],G$3:G119)</f>
        <v>0</v>
      </c>
      <c r="K119" s="351" t="str">
        <f aca="false">TEXT(bordro810[[#This Row],[Tarih]],"yyyy")</f>
        <v>1899</v>
      </c>
      <c r="L119" s="1" t="str">
        <f aca="false">TEXT(bordro810[[#This Row],[Tarih]],"yyyy/aa")</f>
        <v>1899.aa</v>
      </c>
      <c r="M119" s="1" t="str">
        <f aca="false">TEXT(bordro810[[#This Row],[Tarih]],"gggg")</f>
        <v>ADMS</v>
      </c>
      <c r="N119" s="1" t="e">
        <f aca="false">VLOOKUP(B119,PersonelListesi!A$1:G$41,4,FALSE())</f>
        <v>#N/A</v>
      </c>
      <c r="O119" s="363"/>
    </row>
    <row r="120" customFormat="false" ht="15" hidden="false" customHeight="false" outlineLevel="0" collapsed="false">
      <c r="B120" s="364"/>
      <c r="C120" s="364"/>
      <c r="D120" s="361"/>
      <c r="E120" s="312" t="e">
        <f aca="false">VLOOKUP(B120,PersonelListesi!A$1:G$47,5,FALSE())</f>
        <v>#N/A</v>
      </c>
      <c r="F120" s="322" t="e">
        <f aca="false">bordro810[[#This Row],[Saat]]*bordro810[[#This Row],[S.Ücret]]</f>
        <v>#N/A</v>
      </c>
      <c r="G120" s="352" t="n">
        <v>0</v>
      </c>
      <c r="H120" s="352"/>
      <c r="I120" s="329" t="e">
        <f aca="false">bordro810[[#This Row],[Ödeme]]-bordro810[[#This Row],[M. Tutar]]</f>
        <v>#N/A</v>
      </c>
      <c r="J120" s="350" t="n">
        <f aca="false">SUMIF(bordro810[Personel],bordro810[[#This Row],[Personel]],F$3:F120)-SUMIF(bordro810[Personel],bordro810[[#This Row],[Personel]],G$3:G120)</f>
        <v>0</v>
      </c>
      <c r="K120" s="351" t="str">
        <f aca="false">TEXT(bordro810[[#This Row],[Tarih]],"yyyy")</f>
        <v>1899</v>
      </c>
      <c r="L120" s="1" t="str">
        <f aca="false">TEXT(bordro810[[#This Row],[Tarih]],"yyyy/aa")</f>
        <v>1899.aa</v>
      </c>
      <c r="M120" s="1" t="str">
        <f aca="false">TEXT(bordro810[[#This Row],[Tarih]],"gggg")</f>
        <v>ADMS</v>
      </c>
      <c r="N120" s="1" t="e">
        <f aca="false">VLOOKUP(B120,PersonelListesi!A$1:G$41,4,FALSE())</f>
        <v>#N/A</v>
      </c>
      <c r="O120" s="363"/>
    </row>
    <row r="121" customFormat="false" ht="15" hidden="false" customHeight="false" outlineLevel="0" collapsed="false">
      <c r="B121" s="364"/>
      <c r="C121" s="364"/>
      <c r="D121" s="361"/>
      <c r="E121" s="312" t="e">
        <f aca="false">VLOOKUP(B121,PersonelListesi!A$1:G$47,5,FALSE())</f>
        <v>#N/A</v>
      </c>
      <c r="F121" s="322" t="e">
        <f aca="false">bordro810[[#This Row],[Saat]]*bordro810[[#This Row],[S.Ücret]]</f>
        <v>#N/A</v>
      </c>
      <c r="G121" s="352" t="n">
        <v>0</v>
      </c>
      <c r="H121" s="352"/>
      <c r="I121" s="329" t="e">
        <f aca="false">bordro810[[#This Row],[Ödeme]]-bordro810[[#This Row],[M. Tutar]]</f>
        <v>#N/A</v>
      </c>
      <c r="J121" s="350" t="n">
        <f aca="false">SUMIF(bordro810[Personel],bordro810[[#This Row],[Personel]],F$3:F121)-SUMIF(bordro810[Personel],bordro810[[#This Row],[Personel]],G$3:G121)</f>
        <v>0</v>
      </c>
      <c r="K121" s="351" t="str">
        <f aca="false">TEXT(bordro810[[#This Row],[Tarih]],"yyyy")</f>
        <v>1899</v>
      </c>
      <c r="L121" s="1" t="str">
        <f aca="false">TEXT(bordro810[[#This Row],[Tarih]],"yyyy/aa")</f>
        <v>1899.aa</v>
      </c>
      <c r="M121" s="1" t="str">
        <f aca="false">TEXT(bordro810[[#This Row],[Tarih]],"gggg")</f>
        <v>ADMS</v>
      </c>
      <c r="N121" s="1" t="e">
        <f aca="false">VLOOKUP(B121,PersonelListesi!A$1:G$41,4,FALSE())</f>
        <v>#N/A</v>
      </c>
      <c r="O121" s="363"/>
    </row>
    <row r="122" customFormat="false" ht="15" hidden="false" customHeight="false" outlineLevel="0" collapsed="false">
      <c r="B122" s="364"/>
      <c r="C122" s="364"/>
      <c r="D122" s="361"/>
      <c r="E122" s="312" t="e">
        <f aca="false">VLOOKUP(B122,PersonelListesi!A$1:G$47,5,FALSE())</f>
        <v>#N/A</v>
      </c>
      <c r="F122" s="322" t="e">
        <f aca="false">bordro810[[#This Row],[Saat]]*bordro810[[#This Row],[S.Ücret]]</f>
        <v>#N/A</v>
      </c>
      <c r="G122" s="352" t="n">
        <v>0</v>
      </c>
      <c r="H122" s="352"/>
      <c r="I122" s="329" t="e">
        <f aca="false">bordro810[[#This Row],[Ödeme]]-bordro810[[#This Row],[M. Tutar]]</f>
        <v>#N/A</v>
      </c>
      <c r="J122" s="350" t="n">
        <f aca="false">SUMIF(bordro810[Personel],bordro810[[#This Row],[Personel]],F$3:F122)-SUMIF(bordro810[Personel],bordro810[[#This Row],[Personel]],G$3:G122)</f>
        <v>0</v>
      </c>
      <c r="K122" s="351" t="str">
        <f aca="false">TEXT(bordro810[[#This Row],[Tarih]],"yyyy")</f>
        <v>1899</v>
      </c>
      <c r="L122" s="1" t="str">
        <f aca="false">TEXT(bordro810[[#This Row],[Tarih]],"yyyy/aa")</f>
        <v>1899.aa</v>
      </c>
      <c r="M122" s="1" t="str">
        <f aca="false">TEXT(bordro810[[#This Row],[Tarih]],"gggg")</f>
        <v>ADMS</v>
      </c>
      <c r="N122" s="1" t="e">
        <f aca="false">VLOOKUP(B122,PersonelListesi!A$1:G$41,4,FALSE())</f>
        <v>#N/A</v>
      </c>
      <c r="O122" s="363"/>
    </row>
    <row r="123" customFormat="false" ht="15" hidden="false" customHeight="false" outlineLevel="0" collapsed="false">
      <c r="B123" s="364"/>
      <c r="C123" s="364"/>
      <c r="D123" s="361"/>
      <c r="E123" s="312" t="e">
        <f aca="false">VLOOKUP(B123,PersonelListesi!A$1:G$47,5,FALSE())</f>
        <v>#N/A</v>
      </c>
      <c r="F123" s="322" t="e">
        <f aca="false">bordro810[[#This Row],[Saat]]*bordro810[[#This Row],[S.Ücret]]</f>
        <v>#N/A</v>
      </c>
      <c r="G123" s="352" t="n">
        <v>0</v>
      </c>
      <c r="H123" s="352"/>
      <c r="I123" s="329" t="e">
        <f aca="false">bordro810[[#This Row],[Ödeme]]-bordro810[[#This Row],[M. Tutar]]</f>
        <v>#N/A</v>
      </c>
      <c r="J123" s="350" t="n">
        <f aca="false">SUMIF(bordro810[Personel],bordro810[[#This Row],[Personel]],F$3:F123)-SUMIF(bordro810[Personel],bordro810[[#This Row],[Personel]],G$3:G123)</f>
        <v>0</v>
      </c>
      <c r="K123" s="351" t="str">
        <f aca="false">TEXT(bordro810[[#This Row],[Tarih]],"yyyy")</f>
        <v>1899</v>
      </c>
      <c r="L123" s="1" t="str">
        <f aca="false">TEXT(bordro810[[#This Row],[Tarih]],"yyyy/aa")</f>
        <v>1899.aa</v>
      </c>
      <c r="M123" s="1" t="str">
        <f aca="false">TEXT(bordro810[[#This Row],[Tarih]],"gggg")</f>
        <v>ADMS</v>
      </c>
      <c r="N123" s="1" t="e">
        <f aca="false">VLOOKUP(B123,PersonelListesi!A$1:G$41,4,FALSE())</f>
        <v>#N/A</v>
      </c>
      <c r="O123" s="363"/>
    </row>
    <row r="124" customFormat="false" ht="15" hidden="false" customHeight="false" outlineLevel="0" collapsed="false">
      <c r="B124" s="364"/>
      <c r="C124" s="364"/>
      <c r="D124" s="361"/>
      <c r="E124" s="312" t="e">
        <f aca="false">VLOOKUP(B124,PersonelListesi!A$1:G$47,5,FALSE())</f>
        <v>#N/A</v>
      </c>
      <c r="F124" s="322" t="e">
        <f aca="false">bordro810[[#This Row],[Saat]]*bordro810[[#This Row],[S.Ücret]]</f>
        <v>#N/A</v>
      </c>
      <c r="G124" s="352" t="n">
        <v>0</v>
      </c>
      <c r="H124" s="352"/>
      <c r="I124" s="329" t="e">
        <f aca="false">bordro810[[#This Row],[Ödeme]]-bordro810[[#This Row],[M. Tutar]]</f>
        <v>#N/A</v>
      </c>
      <c r="J124" s="350" t="n">
        <f aca="false">SUMIF(bordro810[Personel],bordro810[[#This Row],[Personel]],F$3:F124)-SUMIF(bordro810[Personel],bordro810[[#This Row],[Personel]],G$3:G124)</f>
        <v>0</v>
      </c>
      <c r="K124" s="351" t="str">
        <f aca="false">TEXT(bordro810[[#This Row],[Tarih]],"yyyy")</f>
        <v>1899</v>
      </c>
      <c r="L124" s="1" t="str">
        <f aca="false">TEXT(bordro810[[#This Row],[Tarih]],"yyyy/aa")</f>
        <v>1899.aa</v>
      </c>
      <c r="M124" s="1" t="str">
        <f aca="false">TEXT(bordro810[[#This Row],[Tarih]],"gggg")</f>
        <v>ADMS</v>
      </c>
      <c r="N124" s="1" t="e">
        <f aca="false">VLOOKUP(B124,PersonelListesi!A$1:G$41,4,FALSE())</f>
        <v>#N/A</v>
      </c>
      <c r="O124" s="363"/>
    </row>
    <row r="125" customFormat="false" ht="15" hidden="false" customHeight="false" outlineLevel="0" collapsed="false">
      <c r="B125" s="364"/>
      <c r="C125" s="364"/>
      <c r="D125" s="361"/>
      <c r="E125" s="312" t="e">
        <f aca="false">VLOOKUP(B125,PersonelListesi!A$1:G$47,5,FALSE())</f>
        <v>#N/A</v>
      </c>
      <c r="F125" s="322" t="e">
        <f aca="false">bordro810[[#This Row],[Saat]]*bordro810[[#This Row],[S.Ücret]]</f>
        <v>#N/A</v>
      </c>
      <c r="G125" s="352" t="n">
        <v>0</v>
      </c>
      <c r="H125" s="352"/>
      <c r="I125" s="329" t="e">
        <f aca="false">bordro810[[#This Row],[Ödeme]]-bordro810[[#This Row],[M. Tutar]]</f>
        <v>#N/A</v>
      </c>
      <c r="J125" s="350" t="n">
        <f aca="false">SUMIF(bordro810[Personel],bordro810[[#This Row],[Personel]],F$3:F125)-SUMIF(bordro810[Personel],bordro810[[#This Row],[Personel]],G$3:G125)</f>
        <v>0</v>
      </c>
      <c r="K125" s="351" t="str">
        <f aca="false">TEXT(bordro810[[#This Row],[Tarih]],"yyyy")</f>
        <v>1899</v>
      </c>
      <c r="L125" s="1" t="str">
        <f aca="false">TEXT(bordro810[[#This Row],[Tarih]],"yyyy/aa")</f>
        <v>1899.aa</v>
      </c>
      <c r="M125" s="1" t="str">
        <f aca="false">TEXT(bordro810[[#This Row],[Tarih]],"gggg")</f>
        <v>ADMS</v>
      </c>
      <c r="N125" s="1" t="e">
        <f aca="false">VLOOKUP(B125,PersonelListesi!A$1:G$41,4,FALSE())</f>
        <v>#N/A</v>
      </c>
      <c r="O125" s="363"/>
    </row>
    <row r="126" customFormat="false" ht="15" hidden="false" customHeight="false" outlineLevel="0" collapsed="false">
      <c r="B126" s="364"/>
      <c r="C126" s="364"/>
      <c r="D126" s="361"/>
      <c r="E126" s="312" t="e">
        <f aca="false">VLOOKUP(B126,PersonelListesi!A$1:G$47,5,FALSE())</f>
        <v>#N/A</v>
      </c>
      <c r="F126" s="322" t="e">
        <f aca="false">bordro810[[#This Row],[Saat]]*bordro810[[#This Row],[S.Ücret]]</f>
        <v>#N/A</v>
      </c>
      <c r="G126" s="352" t="n">
        <v>0</v>
      </c>
      <c r="H126" s="352"/>
      <c r="I126" s="329" t="e">
        <f aca="false">bordro810[[#This Row],[Ödeme]]-bordro810[[#This Row],[M. Tutar]]</f>
        <v>#N/A</v>
      </c>
      <c r="J126" s="350" t="n">
        <f aca="false">SUMIF(bordro810[Personel],bordro810[[#This Row],[Personel]],F$3:F126)-SUMIF(bordro810[Personel],bordro810[[#This Row],[Personel]],G$3:G126)</f>
        <v>0</v>
      </c>
      <c r="K126" s="351" t="str">
        <f aca="false">TEXT(bordro810[[#This Row],[Tarih]],"yyyy")</f>
        <v>1899</v>
      </c>
      <c r="L126" s="1" t="str">
        <f aca="false">TEXT(bordro810[[#This Row],[Tarih]],"yyyy/aa")</f>
        <v>1899.aa</v>
      </c>
      <c r="M126" s="1" t="str">
        <f aca="false">TEXT(bordro810[[#This Row],[Tarih]],"gggg")</f>
        <v>ADMS</v>
      </c>
      <c r="N126" s="1" t="e">
        <f aca="false">VLOOKUP(B126,PersonelListesi!A$1:G$41,4,FALSE())</f>
        <v>#N/A</v>
      </c>
      <c r="O126" s="363"/>
    </row>
    <row r="127" customFormat="false" ht="15" hidden="false" customHeight="false" outlineLevel="0" collapsed="false">
      <c r="B127" s="364"/>
      <c r="C127" s="364"/>
      <c r="D127" s="361"/>
      <c r="E127" s="312" t="e">
        <f aca="false">VLOOKUP(B127,PersonelListesi!A$1:G$47,5,FALSE())</f>
        <v>#N/A</v>
      </c>
      <c r="F127" s="322" t="e">
        <f aca="false">bordro810[[#This Row],[Saat]]*bordro810[[#This Row],[S.Ücret]]</f>
        <v>#N/A</v>
      </c>
      <c r="G127" s="352" t="n">
        <v>0</v>
      </c>
      <c r="H127" s="352"/>
      <c r="I127" s="329" t="e">
        <f aca="false">bordro810[[#This Row],[Ödeme]]-bordro810[[#This Row],[M. Tutar]]</f>
        <v>#N/A</v>
      </c>
      <c r="J127" s="350" t="n">
        <f aca="false">SUMIF(bordro810[Personel],bordro810[[#This Row],[Personel]],F$3:F127)-SUMIF(bordro810[Personel],bordro810[[#This Row],[Personel]],G$3:G127)</f>
        <v>0</v>
      </c>
      <c r="K127" s="351" t="str">
        <f aca="false">TEXT(bordro810[[#This Row],[Tarih]],"yyyy")</f>
        <v>1899</v>
      </c>
      <c r="L127" s="1" t="str">
        <f aca="false">TEXT(bordro810[[#This Row],[Tarih]],"yyyy/aa")</f>
        <v>1899.aa</v>
      </c>
      <c r="M127" s="1" t="str">
        <f aca="false">TEXT(bordro810[[#This Row],[Tarih]],"gggg")</f>
        <v>ADMS</v>
      </c>
      <c r="N127" s="1" t="e">
        <f aca="false">VLOOKUP(B127,PersonelListesi!A$1:G$41,4,FALSE())</f>
        <v>#N/A</v>
      </c>
      <c r="O127" s="363"/>
    </row>
    <row r="128" customFormat="false" ht="15" hidden="false" customHeight="false" outlineLevel="0" collapsed="false">
      <c r="B128" s="364"/>
      <c r="C128" s="364"/>
      <c r="D128" s="361"/>
      <c r="E128" s="312" t="e">
        <f aca="false">VLOOKUP(B128,PersonelListesi!A$1:G$47,5,FALSE())</f>
        <v>#N/A</v>
      </c>
      <c r="F128" s="322" t="e">
        <f aca="false">bordro810[[#This Row],[Saat]]*bordro810[[#This Row],[S.Ücret]]</f>
        <v>#N/A</v>
      </c>
      <c r="G128" s="352" t="n">
        <v>0</v>
      </c>
      <c r="H128" s="352"/>
      <c r="I128" s="329" t="e">
        <f aca="false">bordro810[[#This Row],[Ödeme]]-bordro810[[#This Row],[M. Tutar]]</f>
        <v>#N/A</v>
      </c>
      <c r="J128" s="350" t="n">
        <f aca="false">SUMIF(bordro810[Personel],bordro810[[#This Row],[Personel]],F$3:F128)-SUMIF(bordro810[Personel],bordro810[[#This Row],[Personel]],G$3:G128)</f>
        <v>0</v>
      </c>
      <c r="K128" s="351" t="str">
        <f aca="false">TEXT(bordro810[[#This Row],[Tarih]],"yyyy")</f>
        <v>1899</v>
      </c>
      <c r="L128" s="1" t="str">
        <f aca="false">TEXT(bordro810[[#This Row],[Tarih]],"yyyy/aa")</f>
        <v>1899.aa</v>
      </c>
      <c r="M128" s="1" t="str">
        <f aca="false">TEXT(bordro810[[#This Row],[Tarih]],"gggg")</f>
        <v>ADMS</v>
      </c>
      <c r="N128" s="1" t="e">
        <f aca="false">VLOOKUP(B128,PersonelListesi!A$1:G$41,4,FALSE())</f>
        <v>#N/A</v>
      </c>
      <c r="O128" s="363"/>
    </row>
    <row r="129" customFormat="false" ht="15" hidden="false" customHeight="false" outlineLevel="0" collapsed="false">
      <c r="B129" s="364"/>
      <c r="C129" s="364"/>
      <c r="D129" s="361"/>
      <c r="E129" s="312" t="e">
        <f aca="false">VLOOKUP(B129,PersonelListesi!A$1:G$47,5,FALSE())</f>
        <v>#N/A</v>
      </c>
      <c r="F129" s="322" t="e">
        <f aca="false">bordro810[[#This Row],[Saat]]*bordro810[[#This Row],[S.Ücret]]</f>
        <v>#N/A</v>
      </c>
      <c r="G129" s="352" t="n">
        <v>0</v>
      </c>
      <c r="H129" s="352"/>
      <c r="I129" s="329" t="e">
        <f aca="false">bordro810[[#This Row],[Ödeme]]-bordro810[[#This Row],[M. Tutar]]</f>
        <v>#N/A</v>
      </c>
      <c r="J129" s="350" t="n">
        <f aca="false">SUMIF(bordro810[Personel],bordro810[[#This Row],[Personel]],F$3:F129)-SUMIF(bordro810[Personel],bordro810[[#This Row],[Personel]],G$3:G129)</f>
        <v>0</v>
      </c>
      <c r="K129" s="351" t="str">
        <f aca="false">TEXT(bordro810[[#This Row],[Tarih]],"yyyy")</f>
        <v>1899</v>
      </c>
      <c r="L129" s="1" t="str">
        <f aca="false">TEXT(bordro810[[#This Row],[Tarih]],"yyyy/aa")</f>
        <v>1899.aa</v>
      </c>
      <c r="M129" s="1" t="str">
        <f aca="false">TEXT(bordro810[[#This Row],[Tarih]],"gggg")</f>
        <v>ADMS</v>
      </c>
      <c r="N129" s="1" t="e">
        <f aca="false">VLOOKUP(B129,PersonelListesi!A$1:G$41,4,FALSE())</f>
        <v>#N/A</v>
      </c>
      <c r="O129" s="363"/>
    </row>
    <row r="130" customFormat="false" ht="15" hidden="false" customHeight="false" outlineLevel="0" collapsed="false">
      <c r="B130" s="364"/>
      <c r="C130" s="364"/>
      <c r="D130" s="361"/>
      <c r="E130" s="312" t="e">
        <f aca="false">VLOOKUP(B130,PersonelListesi!A$1:G$47,5,FALSE())</f>
        <v>#N/A</v>
      </c>
      <c r="F130" s="322" t="e">
        <f aca="false">bordro810[[#This Row],[Saat]]*bordro810[[#This Row],[S.Ücret]]</f>
        <v>#N/A</v>
      </c>
      <c r="G130" s="352" t="n">
        <v>0</v>
      </c>
      <c r="H130" s="352"/>
      <c r="I130" s="329" t="e">
        <f aca="false">bordro810[[#This Row],[Ödeme]]-bordro810[[#This Row],[M. Tutar]]</f>
        <v>#N/A</v>
      </c>
      <c r="J130" s="350" t="n">
        <f aca="false">SUMIF(bordro810[Personel],bordro810[[#This Row],[Personel]],F$3:F130)-SUMIF(bordro810[Personel],bordro810[[#This Row],[Personel]],G$3:G130)</f>
        <v>0</v>
      </c>
      <c r="K130" s="351" t="str">
        <f aca="false">TEXT(bordro810[[#This Row],[Tarih]],"yyyy")</f>
        <v>1899</v>
      </c>
      <c r="L130" s="1" t="str">
        <f aca="false">TEXT(bordro810[[#This Row],[Tarih]],"yyyy/aa")</f>
        <v>1899.aa</v>
      </c>
      <c r="M130" s="1" t="str">
        <f aca="false">TEXT(bordro810[[#This Row],[Tarih]],"gggg")</f>
        <v>ADMS</v>
      </c>
      <c r="N130" s="1" t="e">
        <f aca="false">VLOOKUP(B130,PersonelListesi!A$1:G$41,4,FALSE())</f>
        <v>#N/A</v>
      </c>
      <c r="O130" s="363"/>
    </row>
    <row r="131" customFormat="false" ht="15" hidden="false" customHeight="false" outlineLevel="0" collapsed="false">
      <c r="B131" s="364"/>
      <c r="C131" s="364"/>
      <c r="D131" s="361"/>
      <c r="E131" s="312" t="e">
        <f aca="false">VLOOKUP(B131,PersonelListesi!A$1:G$47,5,FALSE())</f>
        <v>#N/A</v>
      </c>
      <c r="F131" s="322" t="e">
        <f aca="false">bordro810[[#This Row],[Saat]]*bordro810[[#This Row],[S.Ücret]]</f>
        <v>#N/A</v>
      </c>
      <c r="G131" s="352" t="n">
        <v>0</v>
      </c>
      <c r="H131" s="352"/>
      <c r="I131" s="329" t="e">
        <f aca="false">bordro810[[#This Row],[Ödeme]]-bordro810[[#This Row],[M. Tutar]]</f>
        <v>#N/A</v>
      </c>
      <c r="J131" s="350" t="n">
        <f aca="false">SUMIF(bordro810[Personel],bordro810[[#This Row],[Personel]],F$3:F131)-SUMIF(bordro810[Personel],bordro810[[#This Row],[Personel]],G$3:G131)</f>
        <v>0</v>
      </c>
      <c r="K131" s="351" t="str">
        <f aca="false">TEXT(bordro810[[#This Row],[Tarih]],"yyyy")</f>
        <v>1899</v>
      </c>
      <c r="L131" s="1" t="str">
        <f aca="false">TEXT(bordro810[[#This Row],[Tarih]],"yyyy/aa")</f>
        <v>1899.aa</v>
      </c>
      <c r="M131" s="1" t="str">
        <f aca="false">TEXT(bordro810[[#This Row],[Tarih]],"gggg")</f>
        <v>ADMS</v>
      </c>
      <c r="N131" s="1" t="e">
        <f aca="false">VLOOKUP(B131,PersonelListesi!A$1:G$41,4,FALSE())</f>
        <v>#N/A</v>
      </c>
      <c r="O131" s="363"/>
    </row>
    <row r="132" customFormat="false" ht="15" hidden="false" customHeight="false" outlineLevel="0" collapsed="false">
      <c r="B132" s="364"/>
      <c r="C132" s="364"/>
      <c r="D132" s="361"/>
      <c r="E132" s="312" t="e">
        <f aca="false">VLOOKUP(B132,PersonelListesi!A$1:G$47,5,FALSE())</f>
        <v>#N/A</v>
      </c>
      <c r="F132" s="322" t="e">
        <f aca="false">bordro810[[#This Row],[Saat]]*bordro810[[#This Row],[S.Ücret]]</f>
        <v>#N/A</v>
      </c>
      <c r="G132" s="352" t="n">
        <v>0</v>
      </c>
      <c r="H132" s="352"/>
      <c r="I132" s="329" t="e">
        <f aca="false">bordro810[[#This Row],[Ödeme]]-bordro810[[#This Row],[M. Tutar]]</f>
        <v>#N/A</v>
      </c>
      <c r="J132" s="350" t="n">
        <f aca="false">SUMIF(bordro810[Personel],bordro810[[#This Row],[Personel]],F$3:F132)-SUMIF(bordro810[Personel],bordro810[[#This Row],[Personel]],G$3:G132)</f>
        <v>0</v>
      </c>
      <c r="K132" s="351" t="str">
        <f aca="false">TEXT(bordro810[[#This Row],[Tarih]],"yyyy")</f>
        <v>1899</v>
      </c>
      <c r="L132" s="1" t="str">
        <f aca="false">TEXT(bordro810[[#This Row],[Tarih]],"yyyy/aa")</f>
        <v>1899.aa</v>
      </c>
      <c r="M132" s="1" t="str">
        <f aca="false">TEXT(bordro810[[#This Row],[Tarih]],"gggg")</f>
        <v>ADMS</v>
      </c>
      <c r="N132" s="1" t="e">
        <f aca="false">VLOOKUP(B132,PersonelListesi!A$1:G$41,4,FALSE())</f>
        <v>#N/A</v>
      </c>
      <c r="O132" s="363"/>
    </row>
    <row r="133" customFormat="false" ht="15" hidden="false" customHeight="false" outlineLevel="0" collapsed="false">
      <c r="B133" s="364"/>
      <c r="C133" s="364"/>
      <c r="D133" s="361"/>
      <c r="E133" s="312" t="e">
        <f aca="false">VLOOKUP(B133,PersonelListesi!A$1:G$47,5,FALSE())</f>
        <v>#N/A</v>
      </c>
      <c r="F133" s="322" t="e">
        <f aca="false">bordro810[[#This Row],[Saat]]*bordro810[[#This Row],[S.Ücret]]</f>
        <v>#N/A</v>
      </c>
      <c r="G133" s="352" t="n">
        <v>0</v>
      </c>
      <c r="H133" s="352"/>
      <c r="I133" s="329" t="e">
        <f aca="false">bordro810[[#This Row],[Ödeme]]-bordro810[[#This Row],[M. Tutar]]</f>
        <v>#N/A</v>
      </c>
      <c r="J133" s="350" t="n">
        <f aca="false">SUMIF(bordro810[Personel],bordro810[[#This Row],[Personel]],F$3:F133)-SUMIF(bordro810[Personel],bordro810[[#This Row],[Personel]],G$3:G133)</f>
        <v>0</v>
      </c>
      <c r="K133" s="351" t="str">
        <f aca="false">TEXT(bordro810[[#This Row],[Tarih]],"yyyy")</f>
        <v>1899</v>
      </c>
      <c r="L133" s="1" t="str">
        <f aca="false">TEXT(bordro810[[#This Row],[Tarih]],"yyyy/aa")</f>
        <v>1899.aa</v>
      </c>
      <c r="M133" s="1" t="str">
        <f aca="false">TEXT(bordro810[[#This Row],[Tarih]],"gggg")</f>
        <v>ADMS</v>
      </c>
      <c r="N133" s="1" t="e">
        <f aca="false">VLOOKUP(B133,PersonelListesi!A$1:G$41,4,FALSE())</f>
        <v>#N/A</v>
      </c>
      <c r="O133" s="363"/>
    </row>
    <row r="134" customFormat="false" ht="15" hidden="false" customHeight="false" outlineLevel="0" collapsed="false">
      <c r="B134" s="364"/>
      <c r="C134" s="364"/>
      <c r="D134" s="361"/>
      <c r="E134" s="312" t="e">
        <f aca="false">VLOOKUP(B134,PersonelListesi!A$1:G$47,5,FALSE())</f>
        <v>#N/A</v>
      </c>
      <c r="F134" s="322" t="e">
        <f aca="false">bordro810[[#This Row],[Saat]]*bordro810[[#This Row],[S.Ücret]]</f>
        <v>#N/A</v>
      </c>
      <c r="G134" s="352" t="n">
        <v>0</v>
      </c>
      <c r="H134" s="352"/>
      <c r="I134" s="329" t="e">
        <f aca="false">bordro810[[#This Row],[Ödeme]]-bordro810[[#This Row],[M. Tutar]]</f>
        <v>#N/A</v>
      </c>
      <c r="J134" s="350" t="n">
        <f aca="false">SUMIF(bordro810[Personel],bordro810[[#This Row],[Personel]],F$3:F134)-SUMIF(bordro810[Personel],bordro810[[#This Row],[Personel]],G$3:G134)</f>
        <v>0</v>
      </c>
      <c r="K134" s="351" t="str">
        <f aca="false">TEXT(bordro810[[#This Row],[Tarih]],"yyyy")</f>
        <v>1899</v>
      </c>
      <c r="L134" s="1" t="str">
        <f aca="false">TEXT(bordro810[[#This Row],[Tarih]],"yyyy/aa")</f>
        <v>1899.aa</v>
      </c>
      <c r="M134" s="1" t="str">
        <f aca="false">TEXT(bordro810[[#This Row],[Tarih]],"gggg")</f>
        <v>ADMS</v>
      </c>
      <c r="N134" s="1" t="e">
        <f aca="false">VLOOKUP(B134,PersonelListesi!A$1:G$41,4,FALSE())</f>
        <v>#N/A</v>
      </c>
      <c r="O134" s="363"/>
    </row>
    <row r="135" customFormat="false" ht="15" hidden="false" customHeight="false" outlineLevel="0" collapsed="false">
      <c r="B135" s="364"/>
      <c r="C135" s="364"/>
      <c r="D135" s="361"/>
      <c r="E135" s="312" t="e">
        <f aca="false">VLOOKUP(B135,PersonelListesi!A$1:G$47,5,FALSE())</f>
        <v>#N/A</v>
      </c>
      <c r="F135" s="322" t="e">
        <f aca="false">bordro810[[#This Row],[Saat]]*bordro810[[#This Row],[S.Ücret]]</f>
        <v>#N/A</v>
      </c>
      <c r="G135" s="352" t="n">
        <v>0</v>
      </c>
      <c r="H135" s="352"/>
      <c r="I135" s="329" t="e">
        <f aca="false">bordro810[[#This Row],[Ödeme]]-bordro810[[#This Row],[M. Tutar]]</f>
        <v>#N/A</v>
      </c>
      <c r="J135" s="350" t="n">
        <f aca="false">SUMIF(bordro810[Personel],bordro810[[#This Row],[Personel]],F$3:F135)-SUMIF(bordro810[Personel],bordro810[[#This Row],[Personel]],G$3:G135)</f>
        <v>0</v>
      </c>
      <c r="K135" s="351" t="str">
        <f aca="false">TEXT(bordro810[[#This Row],[Tarih]],"yyyy")</f>
        <v>1899</v>
      </c>
      <c r="L135" s="1" t="str">
        <f aca="false">TEXT(bordro810[[#This Row],[Tarih]],"yyyy/aa")</f>
        <v>1899.aa</v>
      </c>
      <c r="M135" s="1" t="str">
        <f aca="false">TEXT(bordro810[[#This Row],[Tarih]],"gggg")</f>
        <v>ADMS</v>
      </c>
      <c r="N135" s="1" t="e">
        <f aca="false">VLOOKUP(B135,PersonelListesi!A$1:G$41,4,FALSE())</f>
        <v>#N/A</v>
      </c>
      <c r="O135" s="363"/>
    </row>
    <row r="136" customFormat="false" ht="15" hidden="false" customHeight="false" outlineLevel="0" collapsed="false">
      <c r="B136" s="364"/>
      <c r="C136" s="364"/>
      <c r="D136" s="361"/>
      <c r="E136" s="312" t="e">
        <f aca="false">VLOOKUP(B136,PersonelListesi!A$1:G$47,5,FALSE())</f>
        <v>#N/A</v>
      </c>
      <c r="F136" s="322" t="e">
        <f aca="false">bordro810[[#This Row],[Saat]]*bordro810[[#This Row],[S.Ücret]]</f>
        <v>#N/A</v>
      </c>
      <c r="G136" s="352" t="n">
        <v>0</v>
      </c>
      <c r="H136" s="352"/>
      <c r="I136" s="329" t="e">
        <f aca="false">bordro810[[#This Row],[Ödeme]]-bordro810[[#This Row],[M. Tutar]]</f>
        <v>#N/A</v>
      </c>
      <c r="J136" s="350" t="n">
        <f aca="false">SUMIF(bordro810[Personel],bordro810[[#This Row],[Personel]],F$3:F136)-SUMIF(bordro810[Personel],bordro810[[#This Row],[Personel]],G$3:G136)</f>
        <v>0</v>
      </c>
      <c r="K136" s="351" t="str">
        <f aca="false">TEXT(bordro810[[#This Row],[Tarih]],"yyyy")</f>
        <v>1899</v>
      </c>
      <c r="L136" s="1" t="str">
        <f aca="false">TEXT(bordro810[[#This Row],[Tarih]],"yyyy/aa")</f>
        <v>1899.aa</v>
      </c>
      <c r="M136" s="1" t="str">
        <f aca="false">TEXT(bordro810[[#This Row],[Tarih]],"gggg")</f>
        <v>ADMS</v>
      </c>
      <c r="N136" s="1" t="e">
        <f aca="false">VLOOKUP(B136,PersonelListesi!A$1:G$41,4,FALSE())</f>
        <v>#N/A</v>
      </c>
      <c r="O136" s="363"/>
    </row>
    <row r="137" customFormat="false" ht="15" hidden="false" customHeight="false" outlineLevel="0" collapsed="false">
      <c r="B137" s="364"/>
      <c r="C137" s="364"/>
      <c r="D137" s="361"/>
      <c r="E137" s="312" t="e">
        <f aca="false">VLOOKUP(B137,PersonelListesi!A$1:G$47,5,FALSE())</f>
        <v>#N/A</v>
      </c>
      <c r="F137" s="322" t="e">
        <f aca="false">bordro810[[#This Row],[Saat]]*bordro810[[#This Row],[S.Ücret]]</f>
        <v>#N/A</v>
      </c>
      <c r="G137" s="352" t="n">
        <v>0</v>
      </c>
      <c r="H137" s="352"/>
      <c r="I137" s="329" t="e">
        <f aca="false">bordro810[[#This Row],[Ödeme]]-bordro810[[#This Row],[M. Tutar]]</f>
        <v>#N/A</v>
      </c>
      <c r="J137" s="350" t="n">
        <f aca="false">SUMIF(bordro810[Personel],bordro810[[#This Row],[Personel]],F$3:F137)-SUMIF(bordro810[Personel],bordro810[[#This Row],[Personel]],G$3:G137)</f>
        <v>0</v>
      </c>
      <c r="K137" s="351" t="str">
        <f aca="false">TEXT(bordro810[[#This Row],[Tarih]],"yyyy")</f>
        <v>1899</v>
      </c>
      <c r="L137" s="1" t="str">
        <f aca="false">TEXT(bordro810[[#This Row],[Tarih]],"yyyy/aa")</f>
        <v>1899.aa</v>
      </c>
      <c r="M137" s="1" t="str">
        <f aca="false">TEXT(bordro810[[#This Row],[Tarih]],"gggg")</f>
        <v>ADMS</v>
      </c>
      <c r="N137" s="1" t="e">
        <f aca="false">VLOOKUP(B137,PersonelListesi!A$1:G$41,4,FALSE())</f>
        <v>#N/A</v>
      </c>
      <c r="O137" s="363"/>
    </row>
    <row r="138" customFormat="false" ht="15" hidden="false" customHeight="false" outlineLevel="0" collapsed="false">
      <c r="B138" s="364"/>
      <c r="C138" s="364"/>
      <c r="D138" s="361"/>
      <c r="E138" s="312" t="e">
        <f aca="false">VLOOKUP(B138,PersonelListesi!A$1:G$47,5,FALSE())</f>
        <v>#N/A</v>
      </c>
      <c r="F138" s="322" t="e">
        <f aca="false">bordro810[[#This Row],[Saat]]*bordro810[[#This Row],[S.Ücret]]</f>
        <v>#N/A</v>
      </c>
      <c r="G138" s="352" t="n">
        <v>0</v>
      </c>
      <c r="H138" s="352"/>
      <c r="I138" s="329" t="e">
        <f aca="false">bordro810[[#This Row],[Ödeme]]-bordro810[[#This Row],[M. Tutar]]</f>
        <v>#N/A</v>
      </c>
      <c r="J138" s="350" t="n">
        <f aca="false">SUMIF(bordro810[Personel],bordro810[[#This Row],[Personel]],F$3:F138)-SUMIF(bordro810[Personel],bordro810[[#This Row],[Personel]],G$3:G138)</f>
        <v>0</v>
      </c>
      <c r="K138" s="351" t="str">
        <f aca="false">TEXT(bordro810[[#This Row],[Tarih]],"yyyy")</f>
        <v>1899</v>
      </c>
      <c r="L138" s="1" t="str">
        <f aca="false">TEXT(bordro810[[#This Row],[Tarih]],"yyyy/aa")</f>
        <v>1899.aa</v>
      </c>
      <c r="M138" s="1" t="str">
        <f aca="false">TEXT(bordro810[[#This Row],[Tarih]],"gggg")</f>
        <v>ADMS</v>
      </c>
      <c r="N138" s="1" t="e">
        <f aca="false">VLOOKUP(B138,PersonelListesi!A$1:G$41,4,FALSE())</f>
        <v>#N/A</v>
      </c>
      <c r="O138" s="363"/>
    </row>
    <row r="139" customFormat="false" ht="15" hidden="false" customHeight="false" outlineLevel="0" collapsed="false">
      <c r="B139" s="364"/>
      <c r="C139" s="364"/>
      <c r="D139" s="361"/>
      <c r="E139" s="312" t="e">
        <f aca="false">VLOOKUP(B139,PersonelListesi!A$1:G$47,5,FALSE())</f>
        <v>#N/A</v>
      </c>
      <c r="F139" s="322" t="e">
        <f aca="false">bordro810[[#This Row],[Saat]]*bordro810[[#This Row],[S.Ücret]]</f>
        <v>#N/A</v>
      </c>
      <c r="G139" s="352" t="n">
        <v>0</v>
      </c>
      <c r="H139" s="352"/>
      <c r="I139" s="329" t="e">
        <f aca="false">bordro810[[#This Row],[Ödeme]]-bordro810[[#This Row],[M. Tutar]]</f>
        <v>#N/A</v>
      </c>
      <c r="J139" s="350" t="n">
        <f aca="false">SUMIF(bordro810[Personel],bordro810[[#This Row],[Personel]],F$3:F139)-SUMIF(bordro810[Personel],bordro810[[#This Row],[Personel]],G$3:G139)</f>
        <v>0</v>
      </c>
      <c r="K139" s="351" t="str">
        <f aca="false">TEXT(bordro810[[#This Row],[Tarih]],"yyyy")</f>
        <v>1899</v>
      </c>
      <c r="L139" s="1" t="str">
        <f aca="false">TEXT(bordro810[[#This Row],[Tarih]],"yyyy/aa")</f>
        <v>1899.aa</v>
      </c>
      <c r="M139" s="1" t="str">
        <f aca="false">TEXT(bordro810[[#This Row],[Tarih]],"gggg")</f>
        <v>ADMS</v>
      </c>
      <c r="N139" s="1" t="e">
        <f aca="false">VLOOKUP(B139,PersonelListesi!A$1:G$41,4,FALSE())</f>
        <v>#N/A</v>
      </c>
      <c r="O139" s="363"/>
    </row>
    <row r="140" customFormat="false" ht="15" hidden="false" customHeight="false" outlineLevel="0" collapsed="false">
      <c r="B140" s="364"/>
      <c r="C140" s="364"/>
      <c r="D140" s="361"/>
      <c r="E140" s="312" t="e">
        <f aca="false">VLOOKUP(B140,PersonelListesi!A$1:G$47,5,FALSE())</f>
        <v>#N/A</v>
      </c>
      <c r="F140" s="322" t="e">
        <f aca="false">bordro810[[#This Row],[Saat]]*bordro810[[#This Row],[S.Ücret]]</f>
        <v>#N/A</v>
      </c>
      <c r="G140" s="352" t="n">
        <v>0</v>
      </c>
      <c r="H140" s="352"/>
      <c r="I140" s="329" t="e">
        <f aca="false">bordro810[[#This Row],[Ödeme]]-bordro810[[#This Row],[M. Tutar]]</f>
        <v>#N/A</v>
      </c>
      <c r="J140" s="350" t="n">
        <f aca="false">SUMIF(bordro810[Personel],bordro810[[#This Row],[Personel]],F$3:F140)-SUMIF(bordro810[Personel],bordro810[[#This Row],[Personel]],G$3:G140)</f>
        <v>0</v>
      </c>
      <c r="K140" s="351" t="str">
        <f aca="false">TEXT(bordro810[[#This Row],[Tarih]],"yyyy")</f>
        <v>1899</v>
      </c>
      <c r="L140" s="1" t="str">
        <f aca="false">TEXT(bordro810[[#This Row],[Tarih]],"yyyy/aa")</f>
        <v>1899.aa</v>
      </c>
      <c r="M140" s="1" t="str">
        <f aca="false">TEXT(bordro810[[#This Row],[Tarih]],"gggg")</f>
        <v>ADMS</v>
      </c>
      <c r="N140" s="1" t="e">
        <f aca="false">VLOOKUP(B140,PersonelListesi!A$1:G$41,4,FALSE())</f>
        <v>#N/A</v>
      </c>
      <c r="O140" s="363"/>
    </row>
    <row r="141" customFormat="false" ht="15" hidden="false" customHeight="false" outlineLevel="0" collapsed="false">
      <c r="B141" s="364"/>
      <c r="C141" s="364"/>
      <c r="D141" s="361"/>
      <c r="E141" s="312" t="e">
        <f aca="false">VLOOKUP(B141,PersonelListesi!A$1:G$47,5,FALSE())</f>
        <v>#N/A</v>
      </c>
      <c r="F141" s="322" t="e">
        <f aca="false">bordro810[[#This Row],[Saat]]*bordro810[[#This Row],[S.Ücret]]</f>
        <v>#N/A</v>
      </c>
      <c r="G141" s="352" t="n">
        <v>0</v>
      </c>
      <c r="H141" s="352"/>
      <c r="I141" s="329" t="e">
        <f aca="false">bordro810[[#This Row],[Ödeme]]-bordro810[[#This Row],[M. Tutar]]</f>
        <v>#N/A</v>
      </c>
      <c r="J141" s="350" t="n">
        <f aca="false">SUMIF(bordro810[Personel],bordro810[[#This Row],[Personel]],F$3:F141)-SUMIF(bordro810[Personel],bordro810[[#This Row],[Personel]],G$3:G141)</f>
        <v>0</v>
      </c>
      <c r="K141" s="351" t="str">
        <f aca="false">TEXT(bordro810[[#This Row],[Tarih]],"yyyy")</f>
        <v>1899</v>
      </c>
      <c r="L141" s="1" t="str">
        <f aca="false">TEXT(bordro810[[#This Row],[Tarih]],"yyyy/aa")</f>
        <v>1899.aa</v>
      </c>
      <c r="M141" s="1" t="str">
        <f aca="false">TEXT(bordro810[[#This Row],[Tarih]],"gggg")</f>
        <v>ADMS</v>
      </c>
      <c r="N141" s="1" t="e">
        <f aca="false">VLOOKUP(B141,PersonelListesi!A$1:G$41,4,FALSE())</f>
        <v>#N/A</v>
      </c>
      <c r="O141" s="363"/>
    </row>
    <row r="142" customFormat="false" ht="15" hidden="false" customHeight="false" outlineLevel="0" collapsed="false">
      <c r="B142" s="364"/>
      <c r="C142" s="364"/>
      <c r="D142" s="361"/>
      <c r="E142" s="312" t="e">
        <f aca="false">VLOOKUP(B142,PersonelListesi!A$1:G$47,5,FALSE())</f>
        <v>#N/A</v>
      </c>
      <c r="F142" s="322" t="e">
        <f aca="false">bordro810[[#This Row],[Saat]]*bordro810[[#This Row],[S.Ücret]]</f>
        <v>#N/A</v>
      </c>
      <c r="G142" s="352" t="n">
        <v>0</v>
      </c>
      <c r="H142" s="352"/>
      <c r="I142" s="329" t="e">
        <f aca="false">bordro810[[#This Row],[Ödeme]]-bordro810[[#This Row],[M. Tutar]]</f>
        <v>#N/A</v>
      </c>
      <c r="J142" s="350" t="n">
        <f aca="false">SUMIF(bordro810[Personel],bordro810[[#This Row],[Personel]],F$3:F142)-SUMIF(bordro810[Personel],bordro810[[#This Row],[Personel]],G$3:G142)</f>
        <v>0</v>
      </c>
      <c r="K142" s="351" t="str">
        <f aca="false">TEXT(bordro810[[#This Row],[Tarih]],"yyyy")</f>
        <v>1899</v>
      </c>
      <c r="L142" s="1" t="str">
        <f aca="false">TEXT(bordro810[[#This Row],[Tarih]],"yyyy/aa")</f>
        <v>1899.aa</v>
      </c>
      <c r="M142" s="1" t="str">
        <f aca="false">TEXT(bordro810[[#This Row],[Tarih]],"gggg")</f>
        <v>ADMS</v>
      </c>
      <c r="N142" s="1" t="e">
        <f aca="false">VLOOKUP(B142,PersonelListesi!A$1:G$41,4,FALSE())</f>
        <v>#N/A</v>
      </c>
      <c r="O142" s="363"/>
    </row>
    <row r="143" customFormat="false" ht="15" hidden="false" customHeight="false" outlineLevel="0" collapsed="false">
      <c r="B143" s="364"/>
      <c r="C143" s="364"/>
      <c r="D143" s="361"/>
      <c r="E143" s="312" t="e">
        <f aca="false">VLOOKUP(B143,PersonelListesi!A$1:G$47,5,FALSE())</f>
        <v>#N/A</v>
      </c>
      <c r="F143" s="322" t="e">
        <f aca="false">bordro810[[#This Row],[Saat]]*bordro810[[#This Row],[S.Ücret]]</f>
        <v>#N/A</v>
      </c>
      <c r="G143" s="352" t="n">
        <v>0</v>
      </c>
      <c r="H143" s="352"/>
      <c r="I143" s="329" t="e">
        <f aca="false">bordro810[[#This Row],[Ödeme]]-bordro810[[#This Row],[M. Tutar]]</f>
        <v>#N/A</v>
      </c>
      <c r="J143" s="350" t="n">
        <f aca="false">SUMIF(bordro810[Personel],bordro810[[#This Row],[Personel]],F$3:F143)-SUMIF(bordro810[Personel],bordro810[[#This Row],[Personel]],G$3:G143)</f>
        <v>0</v>
      </c>
      <c r="K143" s="351" t="str">
        <f aca="false">TEXT(bordro810[[#This Row],[Tarih]],"yyyy")</f>
        <v>1899</v>
      </c>
      <c r="L143" s="1" t="str">
        <f aca="false">TEXT(bordro810[[#This Row],[Tarih]],"yyyy/aa")</f>
        <v>1899.aa</v>
      </c>
      <c r="M143" s="1" t="str">
        <f aca="false">TEXT(bordro810[[#This Row],[Tarih]],"gggg")</f>
        <v>ADMS</v>
      </c>
      <c r="N143" s="1" t="e">
        <f aca="false">VLOOKUP(B143,PersonelListesi!A$1:G$41,4,FALSE())</f>
        <v>#N/A</v>
      </c>
      <c r="O143" s="363"/>
    </row>
    <row r="144" customFormat="false" ht="15" hidden="false" customHeight="false" outlineLevel="0" collapsed="false">
      <c r="B144" s="364"/>
      <c r="C144" s="364"/>
      <c r="D144" s="361"/>
      <c r="E144" s="312" t="e">
        <f aca="false">VLOOKUP(B144,PersonelListesi!A$1:G$47,5,FALSE())</f>
        <v>#N/A</v>
      </c>
      <c r="F144" s="322" t="e">
        <f aca="false">bordro810[[#This Row],[Saat]]*bordro810[[#This Row],[S.Ücret]]</f>
        <v>#N/A</v>
      </c>
      <c r="G144" s="352" t="n">
        <v>0</v>
      </c>
      <c r="H144" s="352"/>
      <c r="I144" s="329" t="e">
        <f aca="false">bordro810[[#This Row],[Ödeme]]-bordro810[[#This Row],[M. Tutar]]</f>
        <v>#N/A</v>
      </c>
      <c r="J144" s="350" t="n">
        <f aca="false">SUMIF(bordro810[Personel],bordro810[[#This Row],[Personel]],F$3:F144)-SUMIF(bordro810[Personel],bordro810[[#This Row],[Personel]],G$3:G144)</f>
        <v>0</v>
      </c>
      <c r="K144" s="351" t="str">
        <f aca="false">TEXT(bordro810[[#This Row],[Tarih]],"yyyy")</f>
        <v>1899</v>
      </c>
      <c r="L144" s="1" t="str">
        <f aca="false">TEXT(bordro810[[#This Row],[Tarih]],"yyyy/aa")</f>
        <v>1899.aa</v>
      </c>
      <c r="M144" s="1" t="str">
        <f aca="false">TEXT(bordro810[[#This Row],[Tarih]],"gggg")</f>
        <v>ADMS</v>
      </c>
      <c r="N144" s="1" t="e">
        <f aca="false">VLOOKUP(B144,PersonelListesi!A$1:G$41,4,FALSE())</f>
        <v>#N/A</v>
      </c>
      <c r="O144" s="363"/>
    </row>
    <row r="145" customFormat="false" ht="15" hidden="false" customHeight="false" outlineLevel="0" collapsed="false">
      <c r="B145" s="364"/>
      <c r="C145" s="364"/>
      <c r="D145" s="361"/>
      <c r="E145" s="312" t="e">
        <f aca="false">VLOOKUP(B145,PersonelListesi!A$1:G$47,5,FALSE())</f>
        <v>#N/A</v>
      </c>
      <c r="F145" s="322" t="e">
        <f aca="false">bordro810[[#This Row],[Saat]]*bordro810[[#This Row],[S.Ücret]]</f>
        <v>#N/A</v>
      </c>
      <c r="G145" s="352" t="n">
        <v>0</v>
      </c>
      <c r="H145" s="352"/>
      <c r="I145" s="329" t="e">
        <f aca="false">bordro810[[#This Row],[Ödeme]]-bordro810[[#This Row],[M. Tutar]]</f>
        <v>#N/A</v>
      </c>
      <c r="J145" s="350" t="n">
        <f aca="false">SUMIF(bordro810[Personel],bordro810[[#This Row],[Personel]],F$3:F145)-SUMIF(bordro810[Personel],bordro810[[#This Row],[Personel]],G$3:G145)</f>
        <v>0</v>
      </c>
      <c r="K145" s="351" t="str">
        <f aca="false">TEXT(bordro810[[#This Row],[Tarih]],"yyyy")</f>
        <v>1899</v>
      </c>
      <c r="L145" s="1" t="str">
        <f aca="false">TEXT(bordro810[[#This Row],[Tarih]],"yyyy/aa")</f>
        <v>1899.aa</v>
      </c>
      <c r="M145" s="1" t="str">
        <f aca="false">TEXT(bordro810[[#This Row],[Tarih]],"gggg")</f>
        <v>ADMS</v>
      </c>
      <c r="N145" s="1" t="e">
        <f aca="false">VLOOKUP(B145,PersonelListesi!A$1:G$41,4,FALSE())</f>
        <v>#N/A</v>
      </c>
      <c r="O145" s="363"/>
    </row>
    <row r="146" customFormat="false" ht="15" hidden="false" customHeight="false" outlineLevel="0" collapsed="false">
      <c r="B146" s="364"/>
      <c r="C146" s="364"/>
      <c r="D146" s="361"/>
      <c r="E146" s="312" t="e">
        <f aca="false">VLOOKUP(B146,PersonelListesi!A$1:G$47,5,FALSE())</f>
        <v>#N/A</v>
      </c>
      <c r="F146" s="322" t="e">
        <f aca="false">bordro810[[#This Row],[Saat]]*bordro810[[#This Row],[S.Ücret]]</f>
        <v>#N/A</v>
      </c>
      <c r="G146" s="352" t="n">
        <v>0</v>
      </c>
      <c r="H146" s="352"/>
      <c r="I146" s="329" t="e">
        <f aca="false">bordro810[[#This Row],[Ödeme]]-bordro810[[#This Row],[M. Tutar]]</f>
        <v>#N/A</v>
      </c>
      <c r="J146" s="350" t="n">
        <f aca="false">SUMIF(bordro810[Personel],bordro810[[#This Row],[Personel]],F$3:F146)-SUMIF(bordro810[Personel],bordro810[[#This Row],[Personel]],G$3:G146)</f>
        <v>0</v>
      </c>
      <c r="K146" s="351" t="str">
        <f aca="false">TEXT(bordro810[[#This Row],[Tarih]],"yyyy")</f>
        <v>1899</v>
      </c>
      <c r="L146" s="1" t="str">
        <f aca="false">TEXT(bordro810[[#This Row],[Tarih]],"yyyy/aa")</f>
        <v>1899.aa</v>
      </c>
      <c r="M146" s="1" t="str">
        <f aca="false">TEXT(bordro810[[#This Row],[Tarih]],"gggg")</f>
        <v>ADMS</v>
      </c>
      <c r="N146" s="1" t="e">
        <f aca="false">VLOOKUP(B146,PersonelListesi!A$1:G$41,4,FALSE())</f>
        <v>#N/A</v>
      </c>
      <c r="O146" s="363"/>
    </row>
    <row r="147" customFormat="false" ht="15" hidden="false" customHeight="false" outlineLevel="0" collapsed="false">
      <c r="B147" s="364"/>
      <c r="C147" s="364"/>
      <c r="D147" s="361"/>
      <c r="E147" s="312" t="e">
        <f aca="false">VLOOKUP(B147,PersonelListesi!A$1:G$47,5,FALSE())</f>
        <v>#N/A</v>
      </c>
      <c r="F147" s="322" t="e">
        <f aca="false">bordro810[[#This Row],[Saat]]*bordro810[[#This Row],[S.Ücret]]</f>
        <v>#N/A</v>
      </c>
      <c r="G147" s="352" t="n">
        <v>0</v>
      </c>
      <c r="H147" s="352"/>
      <c r="I147" s="329" t="e">
        <f aca="false">bordro810[[#This Row],[Ödeme]]-bordro810[[#This Row],[M. Tutar]]</f>
        <v>#N/A</v>
      </c>
      <c r="J147" s="350" t="n">
        <f aca="false">SUMIF(bordro810[Personel],bordro810[[#This Row],[Personel]],F$3:F147)-SUMIF(bordro810[Personel],bordro810[[#This Row],[Personel]],G$3:G147)</f>
        <v>0</v>
      </c>
      <c r="K147" s="351" t="str">
        <f aca="false">TEXT(bordro810[[#This Row],[Tarih]],"yyyy")</f>
        <v>1899</v>
      </c>
      <c r="L147" s="1" t="str">
        <f aca="false">TEXT(bordro810[[#This Row],[Tarih]],"yyyy/aa")</f>
        <v>1899.aa</v>
      </c>
      <c r="M147" s="1" t="str">
        <f aca="false">TEXT(bordro810[[#This Row],[Tarih]],"gggg")</f>
        <v>ADMS</v>
      </c>
      <c r="N147" s="1" t="e">
        <f aca="false">VLOOKUP(B147,PersonelListesi!A$1:G$41,4,FALSE())</f>
        <v>#N/A</v>
      </c>
      <c r="O147" s="363"/>
    </row>
    <row r="148" customFormat="false" ht="15" hidden="false" customHeight="false" outlineLevel="0" collapsed="false">
      <c r="B148" s="364"/>
      <c r="C148" s="364"/>
      <c r="D148" s="361"/>
      <c r="E148" s="312" t="e">
        <f aca="false">VLOOKUP(B148,PersonelListesi!A$1:G$47,5,FALSE())</f>
        <v>#N/A</v>
      </c>
      <c r="F148" s="322" t="e">
        <f aca="false">bordro810[[#This Row],[Saat]]*bordro810[[#This Row],[S.Ücret]]</f>
        <v>#N/A</v>
      </c>
      <c r="G148" s="352" t="n">
        <v>0</v>
      </c>
      <c r="H148" s="352"/>
      <c r="I148" s="329" t="e">
        <f aca="false">bordro810[[#This Row],[Ödeme]]-bordro810[[#This Row],[M. Tutar]]</f>
        <v>#N/A</v>
      </c>
      <c r="J148" s="350" t="n">
        <f aca="false">SUMIF(bordro810[Personel],bordro810[[#This Row],[Personel]],F$3:F148)-SUMIF(bordro810[Personel],bordro810[[#This Row],[Personel]],G$3:G148)</f>
        <v>0</v>
      </c>
      <c r="K148" s="351" t="str">
        <f aca="false">TEXT(bordro810[[#This Row],[Tarih]],"yyyy")</f>
        <v>1899</v>
      </c>
      <c r="L148" s="1" t="str">
        <f aca="false">TEXT(bordro810[[#This Row],[Tarih]],"yyyy/aa")</f>
        <v>1899.aa</v>
      </c>
      <c r="M148" s="1" t="str">
        <f aca="false">TEXT(bordro810[[#This Row],[Tarih]],"gggg")</f>
        <v>ADMS</v>
      </c>
      <c r="N148" s="1" t="e">
        <f aca="false">VLOOKUP(B148,PersonelListesi!A$1:G$41,4,FALSE())</f>
        <v>#N/A</v>
      </c>
      <c r="O148" s="363"/>
    </row>
    <row r="149" customFormat="false" ht="15" hidden="false" customHeight="false" outlineLevel="0" collapsed="false">
      <c r="B149" s="364"/>
      <c r="C149" s="364"/>
      <c r="D149" s="361"/>
      <c r="E149" s="312" t="e">
        <f aca="false">VLOOKUP(B149,PersonelListesi!A$1:G$47,5,FALSE())</f>
        <v>#N/A</v>
      </c>
      <c r="F149" s="322" t="e">
        <f aca="false">bordro810[[#This Row],[Saat]]*bordro810[[#This Row],[S.Ücret]]</f>
        <v>#N/A</v>
      </c>
      <c r="G149" s="352" t="n">
        <v>0</v>
      </c>
      <c r="H149" s="352"/>
      <c r="I149" s="329" t="e">
        <f aca="false">bordro810[[#This Row],[Ödeme]]-bordro810[[#This Row],[M. Tutar]]</f>
        <v>#N/A</v>
      </c>
      <c r="J149" s="350" t="n">
        <f aca="false">SUMIF(bordro810[Personel],bordro810[[#This Row],[Personel]],F$3:F149)-SUMIF(bordro810[Personel],bordro810[[#This Row],[Personel]],G$3:G149)</f>
        <v>0</v>
      </c>
      <c r="K149" s="351" t="str">
        <f aca="false">TEXT(bordro810[[#This Row],[Tarih]],"yyyy")</f>
        <v>1899</v>
      </c>
      <c r="L149" s="1" t="str">
        <f aca="false">TEXT(bordro810[[#This Row],[Tarih]],"yyyy/aa")</f>
        <v>1899.aa</v>
      </c>
      <c r="M149" s="1" t="str">
        <f aca="false">TEXT(bordro810[[#This Row],[Tarih]],"gggg")</f>
        <v>ADMS</v>
      </c>
      <c r="N149" s="1" t="e">
        <f aca="false">VLOOKUP(B149,PersonelListesi!A$1:G$41,4,FALSE())</f>
        <v>#N/A</v>
      </c>
      <c r="O149" s="363"/>
    </row>
    <row r="150" customFormat="false" ht="15" hidden="false" customHeight="false" outlineLevel="0" collapsed="false">
      <c r="B150" s="364"/>
      <c r="C150" s="364"/>
      <c r="D150" s="361"/>
      <c r="E150" s="312" t="e">
        <f aca="false">VLOOKUP(B150,PersonelListesi!A$1:G$47,5,FALSE())</f>
        <v>#N/A</v>
      </c>
      <c r="F150" s="322" t="e">
        <f aca="false">bordro810[[#This Row],[Saat]]*bordro810[[#This Row],[S.Ücret]]</f>
        <v>#N/A</v>
      </c>
      <c r="G150" s="352" t="n">
        <v>0</v>
      </c>
      <c r="H150" s="352"/>
      <c r="I150" s="329" t="e">
        <f aca="false">bordro810[[#This Row],[Ödeme]]-bordro810[[#This Row],[M. Tutar]]</f>
        <v>#N/A</v>
      </c>
      <c r="J150" s="350" t="n">
        <f aca="false">SUMIF(bordro810[Personel],bordro810[[#This Row],[Personel]],F$3:F150)-SUMIF(bordro810[Personel],bordro810[[#This Row],[Personel]],G$3:G150)</f>
        <v>0</v>
      </c>
      <c r="K150" s="351" t="str">
        <f aca="false">TEXT(bordro810[[#This Row],[Tarih]],"yyyy")</f>
        <v>1899</v>
      </c>
      <c r="L150" s="1" t="str">
        <f aca="false">TEXT(bordro810[[#This Row],[Tarih]],"yyyy/aa")</f>
        <v>1899.aa</v>
      </c>
      <c r="M150" s="1" t="str">
        <f aca="false">TEXT(bordro810[[#This Row],[Tarih]],"gggg")</f>
        <v>ADMS</v>
      </c>
      <c r="N150" s="1" t="e">
        <f aca="false">VLOOKUP(B150,PersonelListesi!A$1:G$41,4,FALSE())</f>
        <v>#N/A</v>
      </c>
      <c r="O150" s="363"/>
    </row>
    <row r="151" customFormat="false" ht="15" hidden="false" customHeight="false" outlineLevel="0" collapsed="false">
      <c r="B151" s="364"/>
      <c r="C151" s="364"/>
      <c r="D151" s="361"/>
      <c r="E151" s="312" t="e">
        <f aca="false">VLOOKUP(B151,PersonelListesi!A$1:G$47,5,FALSE())</f>
        <v>#N/A</v>
      </c>
      <c r="F151" s="322" t="e">
        <f aca="false">bordro810[[#This Row],[Saat]]*bordro810[[#This Row],[S.Ücret]]</f>
        <v>#N/A</v>
      </c>
      <c r="G151" s="352" t="n">
        <v>0</v>
      </c>
      <c r="H151" s="352"/>
      <c r="I151" s="329" t="e">
        <f aca="false">bordro810[[#This Row],[Ödeme]]-bordro810[[#This Row],[M. Tutar]]</f>
        <v>#N/A</v>
      </c>
      <c r="J151" s="350" t="n">
        <f aca="false">SUMIF(bordro810[Personel],bordro810[[#This Row],[Personel]],F$3:F151)-SUMIF(bordro810[Personel],bordro810[[#This Row],[Personel]],G$3:G151)</f>
        <v>0</v>
      </c>
      <c r="K151" s="351" t="str">
        <f aca="false">TEXT(bordro810[[#This Row],[Tarih]],"yyyy")</f>
        <v>1899</v>
      </c>
      <c r="L151" s="1" t="str">
        <f aca="false">TEXT(bordro810[[#This Row],[Tarih]],"yyyy/aa")</f>
        <v>1899.aa</v>
      </c>
      <c r="M151" s="1" t="str">
        <f aca="false">TEXT(bordro810[[#This Row],[Tarih]],"gggg")</f>
        <v>ADMS</v>
      </c>
      <c r="N151" s="1" t="e">
        <f aca="false">VLOOKUP(B151,PersonelListesi!A$1:G$41,4,FALSE())</f>
        <v>#N/A</v>
      </c>
      <c r="O151" s="363"/>
    </row>
    <row r="152" customFormat="false" ht="15" hidden="false" customHeight="false" outlineLevel="0" collapsed="false">
      <c r="B152" s="364"/>
      <c r="C152" s="364"/>
      <c r="D152" s="361"/>
      <c r="E152" s="312" t="e">
        <f aca="false">VLOOKUP(B152,PersonelListesi!A$1:G$47,5,FALSE())</f>
        <v>#N/A</v>
      </c>
      <c r="F152" s="322" t="e">
        <f aca="false">bordro810[[#This Row],[Saat]]*bordro810[[#This Row],[S.Ücret]]</f>
        <v>#N/A</v>
      </c>
      <c r="G152" s="352" t="n">
        <v>0</v>
      </c>
      <c r="H152" s="352"/>
      <c r="I152" s="329" t="e">
        <f aca="false">bordro810[[#This Row],[Ödeme]]-bordro810[[#This Row],[M. Tutar]]</f>
        <v>#N/A</v>
      </c>
      <c r="J152" s="350" t="n">
        <f aca="false">SUMIF(bordro810[Personel],bordro810[[#This Row],[Personel]],F$3:F152)-SUMIF(bordro810[Personel],bordro810[[#This Row],[Personel]],G$3:G152)</f>
        <v>0</v>
      </c>
      <c r="K152" s="351" t="str">
        <f aca="false">TEXT(bordro810[[#This Row],[Tarih]],"yyyy")</f>
        <v>1899</v>
      </c>
      <c r="L152" s="1" t="str">
        <f aca="false">TEXT(bordro810[[#This Row],[Tarih]],"yyyy/aa")</f>
        <v>1899.aa</v>
      </c>
      <c r="M152" s="1" t="str">
        <f aca="false">TEXT(bordro810[[#This Row],[Tarih]],"gggg")</f>
        <v>ADMS</v>
      </c>
      <c r="N152" s="1" t="e">
        <f aca="false">VLOOKUP(B152,PersonelListesi!A$1:G$41,4,FALSE())</f>
        <v>#N/A</v>
      </c>
      <c r="O152" s="363"/>
    </row>
    <row r="153" customFormat="false" ht="15" hidden="false" customHeight="false" outlineLevel="0" collapsed="false">
      <c r="B153" s="364"/>
      <c r="C153" s="364"/>
      <c r="D153" s="361"/>
      <c r="E153" s="312" t="e">
        <f aca="false">VLOOKUP(B153,PersonelListesi!A$1:G$47,5,FALSE())</f>
        <v>#N/A</v>
      </c>
      <c r="F153" s="322" t="e">
        <f aca="false">bordro810[[#This Row],[Saat]]*bordro810[[#This Row],[S.Ücret]]</f>
        <v>#N/A</v>
      </c>
      <c r="G153" s="352" t="n">
        <v>0</v>
      </c>
      <c r="H153" s="352"/>
      <c r="I153" s="329" t="e">
        <f aca="false">bordro810[[#This Row],[Ödeme]]-bordro810[[#This Row],[M. Tutar]]</f>
        <v>#N/A</v>
      </c>
      <c r="J153" s="350" t="n">
        <f aca="false">SUMIF(bordro810[Personel],bordro810[[#This Row],[Personel]],F$3:F153)-SUMIF(bordro810[Personel],bordro810[[#This Row],[Personel]],G$3:G153)</f>
        <v>0</v>
      </c>
      <c r="K153" s="351" t="str">
        <f aca="false">TEXT(bordro810[[#This Row],[Tarih]],"yyyy")</f>
        <v>1899</v>
      </c>
      <c r="L153" s="1" t="str">
        <f aca="false">TEXT(bordro810[[#This Row],[Tarih]],"yyyy/aa")</f>
        <v>1899.aa</v>
      </c>
      <c r="M153" s="1" t="str">
        <f aca="false">TEXT(bordro810[[#This Row],[Tarih]],"gggg")</f>
        <v>ADMS</v>
      </c>
      <c r="N153" s="1" t="e">
        <f aca="false">VLOOKUP(B153,PersonelListesi!A$1:G$41,4,FALSE())</f>
        <v>#N/A</v>
      </c>
      <c r="O153" s="363"/>
    </row>
    <row r="154" customFormat="false" ht="15" hidden="false" customHeight="false" outlineLevel="0" collapsed="false">
      <c r="B154" s="364"/>
      <c r="C154" s="364"/>
      <c r="D154" s="361"/>
      <c r="E154" s="312" t="e">
        <f aca="false">VLOOKUP(B154,PersonelListesi!A$1:G$47,5,FALSE())</f>
        <v>#N/A</v>
      </c>
      <c r="F154" s="322" t="e">
        <f aca="false">bordro810[[#This Row],[Saat]]*bordro810[[#This Row],[S.Ücret]]</f>
        <v>#N/A</v>
      </c>
      <c r="G154" s="352" t="n">
        <v>0</v>
      </c>
      <c r="H154" s="352"/>
      <c r="I154" s="329" t="e">
        <f aca="false">bordro810[[#This Row],[Ödeme]]-bordro810[[#This Row],[M. Tutar]]</f>
        <v>#N/A</v>
      </c>
      <c r="J154" s="350" t="n">
        <f aca="false">SUMIF(bordro810[Personel],bordro810[[#This Row],[Personel]],F$3:F154)-SUMIF(bordro810[Personel],bordro810[[#This Row],[Personel]],G$3:G154)</f>
        <v>0</v>
      </c>
      <c r="K154" s="351" t="str">
        <f aca="false">TEXT(bordro810[[#This Row],[Tarih]],"yyyy")</f>
        <v>1899</v>
      </c>
      <c r="L154" s="1" t="str">
        <f aca="false">TEXT(bordro810[[#This Row],[Tarih]],"yyyy/aa")</f>
        <v>1899.aa</v>
      </c>
      <c r="M154" s="1" t="str">
        <f aca="false">TEXT(bordro810[[#This Row],[Tarih]],"gggg")</f>
        <v>ADMS</v>
      </c>
      <c r="N154" s="1" t="e">
        <f aca="false">VLOOKUP(B154,PersonelListesi!A$1:G$41,4,FALSE())</f>
        <v>#N/A</v>
      </c>
      <c r="O154" s="363"/>
    </row>
    <row r="155" customFormat="false" ht="15" hidden="false" customHeight="false" outlineLevel="0" collapsed="false">
      <c r="B155" s="364"/>
      <c r="C155" s="364"/>
      <c r="D155" s="361"/>
      <c r="E155" s="312" t="e">
        <f aca="false">VLOOKUP(B155,PersonelListesi!A$1:G$47,5,FALSE())</f>
        <v>#N/A</v>
      </c>
      <c r="F155" s="322" t="e">
        <f aca="false">bordro810[[#This Row],[Saat]]*bordro810[[#This Row],[S.Ücret]]</f>
        <v>#N/A</v>
      </c>
      <c r="G155" s="352" t="n">
        <v>0</v>
      </c>
      <c r="H155" s="352"/>
      <c r="I155" s="329" t="e">
        <f aca="false">bordro810[[#This Row],[Ödeme]]-bordro810[[#This Row],[M. Tutar]]</f>
        <v>#N/A</v>
      </c>
      <c r="J155" s="350" t="n">
        <f aca="false">SUMIF(bordro810[Personel],bordro810[[#This Row],[Personel]],F$3:F155)-SUMIF(bordro810[Personel],bordro810[[#This Row],[Personel]],G$3:G155)</f>
        <v>0</v>
      </c>
      <c r="K155" s="351" t="str">
        <f aca="false">TEXT(bordro810[[#This Row],[Tarih]],"yyyy")</f>
        <v>1899</v>
      </c>
      <c r="L155" s="1" t="str">
        <f aca="false">TEXT(bordro810[[#This Row],[Tarih]],"yyyy/aa")</f>
        <v>1899.aa</v>
      </c>
      <c r="M155" s="1" t="str">
        <f aca="false">TEXT(bordro810[[#This Row],[Tarih]],"gggg")</f>
        <v>ADMS</v>
      </c>
      <c r="N155" s="1" t="e">
        <f aca="false">VLOOKUP(B155,PersonelListesi!A$1:G$41,4,FALSE())</f>
        <v>#N/A</v>
      </c>
      <c r="O155" s="363"/>
    </row>
    <row r="156" customFormat="false" ht="15" hidden="false" customHeight="false" outlineLevel="0" collapsed="false">
      <c r="B156" s="364"/>
      <c r="C156" s="364"/>
      <c r="D156" s="361"/>
      <c r="E156" s="312" t="e">
        <f aca="false">VLOOKUP(B156,PersonelListesi!A$1:G$47,5,FALSE())</f>
        <v>#N/A</v>
      </c>
      <c r="F156" s="322" t="e">
        <f aca="false">bordro810[[#This Row],[Saat]]*bordro810[[#This Row],[S.Ücret]]</f>
        <v>#N/A</v>
      </c>
      <c r="G156" s="352" t="n">
        <v>0</v>
      </c>
      <c r="H156" s="352"/>
      <c r="I156" s="329" t="e">
        <f aca="false">bordro810[[#This Row],[Ödeme]]-bordro810[[#This Row],[M. Tutar]]</f>
        <v>#N/A</v>
      </c>
      <c r="J156" s="350" t="n">
        <f aca="false">SUMIF(bordro810[Personel],bordro810[[#This Row],[Personel]],F$3:F156)-SUMIF(bordro810[Personel],bordro810[[#This Row],[Personel]],G$3:G156)</f>
        <v>0</v>
      </c>
      <c r="K156" s="351" t="str">
        <f aca="false">TEXT(bordro810[[#This Row],[Tarih]],"yyyy")</f>
        <v>1899</v>
      </c>
      <c r="L156" s="1" t="str">
        <f aca="false">TEXT(bordro810[[#This Row],[Tarih]],"yyyy/aa")</f>
        <v>1899.aa</v>
      </c>
      <c r="M156" s="1" t="str">
        <f aca="false">TEXT(bordro810[[#This Row],[Tarih]],"gggg")</f>
        <v>ADMS</v>
      </c>
      <c r="N156" s="1" t="e">
        <f aca="false">VLOOKUP(B156,PersonelListesi!A$1:G$41,4,FALSE())</f>
        <v>#N/A</v>
      </c>
      <c r="O156" s="363"/>
    </row>
    <row r="157" customFormat="false" ht="15" hidden="false" customHeight="false" outlineLevel="0" collapsed="false">
      <c r="B157" s="364"/>
      <c r="C157" s="364"/>
      <c r="D157" s="361"/>
      <c r="E157" s="312" t="e">
        <f aca="false">VLOOKUP(B157,PersonelListesi!A$1:G$47,5,FALSE())</f>
        <v>#N/A</v>
      </c>
      <c r="F157" s="322" t="e">
        <f aca="false">bordro810[[#This Row],[Saat]]*bordro810[[#This Row],[S.Ücret]]</f>
        <v>#N/A</v>
      </c>
      <c r="G157" s="352" t="n">
        <v>0</v>
      </c>
      <c r="H157" s="352"/>
      <c r="I157" s="329" t="e">
        <f aca="false">bordro810[[#This Row],[Ödeme]]-bordro810[[#This Row],[M. Tutar]]</f>
        <v>#N/A</v>
      </c>
      <c r="J157" s="350" t="n">
        <f aca="false">SUMIF(bordro810[Personel],bordro810[[#This Row],[Personel]],F$3:F157)-SUMIF(bordro810[Personel],bordro810[[#This Row],[Personel]],G$3:G157)</f>
        <v>0</v>
      </c>
      <c r="K157" s="351" t="str">
        <f aca="false">TEXT(bordro810[[#This Row],[Tarih]],"yyyy")</f>
        <v>1899</v>
      </c>
      <c r="L157" s="1" t="str">
        <f aca="false">TEXT(bordro810[[#This Row],[Tarih]],"yyyy/aa")</f>
        <v>1899.aa</v>
      </c>
      <c r="M157" s="1" t="str">
        <f aca="false">TEXT(bordro810[[#This Row],[Tarih]],"gggg")</f>
        <v>ADMS</v>
      </c>
      <c r="N157" s="1" t="e">
        <f aca="false">VLOOKUP(B157,PersonelListesi!A$1:G$41,4,FALSE())</f>
        <v>#N/A</v>
      </c>
      <c r="O157" s="363"/>
    </row>
    <row r="158" customFormat="false" ht="15" hidden="false" customHeight="false" outlineLevel="0" collapsed="false">
      <c r="B158" s="364"/>
      <c r="C158" s="364"/>
      <c r="D158" s="361"/>
      <c r="E158" s="312" t="e">
        <f aca="false">VLOOKUP(B158,PersonelListesi!A$1:G$47,5,FALSE())</f>
        <v>#N/A</v>
      </c>
      <c r="F158" s="322" t="e">
        <f aca="false">bordro810[[#This Row],[Saat]]*bordro810[[#This Row],[S.Ücret]]</f>
        <v>#N/A</v>
      </c>
      <c r="G158" s="352" t="n">
        <v>0</v>
      </c>
      <c r="H158" s="352"/>
      <c r="I158" s="329" t="e">
        <f aca="false">bordro810[[#This Row],[Ödeme]]-bordro810[[#This Row],[M. Tutar]]</f>
        <v>#N/A</v>
      </c>
      <c r="J158" s="350" t="n">
        <f aca="false">SUMIF(bordro810[Personel],bordro810[[#This Row],[Personel]],F$3:F158)-SUMIF(bordro810[Personel],bordro810[[#This Row],[Personel]],G$3:G158)</f>
        <v>0</v>
      </c>
      <c r="K158" s="351" t="str">
        <f aca="false">TEXT(bordro810[[#This Row],[Tarih]],"yyyy")</f>
        <v>1899</v>
      </c>
      <c r="L158" s="1" t="str">
        <f aca="false">TEXT(bordro810[[#This Row],[Tarih]],"yyyy/aa")</f>
        <v>1899.aa</v>
      </c>
      <c r="M158" s="1" t="str">
        <f aca="false">TEXT(bordro810[[#This Row],[Tarih]],"gggg")</f>
        <v>ADMS</v>
      </c>
      <c r="N158" s="1" t="e">
        <f aca="false">VLOOKUP(B158,PersonelListesi!A$1:G$41,4,FALSE())</f>
        <v>#N/A</v>
      </c>
      <c r="O158" s="363"/>
    </row>
    <row r="159" customFormat="false" ht="15" hidden="false" customHeight="false" outlineLevel="0" collapsed="false">
      <c r="B159" s="364"/>
      <c r="C159" s="364"/>
      <c r="D159" s="361"/>
      <c r="E159" s="312" t="e">
        <f aca="false">VLOOKUP(B159,PersonelListesi!A$1:G$47,5,FALSE())</f>
        <v>#N/A</v>
      </c>
      <c r="F159" s="322" t="e">
        <f aca="false">bordro810[[#This Row],[Saat]]*bordro810[[#This Row],[S.Ücret]]</f>
        <v>#N/A</v>
      </c>
      <c r="G159" s="352" t="n">
        <v>0</v>
      </c>
      <c r="H159" s="352"/>
      <c r="I159" s="329" t="e">
        <f aca="false">bordro810[[#This Row],[Ödeme]]-bordro810[[#This Row],[M. Tutar]]</f>
        <v>#N/A</v>
      </c>
      <c r="J159" s="350" t="n">
        <f aca="false">SUMIF(bordro810[Personel],bordro810[[#This Row],[Personel]],F$3:F159)-SUMIF(bordro810[Personel],bordro810[[#This Row],[Personel]],G$3:G159)</f>
        <v>0</v>
      </c>
      <c r="K159" s="351" t="str">
        <f aca="false">TEXT(bordro810[[#This Row],[Tarih]],"yyyy")</f>
        <v>1899</v>
      </c>
      <c r="L159" s="1" t="str">
        <f aca="false">TEXT(bordro810[[#This Row],[Tarih]],"yyyy/aa")</f>
        <v>1899.aa</v>
      </c>
      <c r="M159" s="1" t="str">
        <f aca="false">TEXT(bordro810[[#This Row],[Tarih]],"gggg")</f>
        <v>ADMS</v>
      </c>
      <c r="N159" s="1" t="e">
        <f aca="false">VLOOKUP(B159,PersonelListesi!A$1:G$41,4,FALSE())</f>
        <v>#N/A</v>
      </c>
      <c r="O159" s="363"/>
    </row>
    <row r="160" customFormat="false" ht="15" hidden="false" customHeight="false" outlineLevel="0" collapsed="false">
      <c r="B160" s="364"/>
      <c r="C160" s="364"/>
      <c r="D160" s="361"/>
      <c r="E160" s="312" t="e">
        <f aca="false">VLOOKUP(B160,PersonelListesi!A$1:G$47,5,FALSE())</f>
        <v>#N/A</v>
      </c>
      <c r="F160" s="322" t="e">
        <f aca="false">bordro810[[#This Row],[Saat]]*bordro810[[#This Row],[S.Ücret]]</f>
        <v>#N/A</v>
      </c>
      <c r="G160" s="352" t="n">
        <v>0</v>
      </c>
      <c r="H160" s="352"/>
      <c r="I160" s="329" t="e">
        <f aca="false">bordro810[[#This Row],[Ödeme]]-bordro810[[#This Row],[M. Tutar]]</f>
        <v>#N/A</v>
      </c>
      <c r="J160" s="350" t="n">
        <f aca="false">SUMIF(bordro810[Personel],bordro810[[#This Row],[Personel]],F$3:F160)-SUMIF(bordro810[Personel],bordro810[[#This Row],[Personel]],G$3:G160)</f>
        <v>0</v>
      </c>
      <c r="K160" s="351" t="str">
        <f aca="false">TEXT(bordro810[[#This Row],[Tarih]],"yyyy")</f>
        <v>1899</v>
      </c>
      <c r="L160" s="1" t="str">
        <f aca="false">TEXT(bordro810[[#This Row],[Tarih]],"yyyy/aa")</f>
        <v>1899.aa</v>
      </c>
      <c r="M160" s="1" t="str">
        <f aca="false">TEXT(bordro810[[#This Row],[Tarih]],"gggg")</f>
        <v>ADMS</v>
      </c>
      <c r="N160" s="1" t="e">
        <f aca="false">VLOOKUP(B160,PersonelListesi!A$1:G$41,4,FALSE())</f>
        <v>#N/A</v>
      </c>
      <c r="O160" s="363"/>
    </row>
    <row r="161" customFormat="false" ht="15" hidden="false" customHeight="false" outlineLevel="0" collapsed="false">
      <c r="B161" s="364"/>
      <c r="C161" s="364"/>
      <c r="D161" s="361"/>
      <c r="E161" s="312" t="e">
        <f aca="false">VLOOKUP(B161,PersonelListesi!A$1:G$47,5,FALSE())</f>
        <v>#N/A</v>
      </c>
      <c r="F161" s="322" t="e">
        <f aca="false">bordro810[[#This Row],[Saat]]*bordro810[[#This Row],[S.Ücret]]</f>
        <v>#N/A</v>
      </c>
      <c r="G161" s="352" t="n">
        <v>0</v>
      </c>
      <c r="H161" s="352"/>
      <c r="I161" s="329" t="e">
        <f aca="false">bordro810[[#This Row],[Ödeme]]-bordro810[[#This Row],[M. Tutar]]</f>
        <v>#N/A</v>
      </c>
      <c r="J161" s="350" t="n">
        <f aca="false">SUMIF(bordro810[Personel],bordro810[[#This Row],[Personel]],F$3:F161)-SUMIF(bordro810[Personel],bordro810[[#This Row],[Personel]],G$3:G161)</f>
        <v>0</v>
      </c>
      <c r="K161" s="351" t="str">
        <f aca="false">TEXT(bordro810[[#This Row],[Tarih]],"yyyy")</f>
        <v>1899</v>
      </c>
      <c r="L161" s="1" t="str">
        <f aca="false">TEXT(bordro810[[#This Row],[Tarih]],"yyyy/aa")</f>
        <v>1899.aa</v>
      </c>
      <c r="M161" s="1" t="str">
        <f aca="false">TEXT(bordro810[[#This Row],[Tarih]],"gggg")</f>
        <v>ADMS</v>
      </c>
      <c r="N161" s="1" t="e">
        <f aca="false">VLOOKUP(B161,PersonelListesi!A$1:G$41,4,FALSE())</f>
        <v>#N/A</v>
      </c>
      <c r="O161" s="363"/>
    </row>
    <row r="162" customFormat="false" ht="15" hidden="false" customHeight="false" outlineLevel="0" collapsed="false">
      <c r="B162" s="364"/>
      <c r="C162" s="364"/>
      <c r="D162" s="361"/>
      <c r="E162" s="312" t="e">
        <f aca="false">VLOOKUP(B162,PersonelListesi!A$1:G$47,5,FALSE())</f>
        <v>#N/A</v>
      </c>
      <c r="F162" s="322" t="e">
        <f aca="false">bordro810[[#This Row],[Saat]]*bordro810[[#This Row],[S.Ücret]]</f>
        <v>#N/A</v>
      </c>
      <c r="G162" s="352" t="n">
        <v>0</v>
      </c>
      <c r="H162" s="352"/>
      <c r="I162" s="329" t="e">
        <f aca="false">bordro810[[#This Row],[Ödeme]]-bordro810[[#This Row],[M. Tutar]]</f>
        <v>#N/A</v>
      </c>
      <c r="J162" s="350" t="n">
        <f aca="false">SUMIF(bordro810[Personel],bordro810[[#This Row],[Personel]],F$3:F162)-SUMIF(bordro810[Personel],bordro810[[#This Row],[Personel]],G$3:G162)</f>
        <v>0</v>
      </c>
      <c r="K162" s="351" t="str">
        <f aca="false">TEXT(bordro810[[#This Row],[Tarih]],"yyyy")</f>
        <v>1899</v>
      </c>
      <c r="L162" s="1" t="str">
        <f aca="false">TEXT(bordro810[[#This Row],[Tarih]],"yyyy/aa")</f>
        <v>1899.aa</v>
      </c>
      <c r="M162" s="1" t="str">
        <f aca="false">TEXT(bordro810[[#This Row],[Tarih]],"gggg")</f>
        <v>ADMS</v>
      </c>
      <c r="N162" s="1" t="e">
        <f aca="false">VLOOKUP(B162,PersonelListesi!A$1:G$41,4,FALSE())</f>
        <v>#N/A</v>
      </c>
      <c r="O162" s="363"/>
    </row>
    <row r="163" customFormat="false" ht="15" hidden="false" customHeight="false" outlineLevel="0" collapsed="false">
      <c r="B163" s="364"/>
      <c r="C163" s="364"/>
      <c r="D163" s="361"/>
      <c r="E163" s="312" t="e">
        <f aca="false">VLOOKUP(B163,PersonelListesi!A$1:G$47,5,FALSE())</f>
        <v>#N/A</v>
      </c>
      <c r="F163" s="322" t="e">
        <f aca="false">bordro810[[#This Row],[Saat]]*bordro810[[#This Row],[S.Ücret]]</f>
        <v>#N/A</v>
      </c>
      <c r="G163" s="352" t="n">
        <v>0</v>
      </c>
      <c r="H163" s="352"/>
      <c r="I163" s="329" t="e">
        <f aca="false">bordro810[[#This Row],[Ödeme]]-bordro810[[#This Row],[M. Tutar]]</f>
        <v>#N/A</v>
      </c>
      <c r="J163" s="350" t="n">
        <f aca="false">SUMIF(bordro810[Personel],bordro810[[#This Row],[Personel]],F$3:F163)-SUMIF(bordro810[Personel],bordro810[[#This Row],[Personel]],G$3:G163)</f>
        <v>0</v>
      </c>
      <c r="K163" s="351" t="str">
        <f aca="false">TEXT(bordro810[[#This Row],[Tarih]],"yyyy")</f>
        <v>1899</v>
      </c>
      <c r="L163" s="1" t="str">
        <f aca="false">TEXT(bordro810[[#This Row],[Tarih]],"yyyy/aa")</f>
        <v>1899.aa</v>
      </c>
      <c r="M163" s="1" t="str">
        <f aca="false">TEXT(bordro810[[#This Row],[Tarih]],"gggg")</f>
        <v>ADMS</v>
      </c>
      <c r="N163" s="1" t="e">
        <f aca="false">VLOOKUP(B163,PersonelListesi!A$1:G$41,4,FALSE())</f>
        <v>#N/A</v>
      </c>
      <c r="O163" s="363"/>
    </row>
    <row r="164" customFormat="false" ht="15" hidden="false" customHeight="false" outlineLevel="0" collapsed="false">
      <c r="B164" s="364"/>
      <c r="C164" s="364"/>
      <c r="D164" s="361"/>
      <c r="E164" s="312" t="e">
        <f aca="false">VLOOKUP(B164,PersonelListesi!A$1:G$47,5,FALSE())</f>
        <v>#N/A</v>
      </c>
      <c r="F164" s="322" t="e">
        <f aca="false">bordro810[[#This Row],[Saat]]*bordro810[[#This Row],[S.Ücret]]</f>
        <v>#N/A</v>
      </c>
      <c r="G164" s="352" t="n">
        <v>0</v>
      </c>
      <c r="H164" s="352"/>
      <c r="I164" s="329" t="e">
        <f aca="false">bordro810[[#This Row],[Ödeme]]-bordro810[[#This Row],[M. Tutar]]</f>
        <v>#N/A</v>
      </c>
      <c r="J164" s="350" t="n">
        <f aca="false">SUMIF(bordro810[Personel],bordro810[[#This Row],[Personel]],F$3:F164)-SUMIF(bordro810[Personel],bordro810[[#This Row],[Personel]],G$3:G164)</f>
        <v>0</v>
      </c>
      <c r="K164" s="351" t="str">
        <f aca="false">TEXT(bordro810[[#This Row],[Tarih]],"yyyy")</f>
        <v>1899</v>
      </c>
      <c r="L164" s="1" t="str">
        <f aca="false">TEXT(bordro810[[#This Row],[Tarih]],"yyyy/aa")</f>
        <v>1899.aa</v>
      </c>
      <c r="M164" s="1" t="str">
        <f aca="false">TEXT(bordro810[[#This Row],[Tarih]],"gggg")</f>
        <v>ADMS</v>
      </c>
      <c r="N164" s="1" t="e">
        <f aca="false">VLOOKUP(B164,PersonelListesi!A$1:G$41,4,FALSE())</f>
        <v>#N/A</v>
      </c>
      <c r="O164" s="363"/>
    </row>
    <row r="165" customFormat="false" ht="15" hidden="false" customHeight="false" outlineLevel="0" collapsed="false">
      <c r="B165" s="364"/>
      <c r="C165" s="364"/>
      <c r="D165" s="361"/>
      <c r="E165" s="312" t="e">
        <f aca="false">VLOOKUP(B165,PersonelListesi!A$1:G$47,5,FALSE())</f>
        <v>#N/A</v>
      </c>
      <c r="F165" s="322" t="e">
        <f aca="false">bordro810[[#This Row],[Saat]]*bordro810[[#This Row],[S.Ücret]]</f>
        <v>#N/A</v>
      </c>
      <c r="G165" s="352" t="n">
        <v>0</v>
      </c>
      <c r="H165" s="352"/>
      <c r="I165" s="329" t="e">
        <f aca="false">bordro810[[#This Row],[Ödeme]]-bordro810[[#This Row],[M. Tutar]]</f>
        <v>#N/A</v>
      </c>
      <c r="J165" s="350" t="n">
        <f aca="false">SUMIF(bordro810[Personel],bordro810[[#This Row],[Personel]],F$3:F165)-SUMIF(bordro810[Personel],bordro810[[#This Row],[Personel]],G$3:G165)</f>
        <v>0</v>
      </c>
      <c r="K165" s="351" t="str">
        <f aca="false">TEXT(bordro810[[#This Row],[Tarih]],"yyyy")</f>
        <v>1899</v>
      </c>
      <c r="L165" s="1" t="str">
        <f aca="false">TEXT(bordro810[[#This Row],[Tarih]],"yyyy/aa")</f>
        <v>1899.aa</v>
      </c>
      <c r="M165" s="1" t="str">
        <f aca="false">TEXT(bordro810[[#This Row],[Tarih]],"gggg")</f>
        <v>ADMS</v>
      </c>
      <c r="N165" s="1" t="e">
        <f aca="false">VLOOKUP(B165,PersonelListesi!A$1:G$41,4,FALSE())</f>
        <v>#N/A</v>
      </c>
      <c r="O165" s="363"/>
    </row>
    <row r="166" customFormat="false" ht="15" hidden="false" customHeight="false" outlineLevel="0" collapsed="false">
      <c r="B166" s="364"/>
      <c r="C166" s="364"/>
      <c r="D166" s="361"/>
      <c r="E166" s="312" t="e">
        <f aca="false">VLOOKUP(B166,PersonelListesi!A$1:G$47,5,FALSE())</f>
        <v>#N/A</v>
      </c>
      <c r="F166" s="322" t="e">
        <f aca="false">bordro810[[#This Row],[Saat]]*bordro810[[#This Row],[S.Ücret]]</f>
        <v>#N/A</v>
      </c>
      <c r="G166" s="352" t="n">
        <v>0</v>
      </c>
      <c r="H166" s="352"/>
      <c r="I166" s="329" t="e">
        <f aca="false">bordro810[[#This Row],[Ödeme]]-bordro810[[#This Row],[M. Tutar]]</f>
        <v>#N/A</v>
      </c>
      <c r="J166" s="350" t="n">
        <f aca="false">SUMIF(bordro810[Personel],bordro810[[#This Row],[Personel]],F$3:F166)-SUMIF(bordro810[Personel],bordro810[[#This Row],[Personel]],G$3:G166)</f>
        <v>0</v>
      </c>
      <c r="K166" s="351" t="str">
        <f aca="false">TEXT(bordro810[[#This Row],[Tarih]],"yyyy")</f>
        <v>1899</v>
      </c>
      <c r="L166" s="1" t="str">
        <f aca="false">TEXT(bordro810[[#This Row],[Tarih]],"yyyy/aa")</f>
        <v>1899.aa</v>
      </c>
      <c r="M166" s="1" t="str">
        <f aca="false">TEXT(bordro810[[#This Row],[Tarih]],"gggg")</f>
        <v>ADMS</v>
      </c>
      <c r="N166" s="1" t="e">
        <f aca="false">VLOOKUP(B166,PersonelListesi!A$1:G$41,4,FALSE())</f>
        <v>#N/A</v>
      </c>
      <c r="O166" s="363"/>
    </row>
    <row r="167" customFormat="false" ht="15" hidden="false" customHeight="false" outlineLevel="0" collapsed="false">
      <c r="B167" s="364"/>
      <c r="C167" s="364"/>
      <c r="D167" s="361"/>
      <c r="E167" s="312" t="e">
        <f aca="false">VLOOKUP(B167,PersonelListesi!A$1:G$47,5,FALSE())</f>
        <v>#N/A</v>
      </c>
      <c r="F167" s="322" t="e">
        <f aca="false">bordro810[[#This Row],[Saat]]*bordro810[[#This Row],[S.Ücret]]</f>
        <v>#N/A</v>
      </c>
      <c r="G167" s="352" t="n">
        <v>0</v>
      </c>
      <c r="H167" s="352"/>
      <c r="I167" s="329" t="e">
        <f aca="false">bordro810[[#This Row],[Ödeme]]-bordro810[[#This Row],[M. Tutar]]</f>
        <v>#N/A</v>
      </c>
      <c r="J167" s="350" t="n">
        <f aca="false">SUMIF(bordro810[Personel],bordro810[[#This Row],[Personel]],F$3:F167)-SUMIF(bordro810[Personel],bordro810[[#This Row],[Personel]],G$3:G167)</f>
        <v>0</v>
      </c>
      <c r="K167" s="351" t="str">
        <f aca="false">TEXT(bordro810[[#This Row],[Tarih]],"yyyy")</f>
        <v>1899</v>
      </c>
      <c r="L167" s="1" t="str">
        <f aca="false">TEXT(bordro810[[#This Row],[Tarih]],"yyyy/aa")</f>
        <v>1899.aa</v>
      </c>
      <c r="M167" s="1" t="str">
        <f aca="false">TEXT(bordro810[[#This Row],[Tarih]],"gggg")</f>
        <v>ADMS</v>
      </c>
      <c r="N167" s="1" t="e">
        <f aca="false">VLOOKUP(B167,PersonelListesi!A$1:G$41,4,FALSE())</f>
        <v>#N/A</v>
      </c>
      <c r="O167" s="363"/>
    </row>
    <row r="168" customFormat="false" ht="15" hidden="false" customHeight="false" outlineLevel="0" collapsed="false">
      <c r="B168" s="364"/>
      <c r="C168" s="364"/>
      <c r="D168" s="361"/>
      <c r="E168" s="312" t="e">
        <f aca="false">VLOOKUP(B168,PersonelListesi!A$1:G$47,5,FALSE())</f>
        <v>#N/A</v>
      </c>
      <c r="F168" s="322" t="e">
        <f aca="false">bordro810[[#This Row],[Saat]]*bordro810[[#This Row],[S.Ücret]]</f>
        <v>#N/A</v>
      </c>
      <c r="G168" s="352" t="n">
        <v>0</v>
      </c>
      <c r="H168" s="352"/>
      <c r="I168" s="329" t="e">
        <f aca="false">bordro810[[#This Row],[Ödeme]]-bordro810[[#This Row],[M. Tutar]]</f>
        <v>#N/A</v>
      </c>
      <c r="J168" s="350" t="n">
        <f aca="false">SUMIF(bordro810[Personel],bordro810[[#This Row],[Personel]],F$3:F168)-SUMIF(bordro810[Personel],bordro810[[#This Row],[Personel]],G$3:G168)</f>
        <v>0</v>
      </c>
      <c r="K168" s="351" t="str">
        <f aca="false">TEXT(bordro810[[#This Row],[Tarih]],"yyyy")</f>
        <v>1899</v>
      </c>
      <c r="L168" s="1" t="str">
        <f aca="false">TEXT(bordro810[[#This Row],[Tarih]],"yyyy/aa")</f>
        <v>1899.aa</v>
      </c>
      <c r="M168" s="1" t="str">
        <f aca="false">TEXT(bordro810[[#This Row],[Tarih]],"gggg")</f>
        <v>ADMS</v>
      </c>
      <c r="N168" s="1" t="e">
        <f aca="false">VLOOKUP(B168,PersonelListesi!A$1:G$41,4,FALSE())</f>
        <v>#N/A</v>
      </c>
      <c r="O168" s="363"/>
    </row>
    <row r="169" customFormat="false" ht="15" hidden="false" customHeight="false" outlineLevel="0" collapsed="false">
      <c r="B169" s="364"/>
      <c r="C169" s="364"/>
      <c r="D169" s="361"/>
      <c r="E169" s="312" t="e">
        <f aca="false">VLOOKUP(B169,PersonelListesi!A$1:G$47,5,FALSE())</f>
        <v>#N/A</v>
      </c>
      <c r="F169" s="322" t="e">
        <f aca="false">bordro810[[#This Row],[Saat]]*bordro810[[#This Row],[S.Ücret]]</f>
        <v>#N/A</v>
      </c>
      <c r="G169" s="352" t="n">
        <v>0</v>
      </c>
      <c r="H169" s="352"/>
      <c r="I169" s="329" t="e">
        <f aca="false">bordro810[[#This Row],[Ödeme]]-bordro810[[#This Row],[M. Tutar]]</f>
        <v>#N/A</v>
      </c>
      <c r="J169" s="350" t="n">
        <f aca="false">SUMIF(bordro810[Personel],bordro810[[#This Row],[Personel]],F$3:F169)-SUMIF(bordro810[Personel],bordro810[[#This Row],[Personel]],G$3:G169)</f>
        <v>0</v>
      </c>
      <c r="K169" s="351" t="str">
        <f aca="false">TEXT(bordro810[[#This Row],[Tarih]],"yyyy")</f>
        <v>1899</v>
      </c>
      <c r="L169" s="1" t="str">
        <f aca="false">TEXT(bordro810[[#This Row],[Tarih]],"yyyy/aa")</f>
        <v>1899.aa</v>
      </c>
      <c r="M169" s="1" t="str">
        <f aca="false">TEXT(bordro810[[#This Row],[Tarih]],"gggg")</f>
        <v>ADMS</v>
      </c>
      <c r="N169" s="1" t="e">
        <f aca="false">VLOOKUP(B169,PersonelListesi!A$1:G$41,4,FALSE())</f>
        <v>#N/A</v>
      </c>
      <c r="O169" s="363"/>
    </row>
    <row r="170" customFormat="false" ht="15" hidden="false" customHeight="false" outlineLevel="0" collapsed="false">
      <c r="B170" s="364"/>
      <c r="C170" s="364"/>
      <c r="D170" s="361"/>
      <c r="E170" s="312" t="e">
        <f aca="false">VLOOKUP(B170,PersonelListesi!A$1:G$47,5,FALSE())</f>
        <v>#N/A</v>
      </c>
      <c r="F170" s="322" t="e">
        <f aca="false">bordro810[[#This Row],[Saat]]*bordro810[[#This Row],[S.Ücret]]</f>
        <v>#N/A</v>
      </c>
      <c r="G170" s="352" t="n">
        <v>0</v>
      </c>
      <c r="H170" s="352"/>
      <c r="I170" s="329" t="e">
        <f aca="false">bordro810[[#This Row],[Ödeme]]-bordro810[[#This Row],[M. Tutar]]</f>
        <v>#N/A</v>
      </c>
      <c r="J170" s="350" t="n">
        <f aca="false">SUMIF(bordro810[Personel],bordro810[[#This Row],[Personel]],F$3:F170)-SUMIF(bordro810[Personel],bordro810[[#This Row],[Personel]],G$3:G170)</f>
        <v>0</v>
      </c>
      <c r="K170" s="351" t="str">
        <f aca="false">TEXT(bordro810[[#This Row],[Tarih]],"yyyy")</f>
        <v>1899</v>
      </c>
      <c r="L170" s="1" t="str">
        <f aca="false">TEXT(bordro810[[#This Row],[Tarih]],"yyyy/aa")</f>
        <v>1899.aa</v>
      </c>
      <c r="M170" s="1" t="str">
        <f aca="false">TEXT(bordro810[[#This Row],[Tarih]],"gggg")</f>
        <v>ADMS</v>
      </c>
      <c r="N170" s="1" t="e">
        <f aca="false">VLOOKUP(B170,PersonelListesi!A$1:G$41,4,FALSE())</f>
        <v>#N/A</v>
      </c>
      <c r="O170" s="363"/>
    </row>
    <row r="171" customFormat="false" ht="15" hidden="false" customHeight="false" outlineLevel="0" collapsed="false">
      <c r="B171" s="364"/>
      <c r="C171" s="364"/>
      <c r="D171" s="361"/>
      <c r="E171" s="312" t="e">
        <f aca="false">VLOOKUP(B171,PersonelListesi!A$1:G$47,5,FALSE())</f>
        <v>#N/A</v>
      </c>
      <c r="F171" s="322" t="e">
        <f aca="false">bordro810[[#This Row],[Saat]]*bordro810[[#This Row],[S.Ücret]]</f>
        <v>#N/A</v>
      </c>
      <c r="G171" s="352" t="n">
        <v>0</v>
      </c>
      <c r="H171" s="352"/>
      <c r="I171" s="329" t="e">
        <f aca="false">bordro810[[#This Row],[Ödeme]]-bordro810[[#This Row],[M. Tutar]]</f>
        <v>#N/A</v>
      </c>
      <c r="J171" s="350" t="n">
        <f aca="false">SUMIF(bordro810[Personel],bordro810[[#This Row],[Personel]],F$3:F171)-SUMIF(bordro810[Personel],bordro810[[#This Row],[Personel]],G$3:G171)</f>
        <v>0</v>
      </c>
      <c r="K171" s="351" t="str">
        <f aca="false">TEXT(bordro810[[#This Row],[Tarih]],"yyyy")</f>
        <v>1899</v>
      </c>
      <c r="L171" s="1" t="str">
        <f aca="false">TEXT(bordro810[[#This Row],[Tarih]],"yyyy/aa")</f>
        <v>1899.aa</v>
      </c>
      <c r="M171" s="1" t="str">
        <f aca="false">TEXT(bordro810[[#This Row],[Tarih]],"gggg")</f>
        <v>ADMS</v>
      </c>
      <c r="N171" s="1" t="e">
        <f aca="false">VLOOKUP(B171,PersonelListesi!A$1:G$41,4,FALSE())</f>
        <v>#N/A</v>
      </c>
      <c r="O171" s="363"/>
    </row>
    <row r="172" customFormat="false" ht="15" hidden="false" customHeight="false" outlineLevel="0" collapsed="false">
      <c r="B172" s="364"/>
      <c r="C172" s="364"/>
      <c r="D172" s="361"/>
      <c r="E172" s="312" t="e">
        <f aca="false">VLOOKUP(B172,PersonelListesi!A$1:G$47,5,FALSE())</f>
        <v>#N/A</v>
      </c>
      <c r="F172" s="322" t="e">
        <f aca="false">bordro810[[#This Row],[Saat]]*bordro810[[#This Row],[S.Ücret]]</f>
        <v>#N/A</v>
      </c>
      <c r="G172" s="352" t="n">
        <v>0</v>
      </c>
      <c r="H172" s="352"/>
      <c r="I172" s="329" t="e">
        <f aca="false">bordro810[[#This Row],[Ödeme]]-bordro810[[#This Row],[M. Tutar]]</f>
        <v>#N/A</v>
      </c>
      <c r="J172" s="350" t="n">
        <f aca="false">SUMIF(bordro810[Personel],bordro810[[#This Row],[Personel]],F$3:F172)-SUMIF(bordro810[Personel],bordro810[[#This Row],[Personel]],G$3:G172)</f>
        <v>0</v>
      </c>
      <c r="K172" s="351" t="str">
        <f aca="false">TEXT(bordro810[[#This Row],[Tarih]],"yyyy")</f>
        <v>1899</v>
      </c>
      <c r="L172" s="1" t="str">
        <f aca="false">TEXT(bordro810[[#This Row],[Tarih]],"yyyy/aa")</f>
        <v>1899.aa</v>
      </c>
      <c r="M172" s="1" t="str">
        <f aca="false">TEXT(bordro810[[#This Row],[Tarih]],"gggg")</f>
        <v>ADMS</v>
      </c>
      <c r="N172" s="1" t="e">
        <f aca="false">VLOOKUP(B172,PersonelListesi!A$1:G$41,4,FALSE())</f>
        <v>#N/A</v>
      </c>
      <c r="O172" s="363"/>
    </row>
    <row r="173" customFormat="false" ht="15" hidden="false" customHeight="false" outlineLevel="0" collapsed="false">
      <c r="B173" s="364"/>
      <c r="C173" s="364"/>
      <c r="D173" s="361"/>
      <c r="E173" s="312" t="e">
        <f aca="false">VLOOKUP(B173,PersonelListesi!A$1:G$47,5,FALSE())</f>
        <v>#N/A</v>
      </c>
      <c r="F173" s="322" t="e">
        <f aca="false">bordro810[[#This Row],[Saat]]*bordro810[[#This Row],[S.Ücret]]</f>
        <v>#N/A</v>
      </c>
      <c r="G173" s="352" t="n">
        <v>0</v>
      </c>
      <c r="H173" s="352"/>
      <c r="I173" s="329" t="e">
        <f aca="false">bordro810[[#This Row],[Ödeme]]-bordro810[[#This Row],[M. Tutar]]</f>
        <v>#N/A</v>
      </c>
      <c r="J173" s="350" t="n">
        <f aca="false">SUMIF(bordro810[Personel],bordro810[[#This Row],[Personel]],F$3:F173)-SUMIF(bordro810[Personel],bordro810[[#This Row],[Personel]],G$3:G173)</f>
        <v>0</v>
      </c>
      <c r="K173" s="351" t="str">
        <f aca="false">TEXT(bordro810[[#This Row],[Tarih]],"yyyy")</f>
        <v>1899</v>
      </c>
      <c r="L173" s="1" t="str">
        <f aca="false">TEXT(bordro810[[#This Row],[Tarih]],"yyyy/aa")</f>
        <v>1899.aa</v>
      </c>
      <c r="M173" s="1" t="str">
        <f aca="false">TEXT(bordro810[[#This Row],[Tarih]],"gggg")</f>
        <v>ADMS</v>
      </c>
      <c r="N173" s="1" t="e">
        <f aca="false">VLOOKUP(B173,PersonelListesi!A$1:G$41,4,FALSE())</f>
        <v>#N/A</v>
      </c>
      <c r="O173" s="363"/>
    </row>
    <row r="174" customFormat="false" ht="15" hidden="false" customHeight="false" outlineLevel="0" collapsed="false">
      <c r="B174" s="364"/>
      <c r="C174" s="364"/>
      <c r="D174" s="361"/>
      <c r="E174" s="312" t="e">
        <f aca="false">VLOOKUP(B174,PersonelListesi!A$1:G$47,5,FALSE())</f>
        <v>#N/A</v>
      </c>
      <c r="F174" s="322" t="e">
        <f aca="false">bordro810[[#This Row],[Saat]]*bordro810[[#This Row],[S.Ücret]]</f>
        <v>#N/A</v>
      </c>
      <c r="G174" s="352" t="n">
        <v>0</v>
      </c>
      <c r="H174" s="352"/>
      <c r="I174" s="329" t="e">
        <f aca="false">bordro810[[#This Row],[Ödeme]]-bordro810[[#This Row],[M. Tutar]]</f>
        <v>#N/A</v>
      </c>
      <c r="J174" s="350" t="n">
        <f aca="false">SUMIF(bordro810[Personel],bordro810[[#This Row],[Personel]],F$3:F174)-SUMIF(bordro810[Personel],bordro810[[#This Row],[Personel]],G$3:G174)</f>
        <v>0</v>
      </c>
      <c r="K174" s="351" t="str">
        <f aca="false">TEXT(bordro810[[#This Row],[Tarih]],"yyyy")</f>
        <v>1899</v>
      </c>
      <c r="L174" s="1" t="str">
        <f aca="false">TEXT(bordro810[[#This Row],[Tarih]],"yyyy/aa")</f>
        <v>1899.aa</v>
      </c>
      <c r="M174" s="1" t="str">
        <f aca="false">TEXT(bordro810[[#This Row],[Tarih]],"gggg")</f>
        <v>ADMS</v>
      </c>
      <c r="N174" s="1" t="e">
        <f aca="false">VLOOKUP(B174,PersonelListesi!A$1:G$41,4,FALSE())</f>
        <v>#N/A</v>
      </c>
      <c r="O174" s="363"/>
    </row>
    <row r="175" customFormat="false" ht="15" hidden="false" customHeight="false" outlineLevel="0" collapsed="false">
      <c r="B175" s="364"/>
      <c r="C175" s="364"/>
      <c r="D175" s="361"/>
      <c r="E175" s="312" t="e">
        <f aca="false">VLOOKUP(B175,PersonelListesi!A$1:G$47,5,FALSE())</f>
        <v>#N/A</v>
      </c>
      <c r="F175" s="322" t="e">
        <f aca="false">bordro810[[#This Row],[Saat]]*bordro810[[#This Row],[S.Ücret]]</f>
        <v>#N/A</v>
      </c>
      <c r="G175" s="352" t="n">
        <v>0</v>
      </c>
      <c r="H175" s="352"/>
      <c r="I175" s="329" t="e">
        <f aca="false">bordro810[[#This Row],[Ödeme]]-bordro810[[#This Row],[M. Tutar]]</f>
        <v>#N/A</v>
      </c>
      <c r="J175" s="350" t="n">
        <f aca="false">SUMIF(bordro810[Personel],bordro810[[#This Row],[Personel]],F$3:F175)-SUMIF(bordro810[Personel],bordro810[[#This Row],[Personel]],G$3:G175)</f>
        <v>0</v>
      </c>
      <c r="K175" s="351" t="str">
        <f aca="false">TEXT(bordro810[[#This Row],[Tarih]],"yyyy")</f>
        <v>1899</v>
      </c>
      <c r="L175" s="1" t="str">
        <f aca="false">TEXT(bordro810[[#This Row],[Tarih]],"yyyy/aa")</f>
        <v>1899.aa</v>
      </c>
      <c r="M175" s="1" t="str">
        <f aca="false">TEXT(bordro810[[#This Row],[Tarih]],"gggg")</f>
        <v>ADMS</v>
      </c>
      <c r="N175" s="1" t="e">
        <f aca="false">VLOOKUP(B175,PersonelListesi!A$1:G$41,4,FALSE())</f>
        <v>#N/A</v>
      </c>
      <c r="O175" s="363"/>
    </row>
    <row r="176" customFormat="false" ht="15" hidden="false" customHeight="false" outlineLevel="0" collapsed="false">
      <c r="B176" s="364"/>
      <c r="C176" s="364"/>
      <c r="D176" s="361"/>
      <c r="E176" s="312" t="e">
        <f aca="false">VLOOKUP(B176,PersonelListesi!A$1:G$47,5,FALSE())</f>
        <v>#N/A</v>
      </c>
      <c r="F176" s="322" t="e">
        <f aca="false">bordro810[[#This Row],[Saat]]*bordro810[[#This Row],[S.Ücret]]</f>
        <v>#N/A</v>
      </c>
      <c r="G176" s="352" t="n">
        <v>0</v>
      </c>
      <c r="H176" s="352"/>
      <c r="I176" s="329" t="e">
        <f aca="false">bordro810[[#This Row],[Ödeme]]-bordro810[[#This Row],[M. Tutar]]</f>
        <v>#N/A</v>
      </c>
      <c r="J176" s="350" t="n">
        <f aca="false">SUMIF(bordro810[Personel],bordro810[[#This Row],[Personel]],F$3:F176)-SUMIF(bordro810[Personel],bordro810[[#This Row],[Personel]],G$3:G176)</f>
        <v>0</v>
      </c>
      <c r="K176" s="351" t="str">
        <f aca="false">TEXT(bordro810[[#This Row],[Tarih]],"yyyy")</f>
        <v>1899</v>
      </c>
      <c r="L176" s="1" t="str">
        <f aca="false">TEXT(bordro810[[#This Row],[Tarih]],"yyyy/aa")</f>
        <v>1899.aa</v>
      </c>
      <c r="M176" s="1" t="str">
        <f aca="false">TEXT(bordro810[[#This Row],[Tarih]],"gggg")</f>
        <v>ADMS</v>
      </c>
      <c r="N176" s="1" t="e">
        <f aca="false">VLOOKUP(B176,PersonelListesi!A$1:G$41,4,FALSE())</f>
        <v>#N/A</v>
      </c>
      <c r="O176" s="363"/>
    </row>
    <row r="177" customFormat="false" ht="15" hidden="false" customHeight="false" outlineLevel="0" collapsed="false">
      <c r="B177" s="364"/>
      <c r="C177" s="364"/>
      <c r="D177" s="361"/>
      <c r="E177" s="312" t="e">
        <f aca="false">VLOOKUP(B177,PersonelListesi!A$1:G$47,5,FALSE())</f>
        <v>#N/A</v>
      </c>
      <c r="F177" s="322" t="e">
        <f aca="false">bordro810[[#This Row],[Saat]]*bordro810[[#This Row],[S.Ücret]]</f>
        <v>#N/A</v>
      </c>
      <c r="G177" s="352" t="n">
        <v>0</v>
      </c>
      <c r="H177" s="352"/>
      <c r="I177" s="329" t="e">
        <f aca="false">bordro810[[#This Row],[Ödeme]]-bordro810[[#This Row],[M. Tutar]]</f>
        <v>#N/A</v>
      </c>
      <c r="J177" s="350" t="n">
        <f aca="false">SUMIF(bordro810[Personel],bordro810[[#This Row],[Personel]],F$3:F177)-SUMIF(bordro810[Personel],bordro810[[#This Row],[Personel]],G$3:G177)</f>
        <v>0</v>
      </c>
      <c r="K177" s="351" t="str">
        <f aca="false">TEXT(bordro810[[#This Row],[Tarih]],"yyyy")</f>
        <v>1899</v>
      </c>
      <c r="L177" s="1" t="str">
        <f aca="false">TEXT(bordro810[[#This Row],[Tarih]],"yyyy/aa")</f>
        <v>1899.aa</v>
      </c>
      <c r="M177" s="1" t="str">
        <f aca="false">TEXT(bordro810[[#This Row],[Tarih]],"gggg")</f>
        <v>ADMS</v>
      </c>
      <c r="N177" s="1" t="e">
        <f aca="false">VLOOKUP(B177,PersonelListesi!A$1:G$41,4,FALSE())</f>
        <v>#N/A</v>
      </c>
      <c r="O177" s="363"/>
    </row>
    <row r="178" customFormat="false" ht="15" hidden="false" customHeight="false" outlineLevel="0" collapsed="false">
      <c r="B178" s="364"/>
      <c r="C178" s="364"/>
      <c r="D178" s="361"/>
      <c r="E178" s="312" t="e">
        <f aca="false">VLOOKUP(B178,PersonelListesi!A$1:G$47,5,FALSE())</f>
        <v>#N/A</v>
      </c>
      <c r="F178" s="322" t="e">
        <f aca="false">bordro810[[#This Row],[Saat]]*bordro810[[#This Row],[S.Ücret]]</f>
        <v>#N/A</v>
      </c>
      <c r="G178" s="352" t="n">
        <v>0</v>
      </c>
      <c r="H178" s="352"/>
      <c r="I178" s="329" t="e">
        <f aca="false">bordro810[[#This Row],[Ödeme]]-bordro810[[#This Row],[M. Tutar]]</f>
        <v>#N/A</v>
      </c>
      <c r="J178" s="350" t="n">
        <f aca="false">SUMIF(bordro810[Personel],bordro810[[#This Row],[Personel]],F$3:F178)-SUMIF(bordro810[Personel],bordro810[[#This Row],[Personel]],G$3:G178)</f>
        <v>0</v>
      </c>
      <c r="K178" s="351" t="str">
        <f aca="false">TEXT(bordro810[[#This Row],[Tarih]],"yyyy")</f>
        <v>1899</v>
      </c>
      <c r="L178" s="1" t="str">
        <f aca="false">TEXT(bordro810[[#This Row],[Tarih]],"yyyy/aa")</f>
        <v>1899.aa</v>
      </c>
      <c r="M178" s="1" t="str">
        <f aca="false">TEXT(bordro810[[#This Row],[Tarih]],"gggg")</f>
        <v>ADMS</v>
      </c>
      <c r="N178" s="1" t="e">
        <f aca="false">VLOOKUP(B178,PersonelListesi!A$1:G$41,4,FALSE())</f>
        <v>#N/A</v>
      </c>
      <c r="O178" s="363"/>
    </row>
    <row r="179" customFormat="false" ht="15" hidden="false" customHeight="false" outlineLevel="0" collapsed="false">
      <c r="B179" s="364"/>
      <c r="C179" s="364"/>
      <c r="D179" s="361"/>
      <c r="E179" s="312" t="e">
        <f aca="false">VLOOKUP(B179,PersonelListesi!A$1:G$47,5,FALSE())</f>
        <v>#N/A</v>
      </c>
      <c r="F179" s="322" t="e">
        <f aca="false">bordro810[[#This Row],[Saat]]*bordro810[[#This Row],[S.Ücret]]</f>
        <v>#N/A</v>
      </c>
      <c r="G179" s="352" t="n">
        <v>0</v>
      </c>
      <c r="H179" s="352"/>
      <c r="I179" s="329" t="e">
        <f aca="false">bordro810[[#This Row],[Ödeme]]-bordro810[[#This Row],[M. Tutar]]</f>
        <v>#N/A</v>
      </c>
      <c r="J179" s="350" t="n">
        <f aca="false">SUMIF(bordro810[Personel],bordro810[[#This Row],[Personel]],F$3:F179)-SUMIF(bordro810[Personel],bordro810[[#This Row],[Personel]],G$3:G179)</f>
        <v>0</v>
      </c>
      <c r="K179" s="351" t="str">
        <f aca="false">TEXT(bordro810[[#This Row],[Tarih]],"yyyy")</f>
        <v>1899</v>
      </c>
      <c r="L179" s="1" t="str">
        <f aca="false">TEXT(bordro810[[#This Row],[Tarih]],"yyyy/aa")</f>
        <v>1899.aa</v>
      </c>
      <c r="M179" s="1" t="str">
        <f aca="false">TEXT(bordro810[[#This Row],[Tarih]],"gggg")</f>
        <v>ADMS</v>
      </c>
      <c r="N179" s="1" t="e">
        <f aca="false">VLOOKUP(B179,PersonelListesi!A$1:G$41,4,FALSE())</f>
        <v>#N/A</v>
      </c>
      <c r="O179" s="363"/>
    </row>
    <row r="180" customFormat="false" ht="15" hidden="false" customHeight="false" outlineLevel="0" collapsed="false">
      <c r="B180" s="364"/>
      <c r="C180" s="364"/>
      <c r="D180" s="361"/>
      <c r="E180" s="312" t="e">
        <f aca="false">VLOOKUP(B180,PersonelListesi!A$1:G$47,5,FALSE())</f>
        <v>#N/A</v>
      </c>
      <c r="F180" s="322" t="e">
        <f aca="false">bordro810[[#This Row],[Saat]]*bordro810[[#This Row],[S.Ücret]]</f>
        <v>#N/A</v>
      </c>
      <c r="G180" s="352" t="n">
        <v>0</v>
      </c>
      <c r="H180" s="352"/>
      <c r="I180" s="329" t="e">
        <f aca="false">bordro810[[#This Row],[Ödeme]]-bordro810[[#This Row],[M. Tutar]]</f>
        <v>#N/A</v>
      </c>
      <c r="J180" s="350" t="n">
        <f aca="false">SUMIF(bordro810[Personel],bordro810[[#This Row],[Personel]],F$3:F180)-SUMIF(bordro810[Personel],bordro810[[#This Row],[Personel]],G$3:G180)</f>
        <v>0</v>
      </c>
      <c r="K180" s="351" t="str">
        <f aca="false">TEXT(bordro810[[#This Row],[Tarih]],"yyyy")</f>
        <v>1899</v>
      </c>
      <c r="L180" s="1" t="str">
        <f aca="false">TEXT(bordro810[[#This Row],[Tarih]],"yyyy/aa")</f>
        <v>1899.aa</v>
      </c>
      <c r="M180" s="1" t="str">
        <f aca="false">TEXT(bordro810[[#This Row],[Tarih]],"gggg")</f>
        <v>ADMS</v>
      </c>
      <c r="N180" s="1" t="e">
        <f aca="false">VLOOKUP(B180,PersonelListesi!A$1:G$41,4,FALSE())</f>
        <v>#N/A</v>
      </c>
      <c r="O180" s="363"/>
    </row>
    <row r="181" customFormat="false" ht="15" hidden="false" customHeight="false" outlineLevel="0" collapsed="false">
      <c r="B181" s="364"/>
      <c r="C181" s="364"/>
      <c r="D181" s="361"/>
      <c r="E181" s="312" t="e">
        <f aca="false">VLOOKUP(B181,PersonelListesi!A$1:G$47,5,FALSE())</f>
        <v>#N/A</v>
      </c>
      <c r="F181" s="322" t="e">
        <f aca="false">bordro810[[#This Row],[Saat]]*bordro810[[#This Row],[S.Ücret]]</f>
        <v>#N/A</v>
      </c>
      <c r="G181" s="352" t="n">
        <v>0</v>
      </c>
      <c r="H181" s="352"/>
      <c r="I181" s="329" t="e">
        <f aca="false">bordro810[[#This Row],[Ödeme]]-bordro810[[#This Row],[M. Tutar]]</f>
        <v>#N/A</v>
      </c>
      <c r="J181" s="350" t="n">
        <f aca="false">SUMIF(bordro810[Personel],bordro810[[#This Row],[Personel]],F$3:F181)-SUMIF(bordro810[Personel],bordro810[[#This Row],[Personel]],G$3:G181)</f>
        <v>0</v>
      </c>
      <c r="K181" s="351" t="str">
        <f aca="false">TEXT(bordro810[[#This Row],[Tarih]],"yyyy")</f>
        <v>1899</v>
      </c>
      <c r="L181" s="1" t="str">
        <f aca="false">TEXT(bordro810[[#This Row],[Tarih]],"yyyy/aa")</f>
        <v>1899.aa</v>
      </c>
      <c r="M181" s="1" t="str">
        <f aca="false">TEXT(bordro810[[#This Row],[Tarih]],"gggg")</f>
        <v>ADMS</v>
      </c>
      <c r="N181" s="1" t="e">
        <f aca="false">VLOOKUP(B181,PersonelListesi!A$1:G$41,4,FALSE())</f>
        <v>#N/A</v>
      </c>
      <c r="O181" s="363"/>
    </row>
    <row r="182" customFormat="false" ht="15" hidden="false" customHeight="false" outlineLevel="0" collapsed="false">
      <c r="B182" s="364"/>
      <c r="C182" s="364"/>
      <c r="D182" s="361"/>
      <c r="E182" s="312" t="e">
        <f aca="false">VLOOKUP(B182,PersonelListesi!A$1:G$47,5,FALSE())</f>
        <v>#N/A</v>
      </c>
      <c r="F182" s="322" t="e">
        <f aca="false">bordro810[[#This Row],[Saat]]*bordro810[[#This Row],[S.Ücret]]</f>
        <v>#N/A</v>
      </c>
      <c r="G182" s="352" t="n">
        <v>0</v>
      </c>
      <c r="H182" s="352"/>
      <c r="I182" s="329" t="e">
        <f aca="false">bordro810[[#This Row],[Ödeme]]-bordro810[[#This Row],[M. Tutar]]</f>
        <v>#N/A</v>
      </c>
      <c r="J182" s="350" t="n">
        <f aca="false">SUMIF(bordro810[Personel],bordro810[[#This Row],[Personel]],F$3:F182)-SUMIF(bordro810[Personel],bordro810[[#This Row],[Personel]],G$3:G182)</f>
        <v>0</v>
      </c>
      <c r="K182" s="351" t="str">
        <f aca="false">TEXT(bordro810[[#This Row],[Tarih]],"yyyy")</f>
        <v>1899</v>
      </c>
      <c r="L182" s="1" t="str">
        <f aca="false">TEXT(bordro810[[#This Row],[Tarih]],"yyyy/aa")</f>
        <v>1899.aa</v>
      </c>
      <c r="M182" s="1" t="str">
        <f aca="false">TEXT(bordro810[[#This Row],[Tarih]],"gggg")</f>
        <v>ADMS</v>
      </c>
      <c r="N182" s="1" t="e">
        <f aca="false">VLOOKUP(B182,PersonelListesi!A$1:G$41,4,FALSE())</f>
        <v>#N/A</v>
      </c>
      <c r="O182" s="363"/>
    </row>
    <row r="183" customFormat="false" ht="15" hidden="false" customHeight="false" outlineLevel="0" collapsed="false">
      <c r="B183" s="364"/>
      <c r="C183" s="364"/>
      <c r="D183" s="361"/>
      <c r="E183" s="312" t="e">
        <f aca="false">VLOOKUP(B183,PersonelListesi!A$1:G$47,5,FALSE())</f>
        <v>#N/A</v>
      </c>
      <c r="F183" s="322" t="e">
        <f aca="false">bordro810[[#This Row],[Saat]]*bordro810[[#This Row],[S.Ücret]]</f>
        <v>#N/A</v>
      </c>
      <c r="G183" s="352" t="n">
        <v>0</v>
      </c>
      <c r="H183" s="352"/>
      <c r="I183" s="329" t="e">
        <f aca="false">bordro810[[#This Row],[Ödeme]]-bordro810[[#This Row],[M. Tutar]]</f>
        <v>#N/A</v>
      </c>
      <c r="J183" s="350" t="n">
        <f aca="false">SUMIF(bordro810[Personel],bordro810[[#This Row],[Personel]],F$3:F183)-SUMIF(bordro810[Personel],bordro810[[#This Row],[Personel]],G$3:G183)</f>
        <v>0</v>
      </c>
      <c r="K183" s="351" t="str">
        <f aca="false">TEXT(bordro810[[#This Row],[Tarih]],"yyyy")</f>
        <v>1899</v>
      </c>
      <c r="L183" s="1" t="str">
        <f aca="false">TEXT(bordro810[[#This Row],[Tarih]],"yyyy/aa")</f>
        <v>1899.aa</v>
      </c>
      <c r="M183" s="1" t="str">
        <f aca="false">TEXT(bordro810[[#This Row],[Tarih]],"gggg")</f>
        <v>ADMS</v>
      </c>
      <c r="N183" s="1" t="e">
        <f aca="false">VLOOKUP(B183,PersonelListesi!A$1:G$41,4,FALSE())</f>
        <v>#N/A</v>
      </c>
      <c r="O183" s="363"/>
    </row>
    <row r="184" customFormat="false" ht="15" hidden="false" customHeight="false" outlineLevel="0" collapsed="false">
      <c r="B184" s="364"/>
      <c r="C184" s="364"/>
      <c r="D184" s="361"/>
      <c r="E184" s="312" t="e">
        <f aca="false">VLOOKUP(B184,PersonelListesi!A$1:G$47,5,FALSE())</f>
        <v>#N/A</v>
      </c>
      <c r="F184" s="322" t="e">
        <f aca="false">bordro810[[#This Row],[Saat]]*bordro810[[#This Row],[S.Ücret]]</f>
        <v>#N/A</v>
      </c>
      <c r="G184" s="352" t="n">
        <v>0</v>
      </c>
      <c r="H184" s="352"/>
      <c r="I184" s="329" t="e">
        <f aca="false">bordro810[[#This Row],[Ödeme]]-bordro810[[#This Row],[M. Tutar]]</f>
        <v>#N/A</v>
      </c>
      <c r="J184" s="350" t="n">
        <f aca="false">SUMIF(bordro810[Personel],bordro810[[#This Row],[Personel]],F$3:F184)-SUMIF(bordro810[Personel],bordro810[[#This Row],[Personel]],G$3:G184)</f>
        <v>0</v>
      </c>
      <c r="K184" s="351" t="str">
        <f aca="false">TEXT(bordro810[[#This Row],[Tarih]],"yyyy")</f>
        <v>1899</v>
      </c>
      <c r="L184" s="1" t="str">
        <f aca="false">TEXT(bordro810[[#This Row],[Tarih]],"yyyy/aa")</f>
        <v>1899.aa</v>
      </c>
      <c r="M184" s="1" t="str">
        <f aca="false">TEXT(bordro810[[#This Row],[Tarih]],"gggg")</f>
        <v>ADMS</v>
      </c>
      <c r="N184" s="1" t="e">
        <f aca="false">VLOOKUP(B184,PersonelListesi!A$1:G$41,4,FALSE())</f>
        <v>#N/A</v>
      </c>
      <c r="O184" s="363"/>
    </row>
    <row r="185" customFormat="false" ht="15" hidden="false" customHeight="false" outlineLevel="0" collapsed="false">
      <c r="B185" s="364"/>
      <c r="C185" s="364"/>
      <c r="D185" s="361"/>
      <c r="E185" s="312" t="e">
        <f aca="false">VLOOKUP(B185,PersonelListesi!A$1:G$47,5,FALSE())</f>
        <v>#N/A</v>
      </c>
      <c r="F185" s="322" t="e">
        <f aca="false">bordro810[[#This Row],[Saat]]*bordro810[[#This Row],[S.Ücret]]</f>
        <v>#N/A</v>
      </c>
      <c r="G185" s="352" t="n">
        <v>0</v>
      </c>
      <c r="H185" s="352"/>
      <c r="I185" s="329" t="e">
        <f aca="false">bordro810[[#This Row],[Ödeme]]-bordro810[[#This Row],[M. Tutar]]</f>
        <v>#N/A</v>
      </c>
      <c r="J185" s="350" t="n">
        <f aca="false">SUMIF(bordro810[Personel],bordro810[[#This Row],[Personel]],F$3:F185)-SUMIF(bordro810[Personel],bordro810[[#This Row],[Personel]],G$3:G185)</f>
        <v>0</v>
      </c>
      <c r="K185" s="351" t="str">
        <f aca="false">TEXT(bordro810[[#This Row],[Tarih]],"yyyy")</f>
        <v>1899</v>
      </c>
      <c r="L185" s="1" t="str">
        <f aca="false">TEXT(bordro810[[#This Row],[Tarih]],"yyyy/aa")</f>
        <v>1899.aa</v>
      </c>
      <c r="M185" s="1" t="str">
        <f aca="false">TEXT(bordro810[[#This Row],[Tarih]],"gggg")</f>
        <v>ADMS</v>
      </c>
      <c r="N185" s="1" t="e">
        <f aca="false">VLOOKUP(B185,PersonelListesi!A$1:G$41,4,FALSE())</f>
        <v>#N/A</v>
      </c>
      <c r="O185" s="363"/>
    </row>
    <row r="186" customFormat="false" ht="15" hidden="false" customHeight="false" outlineLevel="0" collapsed="false">
      <c r="B186" s="364"/>
      <c r="C186" s="364"/>
      <c r="D186" s="361"/>
      <c r="E186" s="312" t="e">
        <f aca="false">VLOOKUP(B186,PersonelListesi!A$1:G$47,5,FALSE())</f>
        <v>#N/A</v>
      </c>
      <c r="F186" s="322" t="e">
        <f aca="false">bordro810[[#This Row],[Saat]]*bordro810[[#This Row],[S.Ücret]]</f>
        <v>#N/A</v>
      </c>
      <c r="G186" s="352" t="n">
        <v>0</v>
      </c>
      <c r="H186" s="352"/>
      <c r="I186" s="329" t="e">
        <f aca="false">bordro810[[#This Row],[Ödeme]]-bordro810[[#This Row],[M. Tutar]]</f>
        <v>#N/A</v>
      </c>
      <c r="J186" s="350" t="n">
        <f aca="false">SUMIF(bordro810[Personel],bordro810[[#This Row],[Personel]],F$3:F186)-SUMIF(bordro810[Personel],bordro810[[#This Row],[Personel]],G$3:G186)</f>
        <v>0</v>
      </c>
      <c r="K186" s="351" t="str">
        <f aca="false">TEXT(bordro810[[#This Row],[Tarih]],"yyyy")</f>
        <v>1899</v>
      </c>
      <c r="L186" s="1" t="str">
        <f aca="false">TEXT(bordro810[[#This Row],[Tarih]],"yyyy/aa")</f>
        <v>1899.aa</v>
      </c>
      <c r="M186" s="1" t="str">
        <f aca="false">TEXT(bordro810[[#This Row],[Tarih]],"gggg")</f>
        <v>ADMS</v>
      </c>
      <c r="N186" s="1" t="e">
        <f aca="false">VLOOKUP(B186,PersonelListesi!A$1:G$41,4,FALSE())</f>
        <v>#N/A</v>
      </c>
      <c r="O186" s="363"/>
    </row>
    <row r="187" customFormat="false" ht="15" hidden="false" customHeight="false" outlineLevel="0" collapsed="false">
      <c r="B187" s="364"/>
      <c r="C187" s="364"/>
      <c r="D187" s="361"/>
      <c r="E187" s="312" t="e">
        <f aca="false">VLOOKUP(B187,PersonelListesi!A$1:G$47,5,FALSE())</f>
        <v>#N/A</v>
      </c>
      <c r="F187" s="322" t="e">
        <f aca="false">bordro810[[#This Row],[Saat]]*bordro810[[#This Row],[S.Ücret]]</f>
        <v>#N/A</v>
      </c>
      <c r="G187" s="352" t="n">
        <v>0</v>
      </c>
      <c r="H187" s="352"/>
      <c r="I187" s="329" t="e">
        <f aca="false">bordro810[[#This Row],[Ödeme]]-bordro810[[#This Row],[M. Tutar]]</f>
        <v>#N/A</v>
      </c>
      <c r="J187" s="350" t="n">
        <f aca="false">SUMIF(bordro810[Personel],bordro810[[#This Row],[Personel]],F$3:F187)-SUMIF(bordro810[Personel],bordro810[[#This Row],[Personel]],G$3:G187)</f>
        <v>0</v>
      </c>
      <c r="K187" s="351" t="str">
        <f aca="false">TEXT(bordro810[[#This Row],[Tarih]],"yyyy")</f>
        <v>1899</v>
      </c>
      <c r="L187" s="1" t="str">
        <f aca="false">TEXT(bordro810[[#This Row],[Tarih]],"yyyy/aa")</f>
        <v>1899.aa</v>
      </c>
      <c r="M187" s="1" t="str">
        <f aca="false">TEXT(bordro810[[#This Row],[Tarih]],"gggg")</f>
        <v>ADMS</v>
      </c>
      <c r="N187" s="1" t="e">
        <f aca="false">VLOOKUP(B187,PersonelListesi!A$1:G$41,4,FALSE())</f>
        <v>#N/A</v>
      </c>
      <c r="O187" s="363"/>
    </row>
    <row r="188" customFormat="false" ht="15" hidden="false" customHeight="false" outlineLevel="0" collapsed="false">
      <c r="B188" s="364"/>
      <c r="C188" s="364"/>
      <c r="D188" s="361"/>
      <c r="E188" s="312" t="e">
        <f aca="false">VLOOKUP(B188,PersonelListesi!A$1:G$47,5,FALSE())</f>
        <v>#N/A</v>
      </c>
      <c r="F188" s="322" t="e">
        <f aca="false">bordro810[[#This Row],[Saat]]*bordro810[[#This Row],[S.Ücret]]</f>
        <v>#N/A</v>
      </c>
      <c r="G188" s="352" t="n">
        <v>0</v>
      </c>
      <c r="H188" s="352"/>
      <c r="I188" s="329" t="e">
        <f aca="false">bordro810[[#This Row],[Ödeme]]-bordro810[[#This Row],[M. Tutar]]</f>
        <v>#N/A</v>
      </c>
      <c r="J188" s="350" t="n">
        <f aca="false">SUMIF(bordro810[Personel],bordro810[[#This Row],[Personel]],F$3:F188)-SUMIF(bordro810[Personel],bordro810[[#This Row],[Personel]],G$3:G188)</f>
        <v>0</v>
      </c>
      <c r="K188" s="351" t="str">
        <f aca="false">TEXT(bordro810[[#This Row],[Tarih]],"yyyy")</f>
        <v>1899</v>
      </c>
      <c r="L188" s="1" t="str">
        <f aca="false">TEXT(bordro810[[#This Row],[Tarih]],"yyyy/aa")</f>
        <v>1899.aa</v>
      </c>
      <c r="M188" s="1" t="str">
        <f aca="false">TEXT(bordro810[[#This Row],[Tarih]],"gggg")</f>
        <v>ADMS</v>
      </c>
      <c r="N188" s="1" t="e">
        <f aca="false">VLOOKUP(B188,PersonelListesi!A$1:G$41,4,FALSE())</f>
        <v>#N/A</v>
      </c>
      <c r="O188" s="363"/>
    </row>
    <row r="189" customFormat="false" ht="15" hidden="false" customHeight="false" outlineLevel="0" collapsed="false">
      <c r="B189" s="364"/>
      <c r="C189" s="364"/>
      <c r="D189" s="361"/>
      <c r="E189" s="312" t="e">
        <f aca="false">VLOOKUP(B189,PersonelListesi!A$1:G$47,5,FALSE())</f>
        <v>#N/A</v>
      </c>
      <c r="F189" s="322" t="e">
        <f aca="false">bordro810[[#This Row],[Saat]]*bordro810[[#This Row],[S.Ücret]]</f>
        <v>#N/A</v>
      </c>
      <c r="G189" s="352" t="n">
        <v>0</v>
      </c>
      <c r="H189" s="352"/>
      <c r="I189" s="329" t="e">
        <f aca="false">bordro810[[#This Row],[Ödeme]]-bordro810[[#This Row],[M. Tutar]]</f>
        <v>#N/A</v>
      </c>
      <c r="J189" s="350" t="n">
        <f aca="false">SUMIF(bordro810[Personel],bordro810[[#This Row],[Personel]],F$3:F189)-SUMIF(bordro810[Personel],bordro810[[#This Row],[Personel]],G$3:G189)</f>
        <v>0</v>
      </c>
      <c r="K189" s="351" t="str">
        <f aca="false">TEXT(bordro810[[#This Row],[Tarih]],"yyyy")</f>
        <v>1899</v>
      </c>
      <c r="L189" s="1" t="str">
        <f aca="false">TEXT(bordro810[[#This Row],[Tarih]],"yyyy/aa")</f>
        <v>1899.aa</v>
      </c>
      <c r="M189" s="1" t="str">
        <f aca="false">TEXT(bordro810[[#This Row],[Tarih]],"gggg")</f>
        <v>ADMS</v>
      </c>
      <c r="N189" s="1" t="e">
        <f aca="false">VLOOKUP(B189,PersonelListesi!A$1:G$41,4,FALSE())</f>
        <v>#N/A</v>
      </c>
      <c r="O189" s="363"/>
    </row>
    <row r="190" customFormat="false" ht="15" hidden="false" customHeight="false" outlineLevel="0" collapsed="false">
      <c r="B190" s="364"/>
      <c r="C190" s="364"/>
      <c r="D190" s="361"/>
      <c r="E190" s="312" t="e">
        <f aca="false">VLOOKUP(B190,PersonelListesi!A$1:G$47,5,FALSE())</f>
        <v>#N/A</v>
      </c>
      <c r="F190" s="322" t="e">
        <f aca="false">bordro810[[#This Row],[Saat]]*bordro810[[#This Row],[S.Ücret]]</f>
        <v>#N/A</v>
      </c>
      <c r="G190" s="352" t="n">
        <v>0</v>
      </c>
      <c r="H190" s="352"/>
      <c r="I190" s="329" t="e">
        <f aca="false">bordro810[[#This Row],[Ödeme]]-bordro810[[#This Row],[M. Tutar]]</f>
        <v>#N/A</v>
      </c>
      <c r="J190" s="350" t="n">
        <f aca="false">SUMIF(bordro810[Personel],bordro810[[#This Row],[Personel]],F$3:F190)-SUMIF(bordro810[Personel],bordro810[[#This Row],[Personel]],G$3:G190)</f>
        <v>0</v>
      </c>
      <c r="K190" s="351" t="str">
        <f aca="false">TEXT(bordro810[[#This Row],[Tarih]],"yyyy")</f>
        <v>1899</v>
      </c>
      <c r="L190" s="1" t="str">
        <f aca="false">TEXT(bordro810[[#This Row],[Tarih]],"yyyy/aa")</f>
        <v>1899.aa</v>
      </c>
      <c r="M190" s="1" t="str">
        <f aca="false">TEXT(bordro810[[#This Row],[Tarih]],"gggg")</f>
        <v>ADMS</v>
      </c>
      <c r="N190" s="1" t="e">
        <f aca="false">VLOOKUP(B190,PersonelListesi!A$1:G$41,4,FALSE())</f>
        <v>#N/A</v>
      </c>
      <c r="O190" s="363"/>
    </row>
    <row r="191" customFormat="false" ht="15" hidden="false" customHeight="false" outlineLevel="0" collapsed="false">
      <c r="B191" s="364"/>
      <c r="C191" s="364"/>
      <c r="D191" s="361"/>
      <c r="E191" s="312" t="e">
        <f aca="false">VLOOKUP(B191,PersonelListesi!A$1:G$47,5,FALSE())</f>
        <v>#N/A</v>
      </c>
      <c r="F191" s="322" t="e">
        <f aca="false">bordro810[[#This Row],[Saat]]*bordro810[[#This Row],[S.Ücret]]</f>
        <v>#N/A</v>
      </c>
      <c r="G191" s="352" t="n">
        <v>0</v>
      </c>
      <c r="H191" s="352"/>
      <c r="I191" s="329" t="e">
        <f aca="false">bordro810[[#This Row],[Ödeme]]-bordro810[[#This Row],[M. Tutar]]</f>
        <v>#N/A</v>
      </c>
      <c r="J191" s="350" t="n">
        <f aca="false">SUMIF(bordro810[Personel],bordro810[[#This Row],[Personel]],F$3:F191)-SUMIF(bordro810[Personel],bordro810[[#This Row],[Personel]],G$3:G191)</f>
        <v>0</v>
      </c>
      <c r="K191" s="351" t="str">
        <f aca="false">TEXT(bordro810[[#This Row],[Tarih]],"yyyy")</f>
        <v>1899</v>
      </c>
      <c r="L191" s="1" t="str">
        <f aca="false">TEXT(bordro810[[#This Row],[Tarih]],"yyyy/aa")</f>
        <v>1899.aa</v>
      </c>
      <c r="M191" s="1" t="str">
        <f aca="false">TEXT(bordro810[[#This Row],[Tarih]],"gggg")</f>
        <v>ADMS</v>
      </c>
      <c r="N191" s="1" t="e">
        <f aca="false">VLOOKUP(B191,PersonelListesi!A$1:G$41,4,FALSE())</f>
        <v>#N/A</v>
      </c>
      <c r="O191" s="363"/>
    </row>
    <row r="192" customFormat="false" ht="15" hidden="false" customHeight="false" outlineLevel="0" collapsed="false">
      <c r="B192" s="364"/>
      <c r="C192" s="364"/>
      <c r="D192" s="361"/>
      <c r="E192" s="312" t="e">
        <f aca="false">VLOOKUP(B192,PersonelListesi!A$1:G$47,5,FALSE())</f>
        <v>#N/A</v>
      </c>
      <c r="F192" s="322" t="e">
        <f aca="false">bordro810[[#This Row],[Saat]]*bordro810[[#This Row],[S.Ücret]]</f>
        <v>#N/A</v>
      </c>
      <c r="G192" s="352" t="n">
        <v>0</v>
      </c>
      <c r="H192" s="352"/>
      <c r="I192" s="329" t="e">
        <f aca="false">bordro810[[#This Row],[Ödeme]]-bordro810[[#This Row],[M. Tutar]]</f>
        <v>#N/A</v>
      </c>
      <c r="J192" s="350" t="n">
        <f aca="false">SUMIF(bordro810[Personel],bordro810[[#This Row],[Personel]],F$3:F192)-SUMIF(bordro810[Personel],bordro810[[#This Row],[Personel]],G$3:G192)</f>
        <v>0</v>
      </c>
      <c r="K192" s="351" t="str">
        <f aca="false">TEXT(bordro810[[#This Row],[Tarih]],"yyyy")</f>
        <v>1899</v>
      </c>
      <c r="L192" s="1" t="str">
        <f aca="false">TEXT(bordro810[[#This Row],[Tarih]],"yyyy/aa")</f>
        <v>1899.aa</v>
      </c>
      <c r="M192" s="1" t="str">
        <f aca="false">TEXT(bordro810[[#This Row],[Tarih]],"gggg")</f>
        <v>ADMS</v>
      </c>
      <c r="N192" s="1" t="e">
        <f aca="false">VLOOKUP(B192,PersonelListesi!A$1:G$41,4,FALSE())</f>
        <v>#N/A</v>
      </c>
      <c r="O192" s="363"/>
    </row>
    <row r="193" customFormat="false" ht="15" hidden="false" customHeight="false" outlineLevel="0" collapsed="false">
      <c r="B193" s="364"/>
      <c r="C193" s="364"/>
      <c r="D193" s="361"/>
      <c r="E193" s="312" t="e">
        <f aca="false">VLOOKUP(B193,PersonelListesi!A$1:G$47,5,FALSE())</f>
        <v>#N/A</v>
      </c>
      <c r="F193" s="322" t="e">
        <f aca="false">bordro810[[#This Row],[Saat]]*bordro810[[#This Row],[S.Ücret]]</f>
        <v>#N/A</v>
      </c>
      <c r="G193" s="352" t="n">
        <v>0</v>
      </c>
      <c r="H193" s="352"/>
      <c r="I193" s="329" t="e">
        <f aca="false">bordro810[[#This Row],[Ödeme]]-bordro810[[#This Row],[M. Tutar]]</f>
        <v>#N/A</v>
      </c>
      <c r="J193" s="350" t="n">
        <f aca="false">SUMIF(bordro810[Personel],bordro810[[#This Row],[Personel]],F$3:F193)-SUMIF(bordro810[Personel],bordro810[[#This Row],[Personel]],G$3:G193)</f>
        <v>0</v>
      </c>
      <c r="K193" s="351" t="str">
        <f aca="false">TEXT(bordro810[[#This Row],[Tarih]],"yyyy")</f>
        <v>1899</v>
      </c>
      <c r="L193" s="1" t="str">
        <f aca="false">TEXT(bordro810[[#This Row],[Tarih]],"yyyy/aa")</f>
        <v>1899.aa</v>
      </c>
      <c r="M193" s="1" t="str">
        <f aca="false">TEXT(bordro810[[#This Row],[Tarih]],"gggg")</f>
        <v>ADMS</v>
      </c>
      <c r="N193" s="1" t="e">
        <f aca="false">VLOOKUP(B193,PersonelListesi!A$1:G$41,4,FALSE())</f>
        <v>#N/A</v>
      </c>
      <c r="O193" s="363"/>
    </row>
    <row r="194" customFormat="false" ht="15" hidden="false" customHeight="false" outlineLevel="0" collapsed="false">
      <c r="B194" s="364"/>
      <c r="C194" s="364"/>
      <c r="D194" s="361"/>
      <c r="E194" s="312" t="e">
        <f aca="false">VLOOKUP(B194,PersonelListesi!A$1:G$47,5,FALSE())</f>
        <v>#N/A</v>
      </c>
      <c r="F194" s="322" t="e">
        <f aca="false">bordro810[[#This Row],[Saat]]*bordro810[[#This Row],[S.Ücret]]</f>
        <v>#N/A</v>
      </c>
      <c r="G194" s="352" t="n">
        <v>0</v>
      </c>
      <c r="H194" s="352"/>
      <c r="I194" s="329" t="e">
        <f aca="false">bordro810[[#This Row],[Ödeme]]-bordro810[[#This Row],[M. Tutar]]</f>
        <v>#N/A</v>
      </c>
      <c r="J194" s="350" t="n">
        <f aca="false">SUMIF(bordro810[Personel],bordro810[[#This Row],[Personel]],F$3:F194)-SUMIF(bordro810[Personel],bordro810[[#This Row],[Personel]],G$3:G194)</f>
        <v>0</v>
      </c>
      <c r="K194" s="351" t="str">
        <f aca="false">TEXT(bordro810[[#This Row],[Tarih]],"yyyy")</f>
        <v>1899</v>
      </c>
      <c r="L194" s="1" t="str">
        <f aca="false">TEXT(bordro810[[#This Row],[Tarih]],"yyyy/aa")</f>
        <v>1899.aa</v>
      </c>
      <c r="M194" s="1" t="str">
        <f aca="false">TEXT(bordro810[[#This Row],[Tarih]],"gggg")</f>
        <v>ADMS</v>
      </c>
      <c r="N194" s="1" t="e">
        <f aca="false">VLOOKUP(B194,PersonelListesi!A$1:G$41,4,FALSE())</f>
        <v>#N/A</v>
      </c>
      <c r="O194" s="363"/>
    </row>
    <row r="195" customFormat="false" ht="15" hidden="false" customHeight="false" outlineLevel="0" collapsed="false">
      <c r="B195" s="364"/>
      <c r="C195" s="364"/>
      <c r="D195" s="361"/>
      <c r="E195" s="312" t="e">
        <f aca="false">VLOOKUP(B195,PersonelListesi!A$1:G$47,5,FALSE())</f>
        <v>#N/A</v>
      </c>
      <c r="F195" s="322" t="e">
        <f aca="false">bordro810[[#This Row],[Saat]]*bordro810[[#This Row],[S.Ücret]]</f>
        <v>#N/A</v>
      </c>
      <c r="G195" s="352" t="n">
        <v>0</v>
      </c>
      <c r="H195" s="352"/>
      <c r="I195" s="329" t="e">
        <f aca="false">bordro810[[#This Row],[Ödeme]]-bordro810[[#This Row],[M. Tutar]]</f>
        <v>#N/A</v>
      </c>
      <c r="J195" s="350" t="n">
        <f aca="false">SUMIF(bordro810[Personel],bordro810[[#This Row],[Personel]],F$3:F195)-SUMIF(bordro810[Personel],bordro810[[#This Row],[Personel]],G$3:G195)</f>
        <v>0</v>
      </c>
      <c r="K195" s="351" t="str">
        <f aca="false">TEXT(bordro810[[#This Row],[Tarih]],"yyyy")</f>
        <v>1899</v>
      </c>
      <c r="L195" s="1" t="str">
        <f aca="false">TEXT(bordro810[[#This Row],[Tarih]],"yyyy/aa")</f>
        <v>1899.aa</v>
      </c>
      <c r="M195" s="1" t="str">
        <f aca="false">TEXT(bordro810[[#This Row],[Tarih]],"gggg")</f>
        <v>ADMS</v>
      </c>
      <c r="N195" s="1" t="e">
        <f aca="false">VLOOKUP(B195,PersonelListesi!A$1:G$41,4,FALSE())</f>
        <v>#N/A</v>
      </c>
      <c r="O195" s="363"/>
    </row>
    <row r="196" customFormat="false" ht="15" hidden="false" customHeight="false" outlineLevel="0" collapsed="false">
      <c r="B196" s="364"/>
      <c r="C196" s="364"/>
      <c r="D196" s="361"/>
      <c r="E196" s="312" t="e">
        <f aca="false">VLOOKUP(B196,PersonelListesi!A$1:G$47,5,FALSE())</f>
        <v>#N/A</v>
      </c>
      <c r="F196" s="322" t="e">
        <f aca="false">bordro810[[#This Row],[Saat]]*bordro810[[#This Row],[S.Ücret]]</f>
        <v>#N/A</v>
      </c>
      <c r="G196" s="352" t="n">
        <v>0</v>
      </c>
      <c r="H196" s="352"/>
      <c r="I196" s="329" t="e">
        <f aca="false">bordro810[[#This Row],[Ödeme]]-bordro810[[#This Row],[M. Tutar]]</f>
        <v>#N/A</v>
      </c>
      <c r="J196" s="350" t="n">
        <f aca="false">SUMIF(bordro810[Personel],bordro810[[#This Row],[Personel]],F$3:F196)-SUMIF(bordro810[Personel],bordro810[[#This Row],[Personel]],G$3:G196)</f>
        <v>0</v>
      </c>
      <c r="K196" s="351" t="str">
        <f aca="false">TEXT(bordro810[[#This Row],[Tarih]],"yyyy")</f>
        <v>1899</v>
      </c>
      <c r="L196" s="1" t="str">
        <f aca="false">TEXT(bordro810[[#This Row],[Tarih]],"yyyy/aa")</f>
        <v>1899.aa</v>
      </c>
      <c r="M196" s="1" t="str">
        <f aca="false">TEXT(bordro810[[#This Row],[Tarih]],"gggg")</f>
        <v>ADMS</v>
      </c>
      <c r="N196" s="1" t="e">
        <f aca="false">VLOOKUP(B196,PersonelListesi!A$1:G$41,4,FALSE())</f>
        <v>#N/A</v>
      </c>
      <c r="O196" s="363"/>
    </row>
    <row r="197" customFormat="false" ht="15" hidden="false" customHeight="false" outlineLevel="0" collapsed="false">
      <c r="B197" s="364"/>
      <c r="C197" s="364"/>
      <c r="D197" s="361"/>
      <c r="E197" s="312" t="e">
        <f aca="false">VLOOKUP(B197,PersonelListesi!A$1:G$47,5,FALSE())</f>
        <v>#N/A</v>
      </c>
      <c r="F197" s="322" t="e">
        <f aca="false">bordro810[[#This Row],[Saat]]*bordro810[[#This Row],[S.Ücret]]</f>
        <v>#N/A</v>
      </c>
      <c r="G197" s="352" t="n">
        <v>0</v>
      </c>
      <c r="H197" s="352"/>
      <c r="I197" s="329" t="e">
        <f aca="false">bordro810[[#This Row],[Ödeme]]-bordro810[[#This Row],[M. Tutar]]</f>
        <v>#N/A</v>
      </c>
      <c r="J197" s="350" t="n">
        <f aca="false">SUMIF(bordro810[Personel],bordro810[[#This Row],[Personel]],F$3:F197)-SUMIF(bordro810[Personel],bordro810[[#This Row],[Personel]],G$3:G197)</f>
        <v>0</v>
      </c>
      <c r="K197" s="351" t="str">
        <f aca="false">TEXT(bordro810[[#This Row],[Tarih]],"yyyy")</f>
        <v>1899</v>
      </c>
      <c r="L197" s="1" t="str">
        <f aca="false">TEXT(bordro810[[#This Row],[Tarih]],"yyyy/aa")</f>
        <v>1899.aa</v>
      </c>
      <c r="M197" s="1" t="str">
        <f aca="false">TEXT(bordro810[[#This Row],[Tarih]],"gggg")</f>
        <v>ADMS</v>
      </c>
      <c r="N197" s="1" t="e">
        <f aca="false">VLOOKUP(B197,PersonelListesi!A$1:G$41,4,FALSE())</f>
        <v>#N/A</v>
      </c>
      <c r="O197" s="363"/>
    </row>
    <row r="198" customFormat="false" ht="15" hidden="false" customHeight="false" outlineLevel="0" collapsed="false">
      <c r="B198" s="364"/>
      <c r="C198" s="364"/>
      <c r="D198" s="361"/>
      <c r="E198" s="312" t="e">
        <f aca="false">VLOOKUP(B198,PersonelListesi!A$1:G$47,5,FALSE())</f>
        <v>#N/A</v>
      </c>
      <c r="F198" s="322" t="e">
        <f aca="false">bordro810[[#This Row],[Saat]]*bordro810[[#This Row],[S.Ücret]]</f>
        <v>#N/A</v>
      </c>
      <c r="G198" s="352" t="n">
        <v>0</v>
      </c>
      <c r="H198" s="352"/>
      <c r="I198" s="329" t="e">
        <f aca="false">bordro810[[#This Row],[Ödeme]]-bordro810[[#This Row],[M. Tutar]]</f>
        <v>#N/A</v>
      </c>
      <c r="J198" s="350" t="n">
        <f aca="false">SUMIF(bordro810[Personel],bordro810[[#This Row],[Personel]],F$3:F198)-SUMIF(bordro810[Personel],bordro810[[#This Row],[Personel]],G$3:G198)</f>
        <v>0</v>
      </c>
      <c r="K198" s="351" t="str">
        <f aca="false">TEXT(bordro810[[#This Row],[Tarih]],"yyyy")</f>
        <v>1899</v>
      </c>
      <c r="L198" s="1" t="str">
        <f aca="false">TEXT(bordro810[[#This Row],[Tarih]],"yyyy/aa")</f>
        <v>1899.aa</v>
      </c>
      <c r="M198" s="1" t="str">
        <f aca="false">TEXT(bordro810[[#This Row],[Tarih]],"gggg")</f>
        <v>ADMS</v>
      </c>
      <c r="N198" s="1" t="e">
        <f aca="false">VLOOKUP(B198,PersonelListesi!A$1:G$41,4,FALSE())</f>
        <v>#N/A</v>
      </c>
      <c r="O198" s="363"/>
    </row>
    <row r="199" customFormat="false" ht="15" hidden="false" customHeight="false" outlineLevel="0" collapsed="false">
      <c r="B199" s="364"/>
      <c r="C199" s="364"/>
      <c r="D199" s="361"/>
      <c r="E199" s="312" t="e">
        <f aca="false">VLOOKUP(B199,PersonelListesi!A$1:G$47,5,FALSE())</f>
        <v>#N/A</v>
      </c>
      <c r="F199" s="322" t="e">
        <f aca="false">bordro810[[#This Row],[Saat]]*bordro810[[#This Row],[S.Ücret]]</f>
        <v>#N/A</v>
      </c>
      <c r="G199" s="352" t="n">
        <v>0</v>
      </c>
      <c r="H199" s="352"/>
      <c r="I199" s="329" t="e">
        <f aca="false">bordro810[[#This Row],[Ödeme]]-bordro810[[#This Row],[M. Tutar]]</f>
        <v>#N/A</v>
      </c>
      <c r="J199" s="350" t="n">
        <f aca="false">SUMIF(bordro810[Personel],bordro810[[#This Row],[Personel]],F$3:F199)-SUMIF(bordro810[Personel],bordro810[[#This Row],[Personel]],G$3:G199)</f>
        <v>0</v>
      </c>
      <c r="K199" s="351" t="str">
        <f aca="false">TEXT(bordro810[[#This Row],[Tarih]],"yyyy")</f>
        <v>1899</v>
      </c>
      <c r="L199" s="1" t="str">
        <f aca="false">TEXT(bordro810[[#This Row],[Tarih]],"yyyy/aa")</f>
        <v>1899.aa</v>
      </c>
      <c r="M199" s="1" t="str">
        <f aca="false">TEXT(bordro810[[#This Row],[Tarih]],"gggg")</f>
        <v>ADMS</v>
      </c>
      <c r="N199" s="1" t="e">
        <f aca="false">VLOOKUP(B199,PersonelListesi!A$1:G$41,4,FALSE())</f>
        <v>#N/A</v>
      </c>
      <c r="O199" s="363"/>
    </row>
    <row r="200" customFormat="false" ht="15" hidden="false" customHeight="false" outlineLevel="0" collapsed="false">
      <c r="B200" s="364"/>
      <c r="C200" s="364"/>
      <c r="D200" s="361"/>
      <c r="E200" s="312" t="e">
        <f aca="false">VLOOKUP(B200,PersonelListesi!A$1:G$47,5,FALSE())</f>
        <v>#N/A</v>
      </c>
      <c r="F200" s="322" t="e">
        <f aca="false">bordro810[[#This Row],[Saat]]*bordro810[[#This Row],[S.Ücret]]</f>
        <v>#N/A</v>
      </c>
      <c r="G200" s="352" t="n">
        <v>0</v>
      </c>
      <c r="H200" s="352"/>
      <c r="I200" s="329" t="e">
        <f aca="false">bordro810[[#This Row],[Ödeme]]-bordro810[[#This Row],[M. Tutar]]</f>
        <v>#N/A</v>
      </c>
      <c r="J200" s="350" t="n">
        <f aca="false">SUMIF(bordro810[Personel],bordro810[[#This Row],[Personel]],F$3:F200)-SUMIF(bordro810[Personel],bordro810[[#This Row],[Personel]],G$3:G200)</f>
        <v>0</v>
      </c>
      <c r="K200" s="351" t="str">
        <f aca="false">TEXT(bordro810[[#This Row],[Tarih]],"yyyy")</f>
        <v>1899</v>
      </c>
      <c r="L200" s="1" t="str">
        <f aca="false">TEXT(bordro810[[#This Row],[Tarih]],"yyyy/aa")</f>
        <v>1899.aa</v>
      </c>
      <c r="M200" s="1" t="str">
        <f aca="false">TEXT(bordro810[[#This Row],[Tarih]],"gggg")</f>
        <v>ADMS</v>
      </c>
      <c r="N200" s="1" t="e">
        <f aca="false">VLOOKUP(B200,PersonelListesi!A$1:G$41,4,FALSE())</f>
        <v>#N/A</v>
      </c>
      <c r="O200" s="363"/>
    </row>
    <row r="201" customFormat="false" ht="15" hidden="false" customHeight="false" outlineLevel="0" collapsed="false">
      <c r="B201" s="364"/>
      <c r="C201" s="364"/>
      <c r="D201" s="361"/>
      <c r="E201" s="312" t="e">
        <f aca="false">VLOOKUP(B201,PersonelListesi!A$1:G$47,5,FALSE())</f>
        <v>#N/A</v>
      </c>
      <c r="F201" s="322" t="e">
        <f aca="false">bordro810[[#This Row],[Saat]]*bordro810[[#This Row],[S.Ücret]]</f>
        <v>#N/A</v>
      </c>
      <c r="G201" s="352" t="n">
        <v>0</v>
      </c>
      <c r="H201" s="352"/>
      <c r="I201" s="329" t="e">
        <f aca="false">bordro810[[#This Row],[Ödeme]]-bordro810[[#This Row],[M. Tutar]]</f>
        <v>#N/A</v>
      </c>
      <c r="J201" s="350" t="n">
        <f aca="false">SUMIF(bordro810[Personel],bordro810[[#This Row],[Personel]],F$3:F201)-SUMIF(bordro810[Personel],bordro810[[#This Row],[Personel]],G$3:G201)</f>
        <v>0</v>
      </c>
      <c r="K201" s="351" t="str">
        <f aca="false">TEXT(bordro810[[#This Row],[Tarih]],"yyyy")</f>
        <v>1899</v>
      </c>
      <c r="L201" s="1" t="str">
        <f aca="false">TEXT(bordro810[[#This Row],[Tarih]],"yyyy/aa")</f>
        <v>1899.aa</v>
      </c>
      <c r="M201" s="1" t="str">
        <f aca="false">TEXT(bordro810[[#This Row],[Tarih]],"gggg")</f>
        <v>ADMS</v>
      </c>
      <c r="N201" s="1" t="e">
        <f aca="false">VLOOKUP(B201,PersonelListesi!A$1:G$41,4,FALSE())</f>
        <v>#N/A</v>
      </c>
      <c r="O201" s="363"/>
    </row>
    <row r="202" customFormat="false" ht="15" hidden="false" customHeight="false" outlineLevel="0" collapsed="false">
      <c r="B202" s="364"/>
      <c r="C202" s="364"/>
      <c r="D202" s="361"/>
      <c r="E202" s="312" t="e">
        <f aca="false">VLOOKUP(B202,PersonelListesi!A$1:G$47,5,FALSE())</f>
        <v>#N/A</v>
      </c>
      <c r="F202" s="322" t="e">
        <f aca="false">bordro810[[#This Row],[Saat]]*bordro810[[#This Row],[S.Ücret]]</f>
        <v>#N/A</v>
      </c>
      <c r="G202" s="352" t="n">
        <v>0</v>
      </c>
      <c r="H202" s="352"/>
      <c r="I202" s="329" t="e">
        <f aca="false">bordro810[[#This Row],[Ödeme]]-bordro810[[#This Row],[M. Tutar]]</f>
        <v>#N/A</v>
      </c>
      <c r="J202" s="350" t="n">
        <f aca="false">SUMIF(bordro810[Personel],bordro810[[#This Row],[Personel]],F$3:F202)-SUMIF(bordro810[Personel],bordro810[[#This Row],[Personel]],G$3:G202)</f>
        <v>0</v>
      </c>
      <c r="K202" s="351" t="str">
        <f aca="false">TEXT(bordro810[[#This Row],[Tarih]],"yyyy")</f>
        <v>1899</v>
      </c>
      <c r="L202" s="1" t="str">
        <f aca="false">TEXT(bordro810[[#This Row],[Tarih]],"yyyy/aa")</f>
        <v>1899.aa</v>
      </c>
      <c r="M202" s="1" t="str">
        <f aca="false">TEXT(bordro810[[#This Row],[Tarih]],"gggg")</f>
        <v>ADMS</v>
      </c>
      <c r="N202" s="1" t="e">
        <f aca="false">VLOOKUP(B202,PersonelListesi!A$1:G$41,4,FALSE())</f>
        <v>#N/A</v>
      </c>
      <c r="O202" s="363"/>
    </row>
    <row r="203" customFormat="false" ht="15" hidden="false" customHeight="false" outlineLevel="0" collapsed="false">
      <c r="B203" s="364"/>
      <c r="C203" s="364"/>
      <c r="D203" s="361"/>
      <c r="E203" s="312" t="e">
        <f aca="false">VLOOKUP(B203,PersonelListesi!A$1:G$47,5,FALSE())</f>
        <v>#N/A</v>
      </c>
      <c r="F203" s="322" t="e">
        <f aca="false">bordro810[[#This Row],[Saat]]*bordro810[[#This Row],[S.Ücret]]</f>
        <v>#N/A</v>
      </c>
      <c r="G203" s="352" t="n">
        <v>0</v>
      </c>
      <c r="H203" s="352"/>
      <c r="I203" s="329" t="e">
        <f aca="false">bordro810[[#This Row],[Ödeme]]-bordro810[[#This Row],[M. Tutar]]</f>
        <v>#N/A</v>
      </c>
      <c r="J203" s="350" t="n">
        <f aca="false">SUMIF(bordro810[Personel],bordro810[[#This Row],[Personel]],F$3:F203)-SUMIF(bordro810[Personel],bordro810[[#This Row],[Personel]],G$3:G203)</f>
        <v>0</v>
      </c>
      <c r="K203" s="351" t="str">
        <f aca="false">TEXT(bordro810[[#This Row],[Tarih]],"yyyy")</f>
        <v>1899</v>
      </c>
      <c r="L203" s="1" t="str">
        <f aca="false">TEXT(bordro810[[#This Row],[Tarih]],"yyyy/aa")</f>
        <v>1899.aa</v>
      </c>
      <c r="M203" s="1" t="str">
        <f aca="false">TEXT(bordro810[[#This Row],[Tarih]],"gggg")</f>
        <v>ADMS</v>
      </c>
      <c r="N203" s="1" t="e">
        <f aca="false">VLOOKUP(B203,PersonelListesi!A$1:G$41,4,FALSE())</f>
        <v>#N/A</v>
      </c>
      <c r="O203" s="363"/>
    </row>
    <row r="204" customFormat="false" ht="15" hidden="false" customHeight="false" outlineLevel="0" collapsed="false">
      <c r="B204" s="364"/>
      <c r="C204" s="364"/>
      <c r="D204" s="361"/>
      <c r="E204" s="312" t="e">
        <f aca="false">VLOOKUP(B204,PersonelListesi!A$1:G$47,5,FALSE())</f>
        <v>#N/A</v>
      </c>
      <c r="F204" s="322" t="e">
        <f aca="false">bordro810[[#This Row],[Saat]]*bordro810[[#This Row],[S.Ücret]]</f>
        <v>#N/A</v>
      </c>
      <c r="G204" s="352" t="n">
        <v>0</v>
      </c>
      <c r="H204" s="352"/>
      <c r="I204" s="329" t="e">
        <f aca="false">bordro810[[#This Row],[Ödeme]]-bordro810[[#This Row],[M. Tutar]]</f>
        <v>#N/A</v>
      </c>
      <c r="J204" s="350" t="n">
        <f aca="false">SUMIF(bordro810[Personel],bordro810[[#This Row],[Personel]],F$3:F204)-SUMIF(bordro810[Personel],bordro810[[#This Row],[Personel]],G$3:G204)</f>
        <v>0</v>
      </c>
      <c r="K204" s="351" t="str">
        <f aca="false">TEXT(bordro810[[#This Row],[Tarih]],"yyyy")</f>
        <v>1899</v>
      </c>
      <c r="L204" s="1" t="str">
        <f aca="false">TEXT(bordro810[[#This Row],[Tarih]],"yyyy/aa")</f>
        <v>1899.aa</v>
      </c>
      <c r="M204" s="1" t="str">
        <f aca="false">TEXT(bordro810[[#This Row],[Tarih]],"gggg")</f>
        <v>ADMS</v>
      </c>
      <c r="N204" s="1" t="e">
        <f aca="false">VLOOKUP(B204,PersonelListesi!A$1:G$41,4,FALSE())</f>
        <v>#N/A</v>
      </c>
      <c r="O204" s="363"/>
    </row>
    <row r="205" customFormat="false" ht="15" hidden="false" customHeight="false" outlineLevel="0" collapsed="false">
      <c r="B205" s="364"/>
      <c r="C205" s="364"/>
      <c r="D205" s="361"/>
      <c r="E205" s="312" t="e">
        <f aca="false">VLOOKUP(B205,PersonelListesi!A$1:G$47,5,FALSE())</f>
        <v>#N/A</v>
      </c>
      <c r="F205" s="322" t="e">
        <f aca="false">bordro810[[#This Row],[Saat]]*bordro810[[#This Row],[S.Ücret]]</f>
        <v>#N/A</v>
      </c>
      <c r="G205" s="352" t="n">
        <v>0</v>
      </c>
      <c r="H205" s="352"/>
      <c r="I205" s="329" t="e">
        <f aca="false">bordro810[[#This Row],[Ödeme]]-bordro810[[#This Row],[M. Tutar]]</f>
        <v>#N/A</v>
      </c>
      <c r="J205" s="350" t="n">
        <f aca="false">SUMIF(bordro810[Personel],bordro810[[#This Row],[Personel]],F$3:F205)-SUMIF(bordro810[Personel],bordro810[[#This Row],[Personel]],G$3:G205)</f>
        <v>0</v>
      </c>
      <c r="K205" s="351" t="str">
        <f aca="false">TEXT(bordro810[[#This Row],[Tarih]],"yyyy")</f>
        <v>1899</v>
      </c>
      <c r="L205" s="1" t="str">
        <f aca="false">TEXT(bordro810[[#This Row],[Tarih]],"yyyy/aa")</f>
        <v>1899.aa</v>
      </c>
      <c r="M205" s="1" t="str">
        <f aca="false">TEXT(bordro810[[#This Row],[Tarih]],"gggg")</f>
        <v>ADMS</v>
      </c>
      <c r="N205" s="1" t="e">
        <f aca="false">VLOOKUP(B205,PersonelListesi!A$1:G$41,4,FALSE())</f>
        <v>#N/A</v>
      </c>
      <c r="O205" s="363"/>
    </row>
    <row r="206" customFormat="false" ht="15" hidden="false" customHeight="false" outlineLevel="0" collapsed="false">
      <c r="B206" s="364"/>
      <c r="C206" s="364"/>
      <c r="D206" s="361"/>
      <c r="E206" s="312" t="e">
        <f aca="false">VLOOKUP(B206,PersonelListesi!A$1:G$47,5,FALSE())</f>
        <v>#N/A</v>
      </c>
      <c r="F206" s="322" t="e">
        <f aca="false">bordro810[[#This Row],[Saat]]*bordro810[[#This Row],[S.Ücret]]</f>
        <v>#N/A</v>
      </c>
      <c r="G206" s="352" t="n">
        <v>0</v>
      </c>
      <c r="H206" s="352"/>
      <c r="I206" s="329" t="e">
        <f aca="false">bordro810[[#This Row],[Ödeme]]-bordro810[[#This Row],[M. Tutar]]</f>
        <v>#N/A</v>
      </c>
      <c r="J206" s="350" t="n">
        <f aca="false">SUMIF(bordro810[Personel],bordro810[[#This Row],[Personel]],F$3:F206)-SUMIF(bordro810[Personel],bordro810[[#This Row],[Personel]],G$3:G206)</f>
        <v>0</v>
      </c>
      <c r="K206" s="351" t="str">
        <f aca="false">TEXT(bordro810[[#This Row],[Tarih]],"yyyy")</f>
        <v>1899</v>
      </c>
      <c r="L206" s="1" t="str">
        <f aca="false">TEXT(bordro810[[#This Row],[Tarih]],"yyyy/aa")</f>
        <v>1899.aa</v>
      </c>
      <c r="M206" s="1" t="str">
        <f aca="false">TEXT(bordro810[[#This Row],[Tarih]],"gggg")</f>
        <v>ADMS</v>
      </c>
      <c r="N206" s="1" t="e">
        <f aca="false">VLOOKUP(B206,PersonelListesi!A$1:G$41,4,FALSE())</f>
        <v>#N/A</v>
      </c>
      <c r="O206" s="363"/>
    </row>
    <row r="207" customFormat="false" ht="15" hidden="false" customHeight="false" outlineLevel="0" collapsed="false">
      <c r="B207" s="364"/>
      <c r="C207" s="364"/>
      <c r="D207" s="361"/>
      <c r="E207" s="312" t="e">
        <f aca="false">VLOOKUP(B207,PersonelListesi!A$1:G$47,5,FALSE())</f>
        <v>#N/A</v>
      </c>
      <c r="F207" s="322" t="e">
        <f aca="false">bordro810[[#This Row],[Saat]]*bordro810[[#This Row],[S.Ücret]]</f>
        <v>#N/A</v>
      </c>
      <c r="G207" s="352" t="n">
        <v>0</v>
      </c>
      <c r="H207" s="352"/>
      <c r="I207" s="329" t="e">
        <f aca="false">bordro810[[#This Row],[Ödeme]]-bordro810[[#This Row],[M. Tutar]]</f>
        <v>#N/A</v>
      </c>
      <c r="J207" s="350" t="n">
        <f aca="false">SUMIF(bordro810[Personel],bordro810[[#This Row],[Personel]],F$3:F207)-SUMIF(bordro810[Personel],bordro810[[#This Row],[Personel]],G$3:G207)</f>
        <v>0</v>
      </c>
      <c r="K207" s="351" t="str">
        <f aca="false">TEXT(bordro810[[#This Row],[Tarih]],"yyyy")</f>
        <v>1899</v>
      </c>
      <c r="L207" s="1" t="str">
        <f aca="false">TEXT(bordro810[[#This Row],[Tarih]],"yyyy/aa")</f>
        <v>1899.aa</v>
      </c>
      <c r="M207" s="1" t="str">
        <f aca="false">TEXT(bordro810[[#This Row],[Tarih]],"gggg")</f>
        <v>ADMS</v>
      </c>
      <c r="N207" s="1" t="e">
        <f aca="false">VLOOKUP(B207,PersonelListesi!A$1:G$41,4,FALSE())</f>
        <v>#N/A</v>
      </c>
      <c r="O207" s="363"/>
    </row>
    <row r="208" customFormat="false" ht="15" hidden="false" customHeight="false" outlineLevel="0" collapsed="false">
      <c r="B208" s="364"/>
      <c r="C208" s="364"/>
      <c r="D208" s="361"/>
      <c r="E208" s="312" t="e">
        <f aca="false">VLOOKUP(B208,PersonelListesi!A$1:G$47,5,FALSE())</f>
        <v>#N/A</v>
      </c>
      <c r="F208" s="322" t="e">
        <f aca="false">bordro810[[#This Row],[Saat]]*bordro810[[#This Row],[S.Ücret]]</f>
        <v>#N/A</v>
      </c>
      <c r="G208" s="352" t="n">
        <v>0</v>
      </c>
      <c r="H208" s="352"/>
      <c r="I208" s="329" t="e">
        <f aca="false">bordro810[[#This Row],[Ödeme]]-bordro810[[#This Row],[M. Tutar]]</f>
        <v>#N/A</v>
      </c>
      <c r="J208" s="350" t="n">
        <f aca="false">SUMIF(bordro810[Personel],bordro810[[#This Row],[Personel]],F$3:F208)-SUMIF(bordro810[Personel],bordro810[[#This Row],[Personel]],G$3:G208)</f>
        <v>0</v>
      </c>
      <c r="K208" s="351" t="str">
        <f aca="false">TEXT(bordro810[[#This Row],[Tarih]],"yyyy")</f>
        <v>1899</v>
      </c>
      <c r="L208" s="1" t="str">
        <f aca="false">TEXT(bordro810[[#This Row],[Tarih]],"yyyy/aa")</f>
        <v>1899.aa</v>
      </c>
      <c r="M208" s="1" t="str">
        <f aca="false">TEXT(bordro810[[#This Row],[Tarih]],"gggg")</f>
        <v>ADMS</v>
      </c>
      <c r="N208" s="1" t="e">
        <f aca="false">VLOOKUP(B208,PersonelListesi!A$1:G$41,4,FALSE())</f>
        <v>#N/A</v>
      </c>
      <c r="O208" s="363"/>
    </row>
    <row r="209" customFormat="false" ht="15" hidden="false" customHeight="false" outlineLevel="0" collapsed="false">
      <c r="B209" s="364"/>
      <c r="C209" s="364"/>
      <c r="D209" s="361"/>
      <c r="E209" s="312" t="e">
        <f aca="false">VLOOKUP(B209,PersonelListesi!A$1:G$47,5,FALSE())</f>
        <v>#N/A</v>
      </c>
      <c r="F209" s="322" t="e">
        <f aca="false">bordro810[[#This Row],[Saat]]*bordro810[[#This Row],[S.Ücret]]</f>
        <v>#N/A</v>
      </c>
      <c r="G209" s="352" t="n">
        <v>0</v>
      </c>
      <c r="H209" s="352"/>
      <c r="I209" s="329" t="e">
        <f aca="false">bordro810[[#This Row],[Ödeme]]-bordro810[[#This Row],[M. Tutar]]</f>
        <v>#N/A</v>
      </c>
      <c r="J209" s="350" t="n">
        <f aca="false">SUMIF(bordro810[Personel],bordro810[[#This Row],[Personel]],F$3:F209)-SUMIF(bordro810[Personel],bordro810[[#This Row],[Personel]],G$3:G209)</f>
        <v>0</v>
      </c>
      <c r="K209" s="351" t="str">
        <f aca="false">TEXT(bordro810[[#This Row],[Tarih]],"yyyy")</f>
        <v>1899</v>
      </c>
      <c r="L209" s="1" t="str">
        <f aca="false">TEXT(bordro810[[#This Row],[Tarih]],"yyyy/aa")</f>
        <v>1899.aa</v>
      </c>
      <c r="M209" s="1" t="str">
        <f aca="false">TEXT(bordro810[[#This Row],[Tarih]],"gggg")</f>
        <v>ADMS</v>
      </c>
      <c r="N209" s="1" t="e">
        <f aca="false">VLOOKUP(B209,PersonelListesi!A$1:G$41,4,FALSE())</f>
        <v>#N/A</v>
      </c>
      <c r="O209" s="363"/>
    </row>
    <row r="210" customFormat="false" ht="15" hidden="false" customHeight="false" outlineLevel="0" collapsed="false">
      <c r="B210" s="364"/>
      <c r="C210" s="364"/>
      <c r="D210" s="361"/>
      <c r="E210" s="312" t="e">
        <f aca="false">VLOOKUP(B210,PersonelListesi!A$1:G$47,5,FALSE())</f>
        <v>#N/A</v>
      </c>
      <c r="F210" s="322" t="e">
        <f aca="false">bordro810[[#This Row],[Saat]]*bordro810[[#This Row],[S.Ücret]]</f>
        <v>#N/A</v>
      </c>
      <c r="G210" s="352" t="n">
        <v>0</v>
      </c>
      <c r="H210" s="352"/>
      <c r="I210" s="329" t="e">
        <f aca="false">bordro810[[#This Row],[Ödeme]]-bordro810[[#This Row],[M. Tutar]]</f>
        <v>#N/A</v>
      </c>
      <c r="J210" s="350" t="n">
        <f aca="false">SUMIF(bordro810[Personel],bordro810[[#This Row],[Personel]],F$3:F210)-SUMIF(bordro810[Personel],bordro810[[#This Row],[Personel]],G$3:G210)</f>
        <v>0</v>
      </c>
      <c r="K210" s="351" t="str">
        <f aca="false">TEXT(bordro810[[#This Row],[Tarih]],"yyyy")</f>
        <v>1899</v>
      </c>
      <c r="L210" s="1" t="str">
        <f aca="false">TEXT(bordro810[[#This Row],[Tarih]],"yyyy/aa")</f>
        <v>1899.aa</v>
      </c>
      <c r="M210" s="1" t="str">
        <f aca="false">TEXT(bordro810[[#This Row],[Tarih]],"gggg")</f>
        <v>ADMS</v>
      </c>
      <c r="N210" s="1" t="e">
        <f aca="false">VLOOKUP(B210,PersonelListesi!A$1:G$41,4,FALSE())</f>
        <v>#N/A</v>
      </c>
      <c r="O210" s="363"/>
    </row>
    <row r="211" customFormat="false" ht="15" hidden="false" customHeight="false" outlineLevel="0" collapsed="false">
      <c r="B211" s="364"/>
      <c r="C211" s="364"/>
      <c r="D211" s="361"/>
      <c r="E211" s="312" t="e">
        <f aca="false">VLOOKUP(B211,PersonelListesi!A$1:G$47,5,FALSE())</f>
        <v>#N/A</v>
      </c>
      <c r="F211" s="322" t="e">
        <f aca="false">bordro810[[#This Row],[Saat]]*bordro810[[#This Row],[S.Ücret]]</f>
        <v>#N/A</v>
      </c>
      <c r="G211" s="352" t="n">
        <v>0</v>
      </c>
      <c r="H211" s="352"/>
      <c r="I211" s="329" t="e">
        <f aca="false">bordro810[[#This Row],[Ödeme]]-bordro810[[#This Row],[M. Tutar]]</f>
        <v>#N/A</v>
      </c>
      <c r="J211" s="350" t="n">
        <f aca="false">SUMIF(bordro810[Personel],bordro810[[#This Row],[Personel]],F$3:F211)-SUMIF(bordro810[Personel],bordro810[[#This Row],[Personel]],G$3:G211)</f>
        <v>0</v>
      </c>
      <c r="K211" s="351" t="str">
        <f aca="false">TEXT(bordro810[[#This Row],[Tarih]],"yyyy")</f>
        <v>1899</v>
      </c>
      <c r="L211" s="1" t="str">
        <f aca="false">TEXT(bordro810[[#This Row],[Tarih]],"yyyy/aa")</f>
        <v>1899.aa</v>
      </c>
      <c r="M211" s="1" t="str">
        <f aca="false">TEXT(bordro810[[#This Row],[Tarih]],"gggg")</f>
        <v>ADMS</v>
      </c>
      <c r="N211" s="1" t="e">
        <f aca="false">VLOOKUP(B211,PersonelListesi!A$1:G$41,4,FALSE())</f>
        <v>#N/A</v>
      </c>
      <c r="O211" s="363"/>
    </row>
    <row r="212" customFormat="false" ht="15" hidden="false" customHeight="false" outlineLevel="0" collapsed="false">
      <c r="B212" s="364"/>
      <c r="C212" s="364"/>
      <c r="D212" s="361"/>
      <c r="E212" s="312" t="e">
        <f aca="false">VLOOKUP(B212,PersonelListesi!A$1:G$47,5,FALSE())</f>
        <v>#N/A</v>
      </c>
      <c r="F212" s="322" t="e">
        <f aca="false">bordro810[[#This Row],[Saat]]*bordro810[[#This Row],[S.Ücret]]</f>
        <v>#N/A</v>
      </c>
      <c r="G212" s="352" t="n">
        <v>0</v>
      </c>
      <c r="H212" s="352"/>
      <c r="I212" s="329" t="e">
        <f aca="false">bordro810[[#This Row],[Ödeme]]-bordro810[[#This Row],[M. Tutar]]</f>
        <v>#N/A</v>
      </c>
      <c r="J212" s="350" t="n">
        <f aca="false">SUMIF(bordro810[Personel],bordro810[[#This Row],[Personel]],F$3:F212)-SUMIF(bordro810[Personel],bordro810[[#This Row],[Personel]],G$3:G212)</f>
        <v>0</v>
      </c>
      <c r="K212" s="351" t="str">
        <f aca="false">TEXT(bordro810[[#This Row],[Tarih]],"yyyy")</f>
        <v>1899</v>
      </c>
      <c r="L212" s="1" t="str">
        <f aca="false">TEXT(bordro810[[#This Row],[Tarih]],"yyyy/aa")</f>
        <v>1899.aa</v>
      </c>
      <c r="M212" s="1" t="str">
        <f aca="false">TEXT(bordro810[[#This Row],[Tarih]],"gggg")</f>
        <v>ADMS</v>
      </c>
      <c r="N212" s="1" t="e">
        <f aca="false">VLOOKUP(B212,PersonelListesi!A$1:G$41,4,FALSE())</f>
        <v>#N/A</v>
      </c>
      <c r="O212" s="363"/>
    </row>
    <row r="213" customFormat="false" ht="15" hidden="false" customHeight="false" outlineLevel="0" collapsed="false">
      <c r="B213" s="364"/>
      <c r="C213" s="364"/>
      <c r="D213" s="361"/>
      <c r="E213" s="312" t="e">
        <f aca="false">VLOOKUP(B213,PersonelListesi!A$1:G$47,5,FALSE())</f>
        <v>#N/A</v>
      </c>
      <c r="F213" s="322" t="e">
        <f aca="false">bordro810[[#This Row],[Saat]]*bordro810[[#This Row],[S.Ücret]]</f>
        <v>#N/A</v>
      </c>
      <c r="G213" s="352" t="n">
        <v>0</v>
      </c>
      <c r="H213" s="352"/>
      <c r="I213" s="329" t="e">
        <f aca="false">bordro810[[#This Row],[Ödeme]]-bordro810[[#This Row],[M. Tutar]]</f>
        <v>#N/A</v>
      </c>
      <c r="J213" s="350" t="n">
        <f aca="false">SUMIF(bordro810[Personel],bordro810[[#This Row],[Personel]],F$3:F213)-SUMIF(bordro810[Personel],bordro810[[#This Row],[Personel]],G$3:G213)</f>
        <v>0</v>
      </c>
      <c r="K213" s="351" t="str">
        <f aca="false">TEXT(bordro810[[#This Row],[Tarih]],"yyyy")</f>
        <v>1899</v>
      </c>
      <c r="L213" s="1" t="str">
        <f aca="false">TEXT(bordro810[[#This Row],[Tarih]],"yyyy/aa")</f>
        <v>1899.aa</v>
      </c>
      <c r="M213" s="1" t="str">
        <f aca="false">TEXT(bordro810[[#This Row],[Tarih]],"gggg")</f>
        <v>ADMS</v>
      </c>
      <c r="N213" s="1" t="e">
        <f aca="false">VLOOKUP(B213,PersonelListesi!A$1:G$41,4,FALSE())</f>
        <v>#N/A</v>
      </c>
      <c r="O213" s="363"/>
    </row>
    <row r="214" customFormat="false" ht="15" hidden="false" customHeight="false" outlineLevel="0" collapsed="false">
      <c r="B214" s="364"/>
      <c r="C214" s="364"/>
      <c r="D214" s="361"/>
      <c r="E214" s="312" t="e">
        <f aca="false">VLOOKUP(B214,PersonelListesi!A$1:G$47,5,FALSE())</f>
        <v>#N/A</v>
      </c>
      <c r="F214" s="322" t="e">
        <f aca="false">bordro810[[#This Row],[Saat]]*bordro810[[#This Row],[S.Ücret]]</f>
        <v>#N/A</v>
      </c>
      <c r="G214" s="352" t="n">
        <v>0</v>
      </c>
      <c r="H214" s="352"/>
      <c r="I214" s="329" t="e">
        <f aca="false">bordro810[[#This Row],[Ödeme]]-bordro810[[#This Row],[M. Tutar]]</f>
        <v>#N/A</v>
      </c>
      <c r="J214" s="350" t="n">
        <f aca="false">SUMIF(bordro810[Personel],bordro810[[#This Row],[Personel]],F$3:F214)-SUMIF(bordro810[Personel],bordro810[[#This Row],[Personel]],G$3:G214)</f>
        <v>0</v>
      </c>
      <c r="K214" s="351" t="str">
        <f aca="false">TEXT(bordro810[[#This Row],[Tarih]],"yyyy")</f>
        <v>1899</v>
      </c>
      <c r="L214" s="1" t="str">
        <f aca="false">TEXT(bordro810[[#This Row],[Tarih]],"yyyy/aa")</f>
        <v>1899.aa</v>
      </c>
      <c r="M214" s="1" t="str">
        <f aca="false">TEXT(bordro810[[#This Row],[Tarih]],"gggg")</f>
        <v>ADMS</v>
      </c>
      <c r="N214" s="1" t="e">
        <f aca="false">VLOOKUP(B214,PersonelListesi!A$1:G$41,4,FALSE())</f>
        <v>#N/A</v>
      </c>
      <c r="O214" s="363"/>
    </row>
    <row r="215" customFormat="false" ht="15" hidden="false" customHeight="false" outlineLevel="0" collapsed="false">
      <c r="B215" s="364"/>
      <c r="C215" s="364"/>
      <c r="D215" s="361"/>
      <c r="E215" s="312" t="e">
        <f aca="false">VLOOKUP(B215,PersonelListesi!A$1:G$47,5,FALSE())</f>
        <v>#N/A</v>
      </c>
      <c r="F215" s="322" t="e">
        <f aca="false">bordro810[[#This Row],[Saat]]*bordro810[[#This Row],[S.Ücret]]</f>
        <v>#N/A</v>
      </c>
      <c r="G215" s="352" t="n">
        <v>0</v>
      </c>
      <c r="H215" s="352"/>
      <c r="I215" s="329" t="e">
        <f aca="false">bordro810[[#This Row],[Ödeme]]-bordro810[[#This Row],[M. Tutar]]</f>
        <v>#N/A</v>
      </c>
      <c r="J215" s="350" t="n">
        <f aca="false">SUMIF(bordro810[Personel],bordro810[[#This Row],[Personel]],F$3:F215)-SUMIF(bordro810[Personel],bordro810[[#This Row],[Personel]],G$3:G215)</f>
        <v>0</v>
      </c>
      <c r="K215" s="351" t="str">
        <f aca="false">TEXT(bordro810[[#This Row],[Tarih]],"yyyy")</f>
        <v>1899</v>
      </c>
      <c r="L215" s="1" t="str">
        <f aca="false">TEXT(bordro810[[#This Row],[Tarih]],"yyyy/aa")</f>
        <v>1899.aa</v>
      </c>
      <c r="M215" s="1" t="str">
        <f aca="false">TEXT(bordro810[[#This Row],[Tarih]],"gggg")</f>
        <v>ADMS</v>
      </c>
      <c r="N215" s="1" t="e">
        <f aca="false">VLOOKUP(B215,PersonelListesi!A$1:G$41,4,FALSE())</f>
        <v>#N/A</v>
      </c>
      <c r="O215" s="363"/>
    </row>
    <row r="216" customFormat="false" ht="15" hidden="false" customHeight="false" outlineLevel="0" collapsed="false">
      <c r="B216" s="364"/>
      <c r="C216" s="364"/>
      <c r="D216" s="361"/>
      <c r="E216" s="312" t="e">
        <f aca="false">VLOOKUP(B216,PersonelListesi!A$1:G$47,5,FALSE())</f>
        <v>#N/A</v>
      </c>
      <c r="F216" s="322" t="e">
        <f aca="false">bordro810[[#This Row],[Saat]]*bordro810[[#This Row],[S.Ücret]]</f>
        <v>#N/A</v>
      </c>
      <c r="G216" s="352" t="n">
        <v>0</v>
      </c>
      <c r="H216" s="352"/>
      <c r="I216" s="329" t="e">
        <f aca="false">bordro810[[#This Row],[Ödeme]]-bordro810[[#This Row],[M. Tutar]]</f>
        <v>#N/A</v>
      </c>
      <c r="J216" s="350" t="n">
        <f aca="false">SUMIF(bordro810[Personel],bordro810[[#This Row],[Personel]],F$3:F216)-SUMIF(bordro810[Personel],bordro810[[#This Row],[Personel]],G$3:G216)</f>
        <v>0</v>
      </c>
      <c r="K216" s="351" t="str">
        <f aca="false">TEXT(bordro810[[#This Row],[Tarih]],"yyyy")</f>
        <v>1899</v>
      </c>
      <c r="L216" s="1" t="str">
        <f aca="false">TEXT(bordro810[[#This Row],[Tarih]],"yyyy/aa")</f>
        <v>1899.aa</v>
      </c>
      <c r="M216" s="1" t="str">
        <f aca="false">TEXT(bordro810[[#This Row],[Tarih]],"gggg")</f>
        <v>ADMS</v>
      </c>
      <c r="N216" s="1" t="e">
        <f aca="false">VLOOKUP(B216,PersonelListesi!A$1:G$41,4,FALSE())</f>
        <v>#N/A</v>
      </c>
      <c r="O216" s="363"/>
    </row>
    <row r="217" customFormat="false" ht="15" hidden="false" customHeight="false" outlineLevel="0" collapsed="false">
      <c r="B217" s="364"/>
      <c r="C217" s="364"/>
      <c r="D217" s="361"/>
      <c r="E217" s="312" t="e">
        <f aca="false">VLOOKUP(B217,PersonelListesi!A$1:G$47,5,FALSE())</f>
        <v>#N/A</v>
      </c>
      <c r="F217" s="322" t="e">
        <f aca="false">bordro810[[#This Row],[Saat]]*bordro810[[#This Row],[S.Ücret]]</f>
        <v>#N/A</v>
      </c>
      <c r="G217" s="352" t="n">
        <v>0</v>
      </c>
      <c r="H217" s="352"/>
      <c r="I217" s="329" t="e">
        <f aca="false">bordro810[[#This Row],[Ödeme]]-bordro810[[#This Row],[M. Tutar]]</f>
        <v>#N/A</v>
      </c>
      <c r="J217" s="350" t="n">
        <f aca="false">SUMIF(bordro810[Personel],bordro810[[#This Row],[Personel]],F$3:F217)-SUMIF(bordro810[Personel],bordro810[[#This Row],[Personel]],G$3:G217)</f>
        <v>0</v>
      </c>
      <c r="K217" s="351" t="str">
        <f aca="false">TEXT(bordro810[[#This Row],[Tarih]],"yyyy")</f>
        <v>1899</v>
      </c>
      <c r="L217" s="1" t="str">
        <f aca="false">TEXT(bordro810[[#This Row],[Tarih]],"yyyy/aa")</f>
        <v>1899.aa</v>
      </c>
      <c r="M217" s="1" t="str">
        <f aca="false">TEXT(bordro810[[#This Row],[Tarih]],"gggg")</f>
        <v>ADMS</v>
      </c>
      <c r="N217" s="1" t="e">
        <f aca="false">VLOOKUP(B217,PersonelListesi!A$1:G$41,4,FALSE())</f>
        <v>#N/A</v>
      </c>
      <c r="O217" s="363"/>
    </row>
    <row r="218" customFormat="false" ht="15" hidden="false" customHeight="false" outlineLevel="0" collapsed="false">
      <c r="B218" s="364"/>
      <c r="C218" s="364"/>
      <c r="D218" s="361"/>
      <c r="E218" s="312" t="e">
        <f aca="false">VLOOKUP(B218,PersonelListesi!A$1:G$47,5,FALSE())</f>
        <v>#N/A</v>
      </c>
      <c r="F218" s="322" t="e">
        <f aca="false">bordro810[[#This Row],[Saat]]*bordro810[[#This Row],[S.Ücret]]</f>
        <v>#N/A</v>
      </c>
      <c r="G218" s="352" t="n">
        <v>0</v>
      </c>
      <c r="H218" s="352"/>
      <c r="I218" s="329" t="e">
        <f aca="false">bordro810[[#This Row],[Ödeme]]-bordro810[[#This Row],[M. Tutar]]</f>
        <v>#N/A</v>
      </c>
      <c r="J218" s="350" t="n">
        <f aca="false">SUMIF(bordro810[Personel],bordro810[[#This Row],[Personel]],F$3:F218)-SUMIF(bordro810[Personel],bordro810[[#This Row],[Personel]],G$3:G218)</f>
        <v>0</v>
      </c>
      <c r="K218" s="351" t="str">
        <f aca="false">TEXT(bordro810[[#This Row],[Tarih]],"yyyy")</f>
        <v>1899</v>
      </c>
      <c r="L218" s="1" t="str">
        <f aca="false">TEXT(bordro810[[#This Row],[Tarih]],"yyyy/aa")</f>
        <v>1899.aa</v>
      </c>
      <c r="M218" s="1" t="str">
        <f aca="false">TEXT(bordro810[[#This Row],[Tarih]],"gggg")</f>
        <v>ADMS</v>
      </c>
      <c r="N218" s="1" t="e">
        <f aca="false">VLOOKUP(B218,PersonelListesi!A$1:G$41,4,FALSE())</f>
        <v>#N/A</v>
      </c>
      <c r="O218" s="363"/>
    </row>
    <row r="219" customFormat="false" ht="15" hidden="false" customHeight="false" outlineLevel="0" collapsed="false">
      <c r="B219" s="364"/>
      <c r="C219" s="364"/>
      <c r="D219" s="361"/>
      <c r="E219" s="312" t="e">
        <f aca="false">VLOOKUP(B219,PersonelListesi!A$1:G$47,5,FALSE())</f>
        <v>#N/A</v>
      </c>
      <c r="F219" s="322" t="e">
        <f aca="false">bordro810[[#This Row],[Saat]]*bordro810[[#This Row],[S.Ücret]]</f>
        <v>#N/A</v>
      </c>
      <c r="G219" s="352" t="n">
        <v>0</v>
      </c>
      <c r="H219" s="352"/>
      <c r="I219" s="329" t="e">
        <f aca="false">bordro810[[#This Row],[Ödeme]]-bordro810[[#This Row],[M. Tutar]]</f>
        <v>#N/A</v>
      </c>
      <c r="J219" s="350" t="n">
        <f aca="false">SUMIF(bordro810[Personel],bordro810[[#This Row],[Personel]],F$3:F219)-SUMIF(bordro810[Personel],bordro810[[#This Row],[Personel]],G$3:G219)</f>
        <v>0</v>
      </c>
      <c r="K219" s="351" t="str">
        <f aca="false">TEXT(bordro810[[#This Row],[Tarih]],"yyyy")</f>
        <v>1899</v>
      </c>
      <c r="L219" s="1" t="str">
        <f aca="false">TEXT(bordro810[[#This Row],[Tarih]],"yyyy/aa")</f>
        <v>1899.aa</v>
      </c>
      <c r="M219" s="1" t="str">
        <f aca="false">TEXT(bordro810[[#This Row],[Tarih]],"gggg")</f>
        <v>ADMS</v>
      </c>
      <c r="N219" s="1" t="e">
        <f aca="false">VLOOKUP(B219,PersonelListesi!A$1:G$41,4,FALSE())</f>
        <v>#N/A</v>
      </c>
      <c r="O219" s="363"/>
    </row>
    <row r="220" customFormat="false" ht="15" hidden="false" customHeight="false" outlineLevel="0" collapsed="false">
      <c r="B220" s="364"/>
      <c r="C220" s="364"/>
      <c r="D220" s="361"/>
      <c r="E220" s="312" t="e">
        <f aca="false">VLOOKUP(B220,PersonelListesi!A$1:G$47,5,FALSE())</f>
        <v>#N/A</v>
      </c>
      <c r="F220" s="322" t="e">
        <f aca="false">bordro810[[#This Row],[Saat]]*bordro810[[#This Row],[S.Ücret]]</f>
        <v>#N/A</v>
      </c>
      <c r="G220" s="352" t="n">
        <v>0</v>
      </c>
      <c r="H220" s="352"/>
      <c r="I220" s="329" t="e">
        <f aca="false">bordro810[[#This Row],[Ödeme]]-bordro810[[#This Row],[M. Tutar]]</f>
        <v>#N/A</v>
      </c>
      <c r="J220" s="350" t="n">
        <f aca="false">SUMIF(bordro810[Personel],bordro810[[#This Row],[Personel]],F$3:F220)-SUMIF(bordro810[Personel],bordro810[[#This Row],[Personel]],G$3:G220)</f>
        <v>0</v>
      </c>
      <c r="K220" s="351" t="str">
        <f aca="false">TEXT(bordro810[[#This Row],[Tarih]],"yyyy")</f>
        <v>1899</v>
      </c>
      <c r="L220" s="1" t="str">
        <f aca="false">TEXT(bordro810[[#This Row],[Tarih]],"yyyy/aa")</f>
        <v>1899.aa</v>
      </c>
      <c r="M220" s="1" t="str">
        <f aca="false">TEXT(bordro810[[#This Row],[Tarih]],"gggg")</f>
        <v>ADMS</v>
      </c>
      <c r="N220" s="1" t="e">
        <f aca="false">VLOOKUP(B220,PersonelListesi!A$1:G$41,4,FALSE())</f>
        <v>#N/A</v>
      </c>
      <c r="O220" s="363"/>
    </row>
    <row r="221" customFormat="false" ht="15" hidden="false" customHeight="false" outlineLevel="0" collapsed="false">
      <c r="B221" s="364"/>
      <c r="C221" s="364"/>
      <c r="D221" s="361"/>
      <c r="E221" s="312" t="e">
        <f aca="false">VLOOKUP(B221,PersonelListesi!A$1:G$47,5,FALSE())</f>
        <v>#N/A</v>
      </c>
      <c r="F221" s="322" t="e">
        <f aca="false">bordro810[[#This Row],[Saat]]*bordro810[[#This Row],[S.Ücret]]</f>
        <v>#N/A</v>
      </c>
      <c r="G221" s="352" t="n">
        <v>0</v>
      </c>
      <c r="H221" s="352"/>
      <c r="I221" s="329" t="e">
        <f aca="false">bordro810[[#This Row],[Ödeme]]-bordro810[[#This Row],[M. Tutar]]</f>
        <v>#N/A</v>
      </c>
      <c r="J221" s="350" t="n">
        <f aca="false">SUMIF(bordro810[Personel],bordro810[[#This Row],[Personel]],F$3:F221)-SUMIF(bordro810[Personel],bordro810[[#This Row],[Personel]],G$3:G221)</f>
        <v>0</v>
      </c>
      <c r="K221" s="351" t="str">
        <f aca="false">TEXT(bordro810[[#This Row],[Tarih]],"yyyy")</f>
        <v>1899</v>
      </c>
      <c r="L221" s="1" t="str">
        <f aca="false">TEXT(bordro810[[#This Row],[Tarih]],"yyyy/aa")</f>
        <v>1899.aa</v>
      </c>
      <c r="M221" s="1" t="str">
        <f aca="false">TEXT(bordro810[[#This Row],[Tarih]],"gggg")</f>
        <v>ADMS</v>
      </c>
      <c r="N221" s="1" t="e">
        <f aca="false">VLOOKUP(B221,PersonelListesi!A$1:G$41,4,FALSE())</f>
        <v>#N/A</v>
      </c>
      <c r="O221" s="363"/>
    </row>
    <row r="222" customFormat="false" ht="15" hidden="false" customHeight="false" outlineLevel="0" collapsed="false">
      <c r="B222" s="364"/>
      <c r="C222" s="364"/>
      <c r="D222" s="361"/>
      <c r="E222" s="312" t="e">
        <f aca="false">VLOOKUP(B222,PersonelListesi!A$1:G$47,5,FALSE())</f>
        <v>#N/A</v>
      </c>
      <c r="F222" s="322" t="e">
        <f aca="false">bordro810[[#This Row],[Saat]]*bordro810[[#This Row],[S.Ücret]]</f>
        <v>#N/A</v>
      </c>
      <c r="G222" s="352" t="n">
        <v>0</v>
      </c>
      <c r="H222" s="352"/>
      <c r="I222" s="329" t="e">
        <f aca="false">bordro810[[#This Row],[Ödeme]]-bordro810[[#This Row],[M. Tutar]]</f>
        <v>#N/A</v>
      </c>
      <c r="J222" s="350" t="n">
        <f aca="false">SUMIF(bordro810[Personel],bordro810[[#This Row],[Personel]],F$3:F222)-SUMIF(bordro810[Personel],bordro810[[#This Row],[Personel]],G$3:G222)</f>
        <v>0</v>
      </c>
      <c r="K222" s="351" t="str">
        <f aca="false">TEXT(bordro810[[#This Row],[Tarih]],"yyyy")</f>
        <v>1899</v>
      </c>
      <c r="L222" s="1" t="str">
        <f aca="false">TEXT(bordro810[[#This Row],[Tarih]],"yyyy/aa")</f>
        <v>1899.aa</v>
      </c>
      <c r="M222" s="1" t="str">
        <f aca="false">TEXT(bordro810[[#This Row],[Tarih]],"gggg")</f>
        <v>ADMS</v>
      </c>
      <c r="N222" s="1" t="e">
        <f aca="false">VLOOKUP(B222,PersonelListesi!A$1:G$41,4,FALSE())</f>
        <v>#N/A</v>
      </c>
      <c r="O222" s="363"/>
    </row>
    <row r="223" customFormat="false" ht="15" hidden="false" customHeight="false" outlineLevel="0" collapsed="false">
      <c r="B223" s="364"/>
      <c r="C223" s="364"/>
      <c r="D223" s="361"/>
      <c r="E223" s="312" t="e">
        <f aca="false">VLOOKUP(B223,PersonelListesi!A$1:G$47,5,FALSE())</f>
        <v>#N/A</v>
      </c>
      <c r="F223" s="322" t="e">
        <f aca="false">bordro810[[#This Row],[Saat]]*bordro810[[#This Row],[S.Ücret]]</f>
        <v>#N/A</v>
      </c>
      <c r="G223" s="352" t="n">
        <v>0</v>
      </c>
      <c r="H223" s="352"/>
      <c r="I223" s="329" t="e">
        <f aca="false">bordro810[[#This Row],[Ödeme]]-bordro810[[#This Row],[M. Tutar]]</f>
        <v>#N/A</v>
      </c>
      <c r="J223" s="350" t="n">
        <f aca="false">SUMIF(bordro810[Personel],bordro810[[#This Row],[Personel]],F$3:F223)-SUMIF(bordro810[Personel],bordro810[[#This Row],[Personel]],G$3:G223)</f>
        <v>0</v>
      </c>
      <c r="K223" s="351" t="str">
        <f aca="false">TEXT(bordro810[[#This Row],[Tarih]],"yyyy")</f>
        <v>1899</v>
      </c>
      <c r="L223" s="1" t="str">
        <f aca="false">TEXT(bordro810[[#This Row],[Tarih]],"yyyy/aa")</f>
        <v>1899.aa</v>
      </c>
      <c r="M223" s="1" t="str">
        <f aca="false">TEXT(bordro810[[#This Row],[Tarih]],"gggg")</f>
        <v>ADMS</v>
      </c>
      <c r="N223" s="1" t="e">
        <f aca="false">VLOOKUP(B223,PersonelListesi!A$1:G$41,4,FALSE())</f>
        <v>#N/A</v>
      </c>
      <c r="O223" s="363"/>
    </row>
    <row r="224" customFormat="false" ht="15" hidden="false" customHeight="false" outlineLevel="0" collapsed="false">
      <c r="B224" s="364"/>
      <c r="C224" s="364"/>
      <c r="D224" s="361"/>
      <c r="E224" s="312" t="e">
        <f aca="false">VLOOKUP(B224,PersonelListesi!A$1:G$47,5,FALSE())</f>
        <v>#N/A</v>
      </c>
      <c r="F224" s="322" t="e">
        <f aca="false">bordro810[[#This Row],[Saat]]*bordro810[[#This Row],[S.Ücret]]</f>
        <v>#N/A</v>
      </c>
      <c r="G224" s="352" t="n">
        <v>0</v>
      </c>
      <c r="H224" s="352"/>
      <c r="I224" s="329" t="e">
        <f aca="false">bordro810[[#This Row],[Ödeme]]-bordro810[[#This Row],[M. Tutar]]</f>
        <v>#N/A</v>
      </c>
      <c r="J224" s="350" t="n">
        <f aca="false">SUMIF(bordro810[Personel],bordro810[[#This Row],[Personel]],F$3:F224)-SUMIF(bordro810[Personel],bordro810[[#This Row],[Personel]],G$3:G224)</f>
        <v>0</v>
      </c>
      <c r="K224" s="351" t="str">
        <f aca="false">TEXT(bordro810[[#This Row],[Tarih]],"yyyy")</f>
        <v>1899</v>
      </c>
      <c r="L224" s="1" t="str">
        <f aca="false">TEXT(bordro810[[#This Row],[Tarih]],"yyyy/aa")</f>
        <v>1899.aa</v>
      </c>
      <c r="M224" s="1" t="str">
        <f aca="false">TEXT(bordro810[[#This Row],[Tarih]],"gggg")</f>
        <v>ADMS</v>
      </c>
      <c r="N224" s="1" t="e">
        <f aca="false">VLOOKUP(B224,PersonelListesi!A$1:G$41,4,FALSE())</f>
        <v>#N/A</v>
      </c>
      <c r="O224" s="363"/>
    </row>
    <row r="225" customFormat="false" ht="15" hidden="false" customHeight="false" outlineLevel="0" collapsed="false">
      <c r="B225" s="364"/>
      <c r="C225" s="364"/>
      <c r="D225" s="361"/>
      <c r="E225" s="312" t="e">
        <f aca="false">VLOOKUP(B225,PersonelListesi!A$1:G$47,5,FALSE())</f>
        <v>#N/A</v>
      </c>
      <c r="F225" s="322" t="e">
        <f aca="false">bordro810[[#This Row],[Saat]]*bordro810[[#This Row],[S.Ücret]]</f>
        <v>#N/A</v>
      </c>
      <c r="G225" s="352" t="n">
        <v>0</v>
      </c>
      <c r="H225" s="352"/>
      <c r="I225" s="329" t="e">
        <f aca="false">bordro810[[#This Row],[Ödeme]]-bordro810[[#This Row],[M. Tutar]]</f>
        <v>#N/A</v>
      </c>
      <c r="J225" s="350" t="n">
        <f aca="false">SUMIF(bordro810[Personel],bordro810[[#This Row],[Personel]],F$3:F225)-SUMIF(bordro810[Personel],bordro810[[#This Row],[Personel]],G$3:G225)</f>
        <v>0</v>
      </c>
      <c r="K225" s="351" t="str">
        <f aca="false">TEXT(bordro810[[#This Row],[Tarih]],"yyyy")</f>
        <v>1899</v>
      </c>
      <c r="L225" s="1" t="str">
        <f aca="false">TEXT(bordro810[[#This Row],[Tarih]],"yyyy/aa")</f>
        <v>1899.aa</v>
      </c>
      <c r="M225" s="1" t="str">
        <f aca="false">TEXT(bordro810[[#This Row],[Tarih]],"gggg")</f>
        <v>ADMS</v>
      </c>
      <c r="N225" s="1" t="e">
        <f aca="false">VLOOKUP(B225,PersonelListesi!A$1:G$41,4,FALSE())</f>
        <v>#N/A</v>
      </c>
      <c r="O225" s="363"/>
    </row>
    <row r="226" customFormat="false" ht="15" hidden="false" customHeight="false" outlineLevel="0" collapsed="false">
      <c r="B226" s="364"/>
      <c r="C226" s="364"/>
      <c r="D226" s="361"/>
      <c r="E226" s="312" t="e">
        <f aca="false">VLOOKUP(B226,PersonelListesi!A$1:G$47,5,FALSE())</f>
        <v>#N/A</v>
      </c>
      <c r="F226" s="322" t="e">
        <f aca="false">bordro810[[#This Row],[Saat]]*bordro810[[#This Row],[S.Ücret]]</f>
        <v>#N/A</v>
      </c>
      <c r="G226" s="352" t="n">
        <v>0</v>
      </c>
      <c r="H226" s="352"/>
      <c r="I226" s="329" t="e">
        <f aca="false">bordro810[[#This Row],[Ödeme]]-bordro810[[#This Row],[M. Tutar]]</f>
        <v>#N/A</v>
      </c>
      <c r="J226" s="350" t="n">
        <f aca="false">SUMIF(bordro810[Personel],bordro810[[#This Row],[Personel]],F$3:F226)-SUMIF(bordro810[Personel],bordro810[[#This Row],[Personel]],G$3:G226)</f>
        <v>0</v>
      </c>
      <c r="K226" s="351" t="str">
        <f aca="false">TEXT(bordro810[[#This Row],[Tarih]],"yyyy")</f>
        <v>1899</v>
      </c>
      <c r="L226" s="1" t="str">
        <f aca="false">TEXT(bordro810[[#This Row],[Tarih]],"yyyy/aa")</f>
        <v>1899.aa</v>
      </c>
      <c r="M226" s="1" t="str">
        <f aca="false">TEXT(bordro810[[#This Row],[Tarih]],"gggg")</f>
        <v>ADMS</v>
      </c>
      <c r="N226" s="1" t="e">
        <f aca="false">VLOOKUP(B226,PersonelListesi!A$1:G$41,4,FALSE())</f>
        <v>#N/A</v>
      </c>
      <c r="O226" s="363"/>
    </row>
    <row r="227" customFormat="false" ht="15" hidden="false" customHeight="false" outlineLevel="0" collapsed="false">
      <c r="B227" s="364"/>
      <c r="C227" s="364"/>
      <c r="D227" s="361"/>
      <c r="E227" s="312" t="e">
        <f aca="false">VLOOKUP(B227,PersonelListesi!A$1:G$47,5,FALSE())</f>
        <v>#N/A</v>
      </c>
      <c r="F227" s="322" t="e">
        <f aca="false">bordro810[[#This Row],[Saat]]*bordro810[[#This Row],[S.Ücret]]</f>
        <v>#N/A</v>
      </c>
      <c r="G227" s="352" t="n">
        <v>0</v>
      </c>
      <c r="H227" s="352"/>
      <c r="I227" s="329" t="e">
        <f aca="false">bordro810[[#This Row],[Ödeme]]-bordro810[[#This Row],[M. Tutar]]</f>
        <v>#N/A</v>
      </c>
      <c r="J227" s="350" t="n">
        <f aca="false">SUMIF(bordro810[Personel],bordro810[[#This Row],[Personel]],F$3:F227)-SUMIF(bordro810[Personel],bordro810[[#This Row],[Personel]],G$3:G227)</f>
        <v>0</v>
      </c>
      <c r="K227" s="351" t="str">
        <f aca="false">TEXT(bordro810[[#This Row],[Tarih]],"yyyy")</f>
        <v>1899</v>
      </c>
      <c r="L227" s="1" t="str">
        <f aca="false">TEXT(bordro810[[#This Row],[Tarih]],"yyyy/aa")</f>
        <v>1899.aa</v>
      </c>
      <c r="M227" s="1" t="str">
        <f aca="false">TEXT(bordro810[[#This Row],[Tarih]],"gggg")</f>
        <v>ADMS</v>
      </c>
      <c r="N227" s="1" t="e">
        <f aca="false">VLOOKUP(B227,PersonelListesi!A$1:G$41,4,FALSE())</f>
        <v>#N/A</v>
      </c>
      <c r="O227" s="363"/>
    </row>
    <row r="228" customFormat="false" ht="15" hidden="false" customHeight="false" outlineLevel="0" collapsed="false">
      <c r="B228" s="364"/>
      <c r="C228" s="364"/>
      <c r="D228" s="361"/>
      <c r="E228" s="312" t="e">
        <f aca="false">VLOOKUP(B228,PersonelListesi!A$1:G$47,5,FALSE())</f>
        <v>#N/A</v>
      </c>
      <c r="F228" s="322" t="e">
        <f aca="false">bordro810[[#This Row],[Saat]]*bordro810[[#This Row],[S.Ücret]]</f>
        <v>#N/A</v>
      </c>
      <c r="G228" s="352" t="n">
        <v>0</v>
      </c>
      <c r="H228" s="352"/>
      <c r="I228" s="329" t="e">
        <f aca="false">bordro810[[#This Row],[Ödeme]]-bordro810[[#This Row],[M. Tutar]]</f>
        <v>#N/A</v>
      </c>
      <c r="J228" s="350" t="n">
        <f aca="false">SUMIF(bordro810[Personel],bordro810[[#This Row],[Personel]],F$3:F228)-SUMIF(bordro810[Personel],bordro810[[#This Row],[Personel]],G$3:G228)</f>
        <v>0</v>
      </c>
      <c r="K228" s="351" t="str">
        <f aca="false">TEXT(bordro810[[#This Row],[Tarih]],"yyyy")</f>
        <v>1899</v>
      </c>
      <c r="L228" s="1" t="str">
        <f aca="false">TEXT(bordro810[[#This Row],[Tarih]],"yyyy/aa")</f>
        <v>1899.aa</v>
      </c>
      <c r="M228" s="1" t="str">
        <f aca="false">TEXT(bordro810[[#This Row],[Tarih]],"gggg")</f>
        <v>ADMS</v>
      </c>
      <c r="N228" s="1" t="e">
        <f aca="false">VLOOKUP(B228,PersonelListesi!A$1:G$41,4,FALSE())</f>
        <v>#N/A</v>
      </c>
      <c r="O228" s="363"/>
    </row>
    <row r="229" customFormat="false" ht="15" hidden="false" customHeight="false" outlineLevel="0" collapsed="false">
      <c r="B229" s="364"/>
      <c r="C229" s="364"/>
      <c r="D229" s="361"/>
      <c r="E229" s="312" t="e">
        <f aca="false">VLOOKUP(B229,PersonelListesi!A$1:G$47,5,FALSE())</f>
        <v>#N/A</v>
      </c>
      <c r="F229" s="322" t="e">
        <f aca="false">bordro810[[#This Row],[Saat]]*bordro810[[#This Row],[S.Ücret]]</f>
        <v>#N/A</v>
      </c>
      <c r="G229" s="352" t="n">
        <v>0</v>
      </c>
      <c r="H229" s="352"/>
      <c r="I229" s="329" t="e">
        <f aca="false">bordro810[[#This Row],[Ödeme]]-bordro810[[#This Row],[M. Tutar]]</f>
        <v>#N/A</v>
      </c>
      <c r="J229" s="350" t="n">
        <f aca="false">SUMIF(bordro810[Personel],bordro810[[#This Row],[Personel]],F$3:F229)-SUMIF(bordro810[Personel],bordro810[[#This Row],[Personel]],G$3:G229)</f>
        <v>0</v>
      </c>
      <c r="K229" s="351" t="str">
        <f aca="false">TEXT(bordro810[[#This Row],[Tarih]],"yyyy")</f>
        <v>1899</v>
      </c>
      <c r="L229" s="1" t="str">
        <f aca="false">TEXT(bordro810[[#This Row],[Tarih]],"yyyy/aa")</f>
        <v>1899.aa</v>
      </c>
      <c r="M229" s="1" t="str">
        <f aca="false">TEXT(bordro810[[#This Row],[Tarih]],"gggg")</f>
        <v>ADMS</v>
      </c>
      <c r="N229" s="1" t="e">
        <f aca="false">VLOOKUP(B229,PersonelListesi!A$1:G$41,4,FALSE())</f>
        <v>#N/A</v>
      </c>
      <c r="O229" s="363"/>
    </row>
    <row r="230" customFormat="false" ht="15" hidden="false" customHeight="false" outlineLevel="0" collapsed="false">
      <c r="B230" s="364"/>
      <c r="C230" s="364"/>
      <c r="D230" s="361"/>
      <c r="E230" s="312" t="e">
        <f aca="false">VLOOKUP(B230,PersonelListesi!A$1:G$47,5,FALSE())</f>
        <v>#N/A</v>
      </c>
      <c r="F230" s="322" t="e">
        <f aca="false">bordro810[[#This Row],[Saat]]*bordro810[[#This Row],[S.Ücret]]</f>
        <v>#N/A</v>
      </c>
      <c r="G230" s="352" t="n">
        <v>0</v>
      </c>
      <c r="H230" s="352"/>
      <c r="I230" s="329" t="e">
        <f aca="false">bordro810[[#This Row],[Ödeme]]-bordro810[[#This Row],[M. Tutar]]</f>
        <v>#N/A</v>
      </c>
      <c r="J230" s="350" t="n">
        <f aca="false">SUMIF(bordro810[Personel],bordro810[[#This Row],[Personel]],F$3:F230)-SUMIF(bordro810[Personel],bordro810[[#This Row],[Personel]],G$3:G230)</f>
        <v>0</v>
      </c>
      <c r="K230" s="351" t="str">
        <f aca="false">TEXT(bordro810[[#This Row],[Tarih]],"yyyy")</f>
        <v>1899</v>
      </c>
      <c r="L230" s="1" t="str">
        <f aca="false">TEXT(bordro810[[#This Row],[Tarih]],"yyyy/aa")</f>
        <v>1899.aa</v>
      </c>
      <c r="M230" s="1" t="str">
        <f aca="false">TEXT(bordro810[[#This Row],[Tarih]],"gggg")</f>
        <v>ADMS</v>
      </c>
      <c r="N230" s="1" t="e">
        <f aca="false">VLOOKUP(B230,PersonelListesi!A$1:G$41,4,FALSE())</f>
        <v>#N/A</v>
      </c>
      <c r="O230" s="363"/>
    </row>
    <row r="231" customFormat="false" ht="15" hidden="false" customHeight="false" outlineLevel="0" collapsed="false">
      <c r="B231" s="364"/>
      <c r="C231" s="364"/>
      <c r="D231" s="361"/>
      <c r="E231" s="312" t="e">
        <f aca="false">VLOOKUP(B231,PersonelListesi!A$1:G$47,5,FALSE())</f>
        <v>#N/A</v>
      </c>
      <c r="F231" s="322" t="e">
        <f aca="false">bordro810[[#This Row],[Saat]]*bordro810[[#This Row],[S.Ücret]]</f>
        <v>#N/A</v>
      </c>
      <c r="G231" s="352" t="n">
        <v>0</v>
      </c>
      <c r="H231" s="352"/>
      <c r="I231" s="329" t="e">
        <f aca="false">bordro810[[#This Row],[Ödeme]]-bordro810[[#This Row],[M. Tutar]]</f>
        <v>#N/A</v>
      </c>
      <c r="J231" s="350" t="n">
        <f aca="false">SUMIF(bordro810[Personel],bordro810[[#This Row],[Personel]],F$3:F231)-SUMIF(bordro810[Personel],bordro810[[#This Row],[Personel]],G$3:G231)</f>
        <v>0</v>
      </c>
      <c r="K231" s="351" t="str">
        <f aca="false">TEXT(bordro810[[#This Row],[Tarih]],"yyyy")</f>
        <v>1899</v>
      </c>
      <c r="L231" s="1" t="str">
        <f aca="false">TEXT(bordro810[[#This Row],[Tarih]],"yyyy/aa")</f>
        <v>1899.aa</v>
      </c>
      <c r="M231" s="1" t="str">
        <f aca="false">TEXT(bordro810[[#This Row],[Tarih]],"gggg")</f>
        <v>ADMS</v>
      </c>
      <c r="N231" s="1" t="e">
        <f aca="false">VLOOKUP(B231,PersonelListesi!A$1:G$41,4,FALSE())</f>
        <v>#N/A</v>
      </c>
      <c r="O231" s="363"/>
    </row>
    <row r="232" customFormat="false" ht="15" hidden="false" customHeight="false" outlineLevel="0" collapsed="false">
      <c r="B232" s="364"/>
      <c r="C232" s="364"/>
      <c r="D232" s="361"/>
      <c r="E232" s="312" t="e">
        <f aca="false">VLOOKUP(B232,PersonelListesi!A$1:G$47,5,FALSE())</f>
        <v>#N/A</v>
      </c>
      <c r="F232" s="322" t="e">
        <f aca="false">bordro810[[#This Row],[Saat]]*bordro810[[#This Row],[S.Ücret]]</f>
        <v>#N/A</v>
      </c>
      <c r="G232" s="352" t="n">
        <v>0</v>
      </c>
      <c r="H232" s="352"/>
      <c r="I232" s="329" t="e">
        <f aca="false">bordro810[[#This Row],[Ödeme]]-bordro810[[#This Row],[M. Tutar]]</f>
        <v>#N/A</v>
      </c>
      <c r="J232" s="350" t="n">
        <f aca="false">SUMIF(bordro810[Personel],bordro810[[#This Row],[Personel]],F$3:F232)-SUMIF(bordro810[Personel],bordro810[[#This Row],[Personel]],G$3:G232)</f>
        <v>0</v>
      </c>
      <c r="K232" s="351" t="str">
        <f aca="false">TEXT(bordro810[[#This Row],[Tarih]],"yyyy")</f>
        <v>1899</v>
      </c>
      <c r="L232" s="1" t="str">
        <f aca="false">TEXT(bordro810[[#This Row],[Tarih]],"yyyy/aa")</f>
        <v>1899.aa</v>
      </c>
      <c r="M232" s="1" t="str">
        <f aca="false">TEXT(bordro810[[#This Row],[Tarih]],"gggg")</f>
        <v>ADMS</v>
      </c>
      <c r="N232" s="1" t="e">
        <f aca="false">VLOOKUP(B232,PersonelListesi!A$1:G$41,4,FALSE())</f>
        <v>#N/A</v>
      </c>
      <c r="O232" s="363"/>
    </row>
    <row r="233" customFormat="false" ht="15" hidden="false" customHeight="false" outlineLevel="0" collapsed="false">
      <c r="B233" s="364"/>
      <c r="C233" s="364"/>
      <c r="D233" s="361"/>
      <c r="E233" s="312" t="e">
        <f aca="false">VLOOKUP(B233,PersonelListesi!A$1:G$47,5,FALSE())</f>
        <v>#N/A</v>
      </c>
      <c r="F233" s="322" t="e">
        <f aca="false">bordro810[[#This Row],[Saat]]*bordro810[[#This Row],[S.Ücret]]</f>
        <v>#N/A</v>
      </c>
      <c r="G233" s="352" t="n">
        <v>0</v>
      </c>
      <c r="H233" s="352"/>
      <c r="I233" s="329" t="e">
        <f aca="false">bordro810[[#This Row],[Ödeme]]-bordro810[[#This Row],[M. Tutar]]</f>
        <v>#N/A</v>
      </c>
      <c r="J233" s="350" t="n">
        <f aca="false">SUMIF(bordro810[Personel],bordro810[[#This Row],[Personel]],F$3:F233)-SUMIF(bordro810[Personel],bordro810[[#This Row],[Personel]],G$3:G233)</f>
        <v>0</v>
      </c>
      <c r="K233" s="351" t="str">
        <f aca="false">TEXT(bordro810[[#This Row],[Tarih]],"yyyy")</f>
        <v>1899</v>
      </c>
      <c r="L233" s="1" t="str">
        <f aca="false">TEXT(bordro810[[#This Row],[Tarih]],"yyyy/aa")</f>
        <v>1899.aa</v>
      </c>
      <c r="M233" s="1" t="str">
        <f aca="false">TEXT(bordro810[[#This Row],[Tarih]],"gggg")</f>
        <v>ADMS</v>
      </c>
      <c r="N233" s="1" t="e">
        <f aca="false">VLOOKUP(B233,PersonelListesi!A$1:G$41,4,FALSE())</f>
        <v>#N/A</v>
      </c>
      <c r="O233" s="363"/>
    </row>
    <row r="234" customFormat="false" ht="15" hidden="false" customHeight="false" outlineLevel="0" collapsed="false">
      <c r="B234" s="364"/>
      <c r="C234" s="364"/>
      <c r="D234" s="361"/>
      <c r="E234" s="312" t="e">
        <f aca="false">VLOOKUP(B234,PersonelListesi!A$1:G$47,5,FALSE())</f>
        <v>#N/A</v>
      </c>
      <c r="F234" s="322" t="e">
        <f aca="false">bordro810[[#This Row],[Saat]]*bordro810[[#This Row],[S.Ücret]]</f>
        <v>#N/A</v>
      </c>
      <c r="G234" s="352" t="n">
        <v>0</v>
      </c>
      <c r="H234" s="352"/>
      <c r="I234" s="329" t="e">
        <f aca="false">bordro810[[#This Row],[Ödeme]]-bordro810[[#This Row],[M. Tutar]]</f>
        <v>#N/A</v>
      </c>
      <c r="J234" s="350" t="n">
        <f aca="false">SUMIF(bordro810[Personel],bordro810[[#This Row],[Personel]],F$3:F234)-SUMIF(bordro810[Personel],bordro810[[#This Row],[Personel]],G$3:G234)</f>
        <v>0</v>
      </c>
      <c r="K234" s="351" t="str">
        <f aca="false">TEXT(bordro810[[#This Row],[Tarih]],"yyyy")</f>
        <v>1899</v>
      </c>
      <c r="L234" s="1" t="str">
        <f aca="false">TEXT(bordro810[[#This Row],[Tarih]],"yyyy/aa")</f>
        <v>1899.aa</v>
      </c>
      <c r="M234" s="1" t="str">
        <f aca="false">TEXT(bordro810[[#This Row],[Tarih]],"gggg")</f>
        <v>ADMS</v>
      </c>
      <c r="N234" s="1" t="e">
        <f aca="false">VLOOKUP(B234,PersonelListesi!A$1:G$41,4,FALSE())</f>
        <v>#N/A</v>
      </c>
      <c r="O234" s="363"/>
    </row>
    <row r="235" customFormat="false" ht="15" hidden="false" customHeight="false" outlineLevel="0" collapsed="false">
      <c r="B235" s="364"/>
      <c r="C235" s="364"/>
      <c r="D235" s="361"/>
      <c r="E235" s="312" t="e">
        <f aca="false">VLOOKUP(B235,PersonelListesi!A$1:G$47,5,FALSE())</f>
        <v>#N/A</v>
      </c>
      <c r="F235" s="322" t="e">
        <f aca="false">bordro810[[#This Row],[Saat]]*bordro810[[#This Row],[S.Ücret]]</f>
        <v>#N/A</v>
      </c>
      <c r="G235" s="352" t="n">
        <v>0</v>
      </c>
      <c r="H235" s="352"/>
      <c r="I235" s="329" t="e">
        <f aca="false">bordro810[[#This Row],[Ödeme]]-bordro810[[#This Row],[M. Tutar]]</f>
        <v>#N/A</v>
      </c>
      <c r="J235" s="350" t="n">
        <f aca="false">SUMIF(bordro810[Personel],bordro810[[#This Row],[Personel]],F$3:F235)-SUMIF(bordro810[Personel],bordro810[[#This Row],[Personel]],G$3:G235)</f>
        <v>0</v>
      </c>
      <c r="K235" s="351" t="str">
        <f aca="false">TEXT(bordro810[[#This Row],[Tarih]],"yyyy")</f>
        <v>1899</v>
      </c>
      <c r="L235" s="1" t="str">
        <f aca="false">TEXT(bordro810[[#This Row],[Tarih]],"yyyy/aa")</f>
        <v>1899.aa</v>
      </c>
      <c r="M235" s="1" t="str">
        <f aca="false">TEXT(bordro810[[#This Row],[Tarih]],"gggg")</f>
        <v>ADMS</v>
      </c>
      <c r="N235" s="1" t="e">
        <f aca="false">VLOOKUP(B235,PersonelListesi!A$1:G$41,4,FALSE())</f>
        <v>#N/A</v>
      </c>
      <c r="O235" s="363"/>
    </row>
    <row r="236" customFormat="false" ht="15" hidden="false" customHeight="false" outlineLevel="0" collapsed="false">
      <c r="B236" s="364"/>
      <c r="C236" s="364"/>
      <c r="D236" s="361"/>
      <c r="E236" s="312" t="e">
        <f aca="false">VLOOKUP(B236,PersonelListesi!A$1:G$47,5,FALSE())</f>
        <v>#N/A</v>
      </c>
      <c r="F236" s="322" t="e">
        <f aca="false">bordro810[[#This Row],[Saat]]*bordro810[[#This Row],[S.Ücret]]</f>
        <v>#N/A</v>
      </c>
      <c r="G236" s="352" t="n">
        <v>0</v>
      </c>
      <c r="H236" s="352"/>
      <c r="I236" s="329" t="e">
        <f aca="false">bordro810[[#This Row],[Ödeme]]-bordro810[[#This Row],[M. Tutar]]</f>
        <v>#N/A</v>
      </c>
      <c r="J236" s="350" t="n">
        <f aca="false">SUMIF(bordro810[Personel],bordro810[[#This Row],[Personel]],F$3:F236)-SUMIF(bordro810[Personel],bordro810[[#This Row],[Personel]],G$3:G236)</f>
        <v>0</v>
      </c>
      <c r="K236" s="351" t="str">
        <f aca="false">TEXT(bordro810[[#This Row],[Tarih]],"yyyy")</f>
        <v>1899</v>
      </c>
      <c r="L236" s="1" t="str">
        <f aca="false">TEXT(bordro810[[#This Row],[Tarih]],"yyyy/aa")</f>
        <v>1899.aa</v>
      </c>
      <c r="M236" s="1" t="str">
        <f aca="false">TEXT(bordro810[[#This Row],[Tarih]],"gggg")</f>
        <v>ADMS</v>
      </c>
      <c r="N236" s="1" t="e">
        <f aca="false">VLOOKUP(B236,PersonelListesi!A$1:G$41,4,FALSE())</f>
        <v>#N/A</v>
      </c>
      <c r="O236" s="363"/>
    </row>
    <row r="237" customFormat="false" ht="15" hidden="false" customHeight="false" outlineLevel="0" collapsed="false">
      <c r="B237" s="364"/>
      <c r="C237" s="364"/>
      <c r="D237" s="361"/>
      <c r="E237" s="312" t="e">
        <f aca="false">VLOOKUP(B237,PersonelListesi!A$1:G$47,5,FALSE())</f>
        <v>#N/A</v>
      </c>
      <c r="F237" s="322" t="e">
        <f aca="false">bordro810[[#This Row],[Saat]]*bordro810[[#This Row],[S.Ücret]]</f>
        <v>#N/A</v>
      </c>
      <c r="G237" s="352" t="n">
        <v>0</v>
      </c>
      <c r="H237" s="352"/>
      <c r="I237" s="329" t="e">
        <f aca="false">bordro810[[#This Row],[Ödeme]]-bordro810[[#This Row],[M. Tutar]]</f>
        <v>#N/A</v>
      </c>
      <c r="J237" s="350" t="n">
        <f aca="false">SUMIF(bordro810[Personel],bordro810[[#This Row],[Personel]],F$3:F237)-SUMIF(bordro810[Personel],bordro810[[#This Row],[Personel]],G$3:G237)</f>
        <v>0</v>
      </c>
      <c r="K237" s="351" t="str">
        <f aca="false">TEXT(bordro810[[#This Row],[Tarih]],"yyyy")</f>
        <v>1899</v>
      </c>
      <c r="L237" s="1" t="str">
        <f aca="false">TEXT(bordro810[[#This Row],[Tarih]],"yyyy/aa")</f>
        <v>1899.aa</v>
      </c>
      <c r="M237" s="1" t="str">
        <f aca="false">TEXT(bordro810[[#This Row],[Tarih]],"gggg")</f>
        <v>ADMS</v>
      </c>
      <c r="N237" s="1" t="e">
        <f aca="false">VLOOKUP(B237,PersonelListesi!A$1:G$41,4,FALSE())</f>
        <v>#N/A</v>
      </c>
      <c r="O237" s="363"/>
    </row>
    <row r="238" customFormat="false" ht="15" hidden="false" customHeight="false" outlineLevel="0" collapsed="false">
      <c r="B238" s="364"/>
      <c r="C238" s="364"/>
      <c r="D238" s="361"/>
      <c r="E238" s="312" t="e">
        <f aca="false">VLOOKUP(B238,PersonelListesi!A$1:G$47,5,FALSE())</f>
        <v>#N/A</v>
      </c>
      <c r="F238" s="322" t="e">
        <f aca="false">bordro810[[#This Row],[Saat]]*bordro810[[#This Row],[S.Ücret]]</f>
        <v>#N/A</v>
      </c>
      <c r="G238" s="352" t="n">
        <v>0</v>
      </c>
      <c r="H238" s="352"/>
      <c r="I238" s="329" t="e">
        <f aca="false">bordro810[[#This Row],[Ödeme]]-bordro810[[#This Row],[M. Tutar]]</f>
        <v>#N/A</v>
      </c>
      <c r="J238" s="350" t="n">
        <f aca="false">SUMIF(bordro810[Personel],bordro810[[#This Row],[Personel]],F$3:F238)-SUMIF(bordro810[Personel],bordro810[[#This Row],[Personel]],G$3:G238)</f>
        <v>0</v>
      </c>
      <c r="K238" s="351" t="str">
        <f aca="false">TEXT(bordro810[[#This Row],[Tarih]],"yyyy")</f>
        <v>1899</v>
      </c>
      <c r="L238" s="1" t="str">
        <f aca="false">TEXT(bordro810[[#This Row],[Tarih]],"yyyy/aa")</f>
        <v>1899.aa</v>
      </c>
      <c r="M238" s="1" t="str">
        <f aca="false">TEXT(bordro810[[#This Row],[Tarih]],"gggg")</f>
        <v>ADMS</v>
      </c>
      <c r="N238" s="1" t="e">
        <f aca="false">VLOOKUP(B238,PersonelListesi!A$1:G$41,4,FALSE())</f>
        <v>#N/A</v>
      </c>
      <c r="O238" s="363"/>
    </row>
    <row r="239" customFormat="false" ht="15" hidden="false" customHeight="false" outlineLevel="0" collapsed="false">
      <c r="B239" s="364"/>
      <c r="C239" s="364"/>
      <c r="D239" s="361"/>
      <c r="E239" s="312" t="e">
        <f aca="false">VLOOKUP(B239,PersonelListesi!A$1:G$47,5,FALSE())</f>
        <v>#N/A</v>
      </c>
      <c r="F239" s="322" t="e">
        <f aca="false">bordro810[[#This Row],[Saat]]*bordro810[[#This Row],[S.Ücret]]</f>
        <v>#N/A</v>
      </c>
      <c r="G239" s="352" t="n">
        <v>0</v>
      </c>
      <c r="H239" s="352"/>
      <c r="I239" s="329" t="e">
        <f aca="false">bordro810[[#This Row],[Ödeme]]-bordro810[[#This Row],[M. Tutar]]</f>
        <v>#N/A</v>
      </c>
      <c r="J239" s="350" t="n">
        <f aca="false">SUMIF(bordro810[Personel],bordro810[[#This Row],[Personel]],F$3:F239)-SUMIF(bordro810[Personel],bordro810[[#This Row],[Personel]],G$3:G239)</f>
        <v>0</v>
      </c>
      <c r="K239" s="351" t="str">
        <f aca="false">TEXT(bordro810[[#This Row],[Tarih]],"yyyy")</f>
        <v>1899</v>
      </c>
      <c r="L239" s="1" t="str">
        <f aca="false">TEXT(bordro810[[#This Row],[Tarih]],"yyyy/aa")</f>
        <v>1899.aa</v>
      </c>
      <c r="M239" s="1" t="str">
        <f aca="false">TEXT(bordro810[[#This Row],[Tarih]],"gggg")</f>
        <v>ADMS</v>
      </c>
      <c r="N239" s="1" t="e">
        <f aca="false">VLOOKUP(B239,PersonelListesi!A$1:G$41,4,FALSE())</f>
        <v>#N/A</v>
      </c>
      <c r="O239" s="363"/>
    </row>
    <row r="240" customFormat="false" ht="15" hidden="false" customHeight="false" outlineLevel="0" collapsed="false">
      <c r="B240" s="364"/>
      <c r="C240" s="364"/>
      <c r="D240" s="361"/>
      <c r="E240" s="312" t="e">
        <f aca="false">VLOOKUP(B240,PersonelListesi!A$1:G$47,5,FALSE())</f>
        <v>#N/A</v>
      </c>
      <c r="F240" s="322" t="e">
        <f aca="false">bordro810[[#This Row],[Saat]]*bordro810[[#This Row],[S.Ücret]]</f>
        <v>#N/A</v>
      </c>
      <c r="G240" s="352" t="n">
        <v>0</v>
      </c>
      <c r="H240" s="352"/>
      <c r="I240" s="329" t="e">
        <f aca="false">bordro810[[#This Row],[Ödeme]]-bordro810[[#This Row],[M. Tutar]]</f>
        <v>#N/A</v>
      </c>
      <c r="J240" s="350" t="n">
        <f aca="false">SUMIF(bordro810[Personel],bordro810[[#This Row],[Personel]],F$3:F240)-SUMIF(bordro810[Personel],bordro810[[#This Row],[Personel]],G$3:G240)</f>
        <v>0</v>
      </c>
      <c r="K240" s="351" t="str">
        <f aca="false">TEXT(bordro810[[#This Row],[Tarih]],"yyyy")</f>
        <v>1899</v>
      </c>
      <c r="L240" s="1" t="str">
        <f aca="false">TEXT(bordro810[[#This Row],[Tarih]],"yyyy/aa")</f>
        <v>1899.aa</v>
      </c>
      <c r="M240" s="1" t="str">
        <f aca="false">TEXT(bordro810[[#This Row],[Tarih]],"gggg")</f>
        <v>ADMS</v>
      </c>
      <c r="N240" s="1" t="e">
        <f aca="false">VLOOKUP(B240,PersonelListesi!A$1:G$41,4,FALSE())</f>
        <v>#N/A</v>
      </c>
      <c r="O240" s="363"/>
    </row>
    <row r="241" customFormat="false" ht="15" hidden="false" customHeight="false" outlineLevel="0" collapsed="false">
      <c r="B241" s="364"/>
      <c r="C241" s="364"/>
      <c r="D241" s="361"/>
      <c r="E241" s="312" t="e">
        <f aca="false">VLOOKUP(B241,PersonelListesi!A$1:G$47,5,FALSE())</f>
        <v>#N/A</v>
      </c>
      <c r="F241" s="322" t="e">
        <f aca="false">bordro810[[#This Row],[Saat]]*bordro810[[#This Row],[S.Ücret]]</f>
        <v>#N/A</v>
      </c>
      <c r="G241" s="352" t="n">
        <v>0</v>
      </c>
      <c r="H241" s="352"/>
      <c r="I241" s="329" t="e">
        <f aca="false">bordro810[[#This Row],[Ödeme]]-bordro810[[#This Row],[M. Tutar]]</f>
        <v>#N/A</v>
      </c>
      <c r="J241" s="350" t="n">
        <f aca="false">SUMIF(bordro810[Personel],bordro810[[#This Row],[Personel]],F$3:F241)-SUMIF(bordro810[Personel],bordro810[[#This Row],[Personel]],G$3:G241)</f>
        <v>0</v>
      </c>
      <c r="K241" s="351" t="str">
        <f aca="false">TEXT(bordro810[[#This Row],[Tarih]],"yyyy")</f>
        <v>1899</v>
      </c>
      <c r="L241" s="1" t="str">
        <f aca="false">TEXT(bordro810[[#This Row],[Tarih]],"yyyy/aa")</f>
        <v>1899.aa</v>
      </c>
      <c r="M241" s="1" t="str">
        <f aca="false">TEXT(bordro810[[#This Row],[Tarih]],"gggg")</f>
        <v>ADMS</v>
      </c>
      <c r="N241" s="1" t="e">
        <f aca="false">VLOOKUP(B241,PersonelListesi!A$1:G$41,4,FALSE())</f>
        <v>#N/A</v>
      </c>
      <c r="O241" s="363"/>
    </row>
    <row r="242" customFormat="false" ht="15" hidden="false" customHeight="false" outlineLevel="0" collapsed="false">
      <c r="B242" s="364"/>
      <c r="C242" s="364"/>
      <c r="D242" s="361"/>
      <c r="E242" s="312" t="e">
        <f aca="false">VLOOKUP(B242,PersonelListesi!A$1:G$47,5,FALSE())</f>
        <v>#N/A</v>
      </c>
      <c r="F242" s="322" t="e">
        <f aca="false">bordro810[[#This Row],[Saat]]*bordro810[[#This Row],[S.Ücret]]</f>
        <v>#N/A</v>
      </c>
      <c r="G242" s="352" t="n">
        <v>0</v>
      </c>
      <c r="H242" s="352"/>
      <c r="I242" s="329" t="e">
        <f aca="false">bordro810[[#This Row],[Ödeme]]-bordro810[[#This Row],[M. Tutar]]</f>
        <v>#N/A</v>
      </c>
      <c r="J242" s="350" t="n">
        <f aca="false">SUMIF(bordro810[Personel],bordro810[[#This Row],[Personel]],F$3:F242)-SUMIF(bordro810[Personel],bordro810[[#This Row],[Personel]],G$3:G242)</f>
        <v>0</v>
      </c>
      <c r="K242" s="351" t="str">
        <f aca="false">TEXT(bordro810[[#This Row],[Tarih]],"yyyy")</f>
        <v>1899</v>
      </c>
      <c r="L242" s="1" t="str">
        <f aca="false">TEXT(bordro810[[#This Row],[Tarih]],"yyyy/aa")</f>
        <v>1899.aa</v>
      </c>
      <c r="M242" s="1" t="str">
        <f aca="false">TEXT(bordro810[[#This Row],[Tarih]],"gggg")</f>
        <v>ADMS</v>
      </c>
      <c r="N242" s="1" t="e">
        <f aca="false">VLOOKUP(B242,PersonelListesi!A$1:G$41,4,FALSE())</f>
        <v>#N/A</v>
      </c>
      <c r="O242" s="363"/>
    </row>
    <row r="243" customFormat="false" ht="15" hidden="false" customHeight="false" outlineLevel="0" collapsed="false">
      <c r="B243" s="364"/>
      <c r="C243" s="364"/>
      <c r="D243" s="361"/>
      <c r="E243" s="312" t="e">
        <f aca="false">VLOOKUP(B243,PersonelListesi!A$1:G$47,5,FALSE())</f>
        <v>#N/A</v>
      </c>
      <c r="F243" s="322" t="e">
        <f aca="false">bordro810[[#This Row],[Saat]]*bordro810[[#This Row],[S.Ücret]]</f>
        <v>#N/A</v>
      </c>
      <c r="G243" s="352" t="n">
        <v>0</v>
      </c>
      <c r="H243" s="352"/>
      <c r="I243" s="329" t="e">
        <f aca="false">bordro810[[#This Row],[Ödeme]]-bordro810[[#This Row],[M. Tutar]]</f>
        <v>#N/A</v>
      </c>
      <c r="J243" s="350" t="n">
        <f aca="false">SUMIF(bordro810[Personel],bordro810[[#This Row],[Personel]],F$3:F243)-SUMIF(bordro810[Personel],bordro810[[#This Row],[Personel]],G$3:G243)</f>
        <v>0</v>
      </c>
      <c r="K243" s="351" t="str">
        <f aca="false">TEXT(bordro810[[#This Row],[Tarih]],"yyyy")</f>
        <v>1899</v>
      </c>
      <c r="L243" s="1" t="str">
        <f aca="false">TEXT(bordro810[[#This Row],[Tarih]],"yyyy/aa")</f>
        <v>1899.aa</v>
      </c>
      <c r="M243" s="1" t="str">
        <f aca="false">TEXT(bordro810[[#This Row],[Tarih]],"gggg")</f>
        <v>ADMS</v>
      </c>
      <c r="N243" s="1" t="e">
        <f aca="false">VLOOKUP(B243,PersonelListesi!A$1:G$41,4,FALSE())</f>
        <v>#N/A</v>
      </c>
      <c r="O243" s="363"/>
    </row>
    <row r="244" customFormat="false" ht="15" hidden="false" customHeight="false" outlineLevel="0" collapsed="false">
      <c r="B244" s="364"/>
      <c r="C244" s="364"/>
      <c r="D244" s="361"/>
      <c r="E244" s="312" t="e">
        <f aca="false">VLOOKUP(B244,PersonelListesi!A$1:G$47,5,FALSE())</f>
        <v>#N/A</v>
      </c>
      <c r="F244" s="322" t="e">
        <f aca="false">bordro810[[#This Row],[Saat]]*bordro810[[#This Row],[S.Ücret]]</f>
        <v>#N/A</v>
      </c>
      <c r="G244" s="352" t="n">
        <v>0</v>
      </c>
      <c r="H244" s="352"/>
      <c r="I244" s="329" t="e">
        <f aca="false">bordro810[[#This Row],[Ödeme]]-bordro810[[#This Row],[M. Tutar]]</f>
        <v>#N/A</v>
      </c>
      <c r="J244" s="350" t="n">
        <f aca="false">SUMIF(bordro810[Personel],bordro810[[#This Row],[Personel]],F$3:F244)-SUMIF(bordro810[Personel],bordro810[[#This Row],[Personel]],G$3:G244)</f>
        <v>0</v>
      </c>
      <c r="K244" s="351" t="str">
        <f aca="false">TEXT(bordro810[[#This Row],[Tarih]],"yyyy")</f>
        <v>1899</v>
      </c>
      <c r="L244" s="1" t="str">
        <f aca="false">TEXT(bordro810[[#This Row],[Tarih]],"yyyy/aa")</f>
        <v>1899.aa</v>
      </c>
      <c r="M244" s="1" t="str">
        <f aca="false">TEXT(bordro810[[#This Row],[Tarih]],"gggg")</f>
        <v>ADMS</v>
      </c>
      <c r="N244" s="1" t="e">
        <f aca="false">VLOOKUP(B244,PersonelListesi!A$1:G$41,4,FALSE())</f>
        <v>#N/A</v>
      </c>
      <c r="O244" s="363"/>
    </row>
    <row r="245" customFormat="false" ht="15" hidden="false" customHeight="false" outlineLevel="0" collapsed="false">
      <c r="B245" s="364"/>
      <c r="C245" s="364"/>
      <c r="D245" s="361"/>
      <c r="E245" s="312" t="e">
        <f aca="false">VLOOKUP(B245,PersonelListesi!A$1:G$47,5,FALSE())</f>
        <v>#N/A</v>
      </c>
      <c r="F245" s="322" t="e">
        <f aca="false">bordro810[[#This Row],[Saat]]*bordro810[[#This Row],[S.Ücret]]</f>
        <v>#N/A</v>
      </c>
      <c r="G245" s="352" t="n">
        <v>0</v>
      </c>
      <c r="H245" s="352"/>
      <c r="I245" s="329" t="e">
        <f aca="false">bordro810[[#This Row],[Ödeme]]-bordro810[[#This Row],[M. Tutar]]</f>
        <v>#N/A</v>
      </c>
      <c r="J245" s="350" t="n">
        <f aca="false">SUMIF(bordro810[Personel],bordro810[[#This Row],[Personel]],F$3:F245)-SUMIF(bordro810[Personel],bordro810[[#This Row],[Personel]],G$3:G245)</f>
        <v>0</v>
      </c>
      <c r="K245" s="351" t="str">
        <f aca="false">TEXT(bordro810[[#This Row],[Tarih]],"yyyy")</f>
        <v>1899</v>
      </c>
      <c r="L245" s="1" t="str">
        <f aca="false">TEXT(bordro810[[#This Row],[Tarih]],"yyyy/aa")</f>
        <v>1899.aa</v>
      </c>
      <c r="M245" s="1" t="str">
        <f aca="false">TEXT(bordro810[[#This Row],[Tarih]],"gggg")</f>
        <v>ADMS</v>
      </c>
      <c r="N245" s="1" t="e">
        <f aca="false">VLOOKUP(B245,PersonelListesi!A$1:G$41,4,FALSE())</f>
        <v>#N/A</v>
      </c>
      <c r="O245" s="363"/>
    </row>
    <row r="246" customFormat="false" ht="15" hidden="false" customHeight="false" outlineLevel="0" collapsed="false">
      <c r="B246" s="364"/>
      <c r="C246" s="364"/>
      <c r="D246" s="361"/>
      <c r="E246" s="312" t="e">
        <f aca="false">VLOOKUP(B246,PersonelListesi!A$1:G$47,5,FALSE())</f>
        <v>#N/A</v>
      </c>
      <c r="F246" s="322" t="e">
        <f aca="false">bordro810[[#This Row],[Saat]]*bordro810[[#This Row],[S.Ücret]]</f>
        <v>#N/A</v>
      </c>
      <c r="G246" s="352" t="n">
        <v>0</v>
      </c>
      <c r="H246" s="352"/>
      <c r="I246" s="329" t="e">
        <f aca="false">bordro810[[#This Row],[Ödeme]]-bordro810[[#This Row],[M. Tutar]]</f>
        <v>#N/A</v>
      </c>
      <c r="J246" s="350" t="n">
        <f aca="false">SUMIF(bordro810[Personel],bordro810[[#This Row],[Personel]],F$3:F246)-SUMIF(bordro810[Personel],bordro810[[#This Row],[Personel]],G$3:G246)</f>
        <v>0</v>
      </c>
      <c r="K246" s="351" t="str">
        <f aca="false">TEXT(bordro810[[#This Row],[Tarih]],"yyyy")</f>
        <v>1899</v>
      </c>
      <c r="L246" s="1" t="str">
        <f aca="false">TEXT(bordro810[[#This Row],[Tarih]],"yyyy/aa")</f>
        <v>1899.aa</v>
      </c>
      <c r="M246" s="1" t="str">
        <f aca="false">TEXT(bordro810[[#This Row],[Tarih]],"gggg")</f>
        <v>ADMS</v>
      </c>
      <c r="N246" s="1" t="e">
        <f aca="false">VLOOKUP(B246,PersonelListesi!A$1:G$41,4,FALSE())</f>
        <v>#N/A</v>
      </c>
      <c r="O246" s="363"/>
    </row>
    <row r="247" customFormat="false" ht="15" hidden="false" customHeight="false" outlineLevel="0" collapsed="false">
      <c r="B247" s="364"/>
      <c r="C247" s="364"/>
      <c r="D247" s="361"/>
      <c r="E247" s="312" t="e">
        <f aca="false">VLOOKUP(B247,PersonelListesi!A$1:G$47,5,FALSE())</f>
        <v>#N/A</v>
      </c>
      <c r="F247" s="322" t="e">
        <f aca="false">bordro810[[#This Row],[Saat]]*bordro810[[#This Row],[S.Ücret]]</f>
        <v>#N/A</v>
      </c>
      <c r="G247" s="352" t="n">
        <v>0</v>
      </c>
      <c r="H247" s="352"/>
      <c r="I247" s="329" t="e">
        <f aca="false">bordro810[[#This Row],[Ödeme]]-bordro810[[#This Row],[M. Tutar]]</f>
        <v>#N/A</v>
      </c>
      <c r="J247" s="350" t="n">
        <f aca="false">SUMIF(bordro810[Personel],bordro810[[#This Row],[Personel]],F$3:F247)-SUMIF(bordro810[Personel],bordro810[[#This Row],[Personel]],G$3:G247)</f>
        <v>0</v>
      </c>
      <c r="K247" s="351" t="str">
        <f aca="false">TEXT(bordro810[[#This Row],[Tarih]],"yyyy")</f>
        <v>1899</v>
      </c>
      <c r="L247" s="1" t="str">
        <f aca="false">TEXT(bordro810[[#This Row],[Tarih]],"yyyy/aa")</f>
        <v>1899.aa</v>
      </c>
      <c r="M247" s="1" t="str">
        <f aca="false">TEXT(bordro810[[#This Row],[Tarih]],"gggg")</f>
        <v>ADMS</v>
      </c>
      <c r="N247" s="1" t="e">
        <f aca="false">VLOOKUP(B247,PersonelListesi!A$1:G$41,4,FALSE())</f>
        <v>#N/A</v>
      </c>
      <c r="O247" s="363"/>
    </row>
    <row r="248" customFormat="false" ht="15" hidden="false" customHeight="false" outlineLevel="0" collapsed="false">
      <c r="B248" s="364"/>
      <c r="C248" s="364"/>
      <c r="D248" s="361"/>
      <c r="E248" s="312" t="e">
        <f aca="false">VLOOKUP(B248,PersonelListesi!A$1:G$47,5,FALSE())</f>
        <v>#N/A</v>
      </c>
      <c r="F248" s="322" t="e">
        <f aca="false">bordro810[[#This Row],[Saat]]*bordro810[[#This Row],[S.Ücret]]</f>
        <v>#N/A</v>
      </c>
      <c r="G248" s="352" t="n">
        <v>0</v>
      </c>
      <c r="H248" s="352"/>
      <c r="I248" s="329" t="e">
        <f aca="false">bordro810[[#This Row],[Ödeme]]-bordro810[[#This Row],[M. Tutar]]</f>
        <v>#N/A</v>
      </c>
      <c r="J248" s="350" t="n">
        <f aca="false">SUMIF(bordro810[Personel],bordro810[[#This Row],[Personel]],F$3:F248)-SUMIF(bordro810[Personel],bordro810[[#This Row],[Personel]],G$3:G248)</f>
        <v>0</v>
      </c>
      <c r="K248" s="351" t="str">
        <f aca="false">TEXT(bordro810[[#This Row],[Tarih]],"yyyy")</f>
        <v>1899</v>
      </c>
      <c r="L248" s="1" t="str">
        <f aca="false">TEXT(bordro810[[#This Row],[Tarih]],"yyyy/aa")</f>
        <v>1899.aa</v>
      </c>
      <c r="M248" s="1" t="str">
        <f aca="false">TEXT(bordro810[[#This Row],[Tarih]],"gggg")</f>
        <v>ADMS</v>
      </c>
      <c r="N248" s="1" t="e">
        <f aca="false">VLOOKUP(B248,PersonelListesi!A$1:G$41,4,FALSE())</f>
        <v>#N/A</v>
      </c>
      <c r="O248" s="363"/>
    </row>
    <row r="249" customFormat="false" ht="15" hidden="false" customHeight="false" outlineLevel="0" collapsed="false">
      <c r="B249" s="364"/>
      <c r="C249" s="364"/>
      <c r="D249" s="361"/>
      <c r="E249" s="312" t="e">
        <f aca="false">VLOOKUP(B249,PersonelListesi!A$1:G$47,5,FALSE())</f>
        <v>#N/A</v>
      </c>
      <c r="F249" s="322" t="e">
        <f aca="false">bordro810[[#This Row],[Saat]]*bordro810[[#This Row],[S.Ücret]]</f>
        <v>#N/A</v>
      </c>
      <c r="G249" s="352" t="n">
        <v>0</v>
      </c>
      <c r="H249" s="352"/>
      <c r="I249" s="329" t="e">
        <f aca="false">bordro810[[#This Row],[Ödeme]]-bordro810[[#This Row],[M. Tutar]]</f>
        <v>#N/A</v>
      </c>
      <c r="J249" s="350" t="n">
        <f aca="false">SUMIF(bordro810[Personel],bordro810[[#This Row],[Personel]],F$3:F249)-SUMIF(bordro810[Personel],bordro810[[#This Row],[Personel]],G$3:G249)</f>
        <v>0</v>
      </c>
      <c r="K249" s="351" t="str">
        <f aca="false">TEXT(bordro810[[#This Row],[Tarih]],"yyyy")</f>
        <v>1899</v>
      </c>
      <c r="L249" s="1" t="str">
        <f aca="false">TEXT(bordro810[[#This Row],[Tarih]],"yyyy/aa")</f>
        <v>1899.aa</v>
      </c>
      <c r="M249" s="1" t="str">
        <f aca="false">TEXT(bordro810[[#This Row],[Tarih]],"gggg")</f>
        <v>ADMS</v>
      </c>
      <c r="N249" s="1" t="e">
        <f aca="false">VLOOKUP(B249,PersonelListesi!A$1:G$41,4,FALSE())</f>
        <v>#N/A</v>
      </c>
      <c r="O249" s="363"/>
    </row>
    <row r="250" customFormat="false" ht="15" hidden="false" customHeight="false" outlineLevel="0" collapsed="false">
      <c r="B250" s="364"/>
      <c r="C250" s="364"/>
      <c r="D250" s="361"/>
      <c r="E250" s="312" t="e">
        <f aca="false">VLOOKUP(B250,PersonelListesi!A$1:G$47,5,FALSE())</f>
        <v>#N/A</v>
      </c>
      <c r="F250" s="322" t="e">
        <f aca="false">bordro810[[#This Row],[Saat]]*bordro810[[#This Row],[S.Ücret]]</f>
        <v>#N/A</v>
      </c>
      <c r="G250" s="352" t="n">
        <v>0</v>
      </c>
      <c r="H250" s="352"/>
      <c r="I250" s="329" t="e">
        <f aca="false">bordro810[[#This Row],[Ödeme]]-bordro810[[#This Row],[M. Tutar]]</f>
        <v>#N/A</v>
      </c>
      <c r="J250" s="350" t="n">
        <f aca="false">SUMIF(bordro810[Personel],bordro810[[#This Row],[Personel]],F$3:F250)-SUMIF(bordro810[Personel],bordro810[[#This Row],[Personel]],G$3:G250)</f>
        <v>0</v>
      </c>
      <c r="K250" s="351" t="str">
        <f aca="false">TEXT(bordro810[[#This Row],[Tarih]],"yyyy")</f>
        <v>1899</v>
      </c>
      <c r="L250" s="1" t="str">
        <f aca="false">TEXT(bordro810[[#This Row],[Tarih]],"yyyy/aa")</f>
        <v>1899.aa</v>
      </c>
      <c r="M250" s="1" t="str">
        <f aca="false">TEXT(bordro810[[#This Row],[Tarih]],"gggg")</f>
        <v>ADMS</v>
      </c>
      <c r="N250" s="1" t="e">
        <f aca="false">VLOOKUP(B250,PersonelListesi!A$1:G$41,4,FALSE())</f>
        <v>#N/A</v>
      </c>
      <c r="O250" s="363"/>
    </row>
    <row r="251" customFormat="false" ht="15" hidden="false" customHeight="false" outlineLevel="0" collapsed="false">
      <c r="B251" s="364"/>
      <c r="C251" s="364"/>
      <c r="D251" s="361"/>
      <c r="E251" s="312" t="e">
        <f aca="false">VLOOKUP(B251,PersonelListesi!A$1:G$47,5,FALSE())</f>
        <v>#N/A</v>
      </c>
      <c r="F251" s="322" t="e">
        <f aca="false">bordro810[[#This Row],[Saat]]*bordro810[[#This Row],[S.Ücret]]</f>
        <v>#N/A</v>
      </c>
      <c r="G251" s="352" t="n">
        <v>0</v>
      </c>
      <c r="H251" s="352"/>
      <c r="I251" s="329" t="e">
        <f aca="false">bordro810[[#This Row],[Ödeme]]-bordro810[[#This Row],[M. Tutar]]</f>
        <v>#N/A</v>
      </c>
      <c r="J251" s="350" t="n">
        <f aca="false">SUMIF(bordro810[Personel],bordro810[[#This Row],[Personel]],F$3:F251)-SUMIF(bordro810[Personel],bordro810[[#This Row],[Personel]],G$3:G251)</f>
        <v>0</v>
      </c>
      <c r="K251" s="351" t="str">
        <f aca="false">TEXT(bordro810[[#This Row],[Tarih]],"yyyy")</f>
        <v>1899</v>
      </c>
      <c r="L251" s="1" t="str">
        <f aca="false">TEXT(bordro810[[#This Row],[Tarih]],"yyyy/aa")</f>
        <v>1899.aa</v>
      </c>
      <c r="M251" s="1" t="str">
        <f aca="false">TEXT(bordro810[[#This Row],[Tarih]],"gggg")</f>
        <v>ADMS</v>
      </c>
      <c r="N251" s="1" t="e">
        <f aca="false">VLOOKUP(B251,PersonelListesi!A$1:G$41,4,FALSE())</f>
        <v>#N/A</v>
      </c>
      <c r="O251" s="363"/>
    </row>
    <row r="252" customFormat="false" ht="15" hidden="false" customHeight="false" outlineLevel="0" collapsed="false">
      <c r="B252" s="364"/>
      <c r="C252" s="364"/>
      <c r="D252" s="361"/>
      <c r="E252" s="312" t="e">
        <f aca="false">VLOOKUP(B252,PersonelListesi!A$1:G$47,5,FALSE())</f>
        <v>#N/A</v>
      </c>
      <c r="F252" s="322" t="e">
        <f aca="false">bordro810[[#This Row],[Saat]]*bordro810[[#This Row],[S.Ücret]]</f>
        <v>#N/A</v>
      </c>
      <c r="G252" s="352" t="n">
        <v>0</v>
      </c>
      <c r="H252" s="352"/>
      <c r="I252" s="329" t="e">
        <f aca="false">bordro810[[#This Row],[Ödeme]]-bordro810[[#This Row],[M. Tutar]]</f>
        <v>#N/A</v>
      </c>
      <c r="J252" s="350" t="n">
        <f aca="false">SUMIF(bordro810[Personel],bordro810[[#This Row],[Personel]],F$3:F252)-SUMIF(bordro810[Personel],bordro810[[#This Row],[Personel]],G$3:G252)</f>
        <v>0</v>
      </c>
      <c r="K252" s="351" t="str">
        <f aca="false">TEXT(bordro810[[#This Row],[Tarih]],"yyyy")</f>
        <v>1899</v>
      </c>
      <c r="L252" s="1" t="str">
        <f aca="false">TEXT(bordro810[[#This Row],[Tarih]],"yyyy/aa")</f>
        <v>1899.aa</v>
      </c>
      <c r="M252" s="1" t="str">
        <f aca="false">TEXT(bordro810[[#This Row],[Tarih]],"gggg")</f>
        <v>ADMS</v>
      </c>
      <c r="N252" s="1" t="e">
        <f aca="false">VLOOKUP(B252,PersonelListesi!A$1:G$41,4,FALSE())</f>
        <v>#N/A</v>
      </c>
      <c r="O252" s="363"/>
    </row>
    <row r="253" customFormat="false" ht="15" hidden="false" customHeight="false" outlineLevel="0" collapsed="false">
      <c r="B253" s="364"/>
      <c r="C253" s="364"/>
      <c r="D253" s="361"/>
      <c r="E253" s="312" t="e">
        <f aca="false">VLOOKUP(B253,PersonelListesi!A$1:G$47,5,FALSE())</f>
        <v>#N/A</v>
      </c>
      <c r="F253" s="322" t="e">
        <f aca="false">bordro810[[#This Row],[Saat]]*bordro810[[#This Row],[S.Ücret]]</f>
        <v>#N/A</v>
      </c>
      <c r="G253" s="352" t="n">
        <v>0</v>
      </c>
      <c r="H253" s="352"/>
      <c r="I253" s="329" t="e">
        <f aca="false">bordro810[[#This Row],[Ödeme]]-bordro810[[#This Row],[M. Tutar]]</f>
        <v>#N/A</v>
      </c>
      <c r="J253" s="350" t="n">
        <f aca="false">SUMIF(bordro810[Personel],bordro810[[#This Row],[Personel]],F$3:F253)-SUMIF(bordro810[Personel],bordro810[[#This Row],[Personel]],G$3:G253)</f>
        <v>0</v>
      </c>
      <c r="K253" s="351" t="str">
        <f aca="false">TEXT(bordro810[[#This Row],[Tarih]],"yyyy")</f>
        <v>1899</v>
      </c>
      <c r="L253" s="1" t="str">
        <f aca="false">TEXT(bordro810[[#This Row],[Tarih]],"yyyy/aa")</f>
        <v>1899.aa</v>
      </c>
      <c r="M253" s="1" t="str">
        <f aca="false">TEXT(bordro810[[#This Row],[Tarih]],"gggg")</f>
        <v>ADMS</v>
      </c>
      <c r="N253" s="1" t="e">
        <f aca="false">VLOOKUP(B253,PersonelListesi!A$1:G$41,4,FALSE())</f>
        <v>#N/A</v>
      </c>
      <c r="O253" s="363"/>
    </row>
    <row r="254" customFormat="false" ht="15" hidden="false" customHeight="false" outlineLevel="0" collapsed="false">
      <c r="B254" s="364"/>
      <c r="C254" s="364"/>
      <c r="D254" s="361"/>
      <c r="E254" s="312" t="e">
        <f aca="false">VLOOKUP(B254,PersonelListesi!A$1:G$47,5,FALSE())</f>
        <v>#N/A</v>
      </c>
      <c r="F254" s="322" t="e">
        <f aca="false">bordro810[[#This Row],[Saat]]*bordro810[[#This Row],[S.Ücret]]</f>
        <v>#N/A</v>
      </c>
      <c r="G254" s="352" t="n">
        <v>0</v>
      </c>
      <c r="H254" s="352"/>
      <c r="I254" s="329" t="e">
        <f aca="false">bordro810[[#This Row],[Ödeme]]-bordro810[[#This Row],[M. Tutar]]</f>
        <v>#N/A</v>
      </c>
      <c r="J254" s="350" t="n">
        <f aca="false">SUMIF(bordro810[Personel],bordro810[[#This Row],[Personel]],F$3:F254)-SUMIF(bordro810[Personel],bordro810[[#This Row],[Personel]],G$3:G254)</f>
        <v>0</v>
      </c>
      <c r="K254" s="351" t="str">
        <f aca="false">TEXT(bordro810[[#This Row],[Tarih]],"yyyy")</f>
        <v>1899</v>
      </c>
      <c r="L254" s="1" t="str">
        <f aca="false">TEXT(bordro810[[#This Row],[Tarih]],"yyyy/aa")</f>
        <v>1899.aa</v>
      </c>
      <c r="M254" s="1" t="str">
        <f aca="false">TEXT(bordro810[[#This Row],[Tarih]],"gggg")</f>
        <v>ADMS</v>
      </c>
      <c r="N254" s="1" t="e">
        <f aca="false">VLOOKUP(B254,PersonelListesi!A$1:G$41,4,FALSE())</f>
        <v>#N/A</v>
      </c>
      <c r="O254" s="363"/>
    </row>
    <row r="255" customFormat="false" ht="15" hidden="false" customHeight="false" outlineLevel="0" collapsed="false">
      <c r="B255" s="364"/>
      <c r="C255" s="364"/>
      <c r="D255" s="361"/>
      <c r="E255" s="312" t="e">
        <f aca="false">VLOOKUP(B255,PersonelListesi!A$1:G$47,5,FALSE())</f>
        <v>#N/A</v>
      </c>
      <c r="F255" s="322" t="e">
        <f aca="false">bordro810[[#This Row],[Saat]]*bordro810[[#This Row],[S.Ücret]]</f>
        <v>#N/A</v>
      </c>
      <c r="G255" s="352" t="n">
        <v>0</v>
      </c>
      <c r="H255" s="352"/>
      <c r="I255" s="329" t="e">
        <f aca="false">bordro810[[#This Row],[Ödeme]]-bordro810[[#This Row],[M. Tutar]]</f>
        <v>#N/A</v>
      </c>
      <c r="J255" s="350" t="n">
        <f aca="false">SUMIF(bordro810[Personel],bordro810[[#This Row],[Personel]],F$3:F255)-SUMIF(bordro810[Personel],bordro810[[#This Row],[Personel]],G$3:G255)</f>
        <v>0</v>
      </c>
      <c r="K255" s="351" t="str">
        <f aca="false">TEXT(bordro810[[#This Row],[Tarih]],"yyyy")</f>
        <v>1899</v>
      </c>
      <c r="L255" s="1" t="str">
        <f aca="false">TEXT(bordro810[[#This Row],[Tarih]],"yyyy/aa")</f>
        <v>1899.aa</v>
      </c>
      <c r="M255" s="1" t="str">
        <f aca="false">TEXT(bordro810[[#This Row],[Tarih]],"gggg")</f>
        <v>ADMS</v>
      </c>
      <c r="N255" s="1" t="e">
        <f aca="false">VLOOKUP(B255,PersonelListesi!A$1:G$41,4,FALSE())</f>
        <v>#N/A</v>
      </c>
      <c r="O255" s="363"/>
    </row>
    <row r="256" customFormat="false" ht="15" hidden="false" customHeight="false" outlineLevel="0" collapsed="false">
      <c r="B256" s="364"/>
      <c r="C256" s="364"/>
      <c r="D256" s="361"/>
      <c r="E256" s="312" t="e">
        <f aca="false">VLOOKUP(B256,PersonelListesi!A$1:G$47,5,FALSE())</f>
        <v>#N/A</v>
      </c>
      <c r="F256" s="322" t="e">
        <f aca="false">bordro810[[#This Row],[Saat]]*bordro810[[#This Row],[S.Ücret]]</f>
        <v>#N/A</v>
      </c>
      <c r="G256" s="352" t="n">
        <v>0</v>
      </c>
      <c r="H256" s="352"/>
      <c r="I256" s="329" t="e">
        <f aca="false">bordro810[[#This Row],[Ödeme]]-bordro810[[#This Row],[M. Tutar]]</f>
        <v>#N/A</v>
      </c>
      <c r="J256" s="350" t="n">
        <f aca="false">SUMIF(bordro810[Personel],bordro810[[#This Row],[Personel]],F$3:F256)-SUMIF(bordro810[Personel],bordro810[[#This Row],[Personel]],G$3:G256)</f>
        <v>0</v>
      </c>
      <c r="K256" s="351" t="str">
        <f aca="false">TEXT(bordro810[[#This Row],[Tarih]],"yyyy")</f>
        <v>1899</v>
      </c>
      <c r="L256" s="1" t="str">
        <f aca="false">TEXT(bordro810[[#This Row],[Tarih]],"yyyy/aa")</f>
        <v>1899.aa</v>
      </c>
      <c r="M256" s="1" t="str">
        <f aca="false">TEXT(bordro810[[#This Row],[Tarih]],"gggg")</f>
        <v>ADMS</v>
      </c>
      <c r="N256" s="1" t="e">
        <f aca="false">VLOOKUP(B256,PersonelListesi!A$1:G$41,4,FALSE())</f>
        <v>#N/A</v>
      </c>
      <c r="O256" s="363"/>
    </row>
    <row r="257" customFormat="false" ht="15" hidden="false" customHeight="false" outlineLevel="0" collapsed="false">
      <c r="B257" s="364"/>
      <c r="C257" s="364"/>
      <c r="D257" s="361"/>
      <c r="E257" s="312" t="e">
        <f aca="false">VLOOKUP(B257,PersonelListesi!A$1:G$47,5,FALSE())</f>
        <v>#N/A</v>
      </c>
      <c r="F257" s="322" t="e">
        <f aca="false">bordro810[[#This Row],[Saat]]*bordro810[[#This Row],[S.Ücret]]</f>
        <v>#N/A</v>
      </c>
      <c r="G257" s="352" t="n">
        <v>0</v>
      </c>
      <c r="H257" s="352"/>
      <c r="I257" s="329" t="e">
        <f aca="false">bordro810[[#This Row],[Ödeme]]-bordro810[[#This Row],[M. Tutar]]</f>
        <v>#N/A</v>
      </c>
      <c r="J257" s="350" t="n">
        <f aca="false">SUMIF(bordro810[Personel],bordro810[[#This Row],[Personel]],F$3:F257)-SUMIF(bordro810[Personel],bordro810[[#This Row],[Personel]],G$3:G257)</f>
        <v>0</v>
      </c>
      <c r="K257" s="351" t="str">
        <f aca="false">TEXT(bordro810[[#This Row],[Tarih]],"yyyy")</f>
        <v>1899</v>
      </c>
      <c r="L257" s="1" t="str">
        <f aca="false">TEXT(bordro810[[#This Row],[Tarih]],"yyyy/aa")</f>
        <v>1899.aa</v>
      </c>
      <c r="M257" s="1" t="str">
        <f aca="false">TEXT(bordro810[[#This Row],[Tarih]],"gggg")</f>
        <v>ADMS</v>
      </c>
      <c r="N257" s="1" t="e">
        <f aca="false">VLOOKUP(B257,PersonelListesi!A$1:G$41,4,FALSE())</f>
        <v>#N/A</v>
      </c>
      <c r="O257" s="363"/>
    </row>
    <row r="258" customFormat="false" ht="15" hidden="false" customHeight="false" outlineLevel="0" collapsed="false">
      <c r="B258" s="364"/>
      <c r="C258" s="364"/>
      <c r="D258" s="361"/>
      <c r="E258" s="312" t="e">
        <f aca="false">VLOOKUP(B258,PersonelListesi!A$1:G$47,5,FALSE())</f>
        <v>#N/A</v>
      </c>
      <c r="F258" s="322" t="e">
        <f aca="false">bordro810[[#This Row],[Saat]]*bordro810[[#This Row],[S.Ücret]]</f>
        <v>#N/A</v>
      </c>
      <c r="G258" s="352" t="n">
        <v>0</v>
      </c>
      <c r="H258" s="352"/>
      <c r="I258" s="329" t="e">
        <f aca="false">bordro810[[#This Row],[Ödeme]]-bordro810[[#This Row],[M. Tutar]]</f>
        <v>#N/A</v>
      </c>
      <c r="J258" s="350" t="n">
        <f aca="false">SUMIF(bordro810[Personel],bordro810[[#This Row],[Personel]],F$3:F258)-SUMIF(bordro810[Personel],bordro810[[#This Row],[Personel]],G$3:G258)</f>
        <v>0</v>
      </c>
      <c r="K258" s="351" t="str">
        <f aca="false">TEXT(bordro810[[#This Row],[Tarih]],"yyyy")</f>
        <v>1899</v>
      </c>
      <c r="L258" s="1" t="str">
        <f aca="false">TEXT(bordro810[[#This Row],[Tarih]],"yyyy/aa")</f>
        <v>1899.aa</v>
      </c>
      <c r="M258" s="1" t="str">
        <f aca="false">TEXT(bordro810[[#This Row],[Tarih]],"gggg")</f>
        <v>ADMS</v>
      </c>
      <c r="N258" s="1" t="e">
        <f aca="false">VLOOKUP(B258,PersonelListesi!A$1:G$41,4,FALSE())</f>
        <v>#N/A</v>
      </c>
      <c r="O258" s="363"/>
    </row>
    <row r="259" customFormat="false" ht="15" hidden="false" customHeight="false" outlineLevel="0" collapsed="false">
      <c r="B259" s="364"/>
      <c r="C259" s="364"/>
      <c r="D259" s="361"/>
      <c r="E259" s="312" t="e">
        <f aca="false">VLOOKUP(B259,PersonelListesi!A$1:G$47,5,FALSE())</f>
        <v>#N/A</v>
      </c>
      <c r="F259" s="322" t="e">
        <f aca="false">bordro810[[#This Row],[Saat]]*bordro810[[#This Row],[S.Ücret]]</f>
        <v>#N/A</v>
      </c>
      <c r="G259" s="352" t="n">
        <v>0</v>
      </c>
      <c r="H259" s="352"/>
      <c r="I259" s="329" t="e">
        <f aca="false">bordro810[[#This Row],[Ödeme]]-bordro810[[#This Row],[M. Tutar]]</f>
        <v>#N/A</v>
      </c>
      <c r="J259" s="350" t="n">
        <f aca="false">SUMIF(bordro810[Personel],bordro810[[#This Row],[Personel]],F$3:F259)-SUMIF(bordro810[Personel],bordro810[[#This Row],[Personel]],G$3:G259)</f>
        <v>0</v>
      </c>
      <c r="K259" s="351" t="str">
        <f aca="false">TEXT(bordro810[[#This Row],[Tarih]],"yyyy")</f>
        <v>1899</v>
      </c>
      <c r="L259" s="1" t="str">
        <f aca="false">TEXT(bordro810[[#This Row],[Tarih]],"yyyy/aa")</f>
        <v>1899.aa</v>
      </c>
      <c r="M259" s="1" t="str">
        <f aca="false">TEXT(bordro810[[#This Row],[Tarih]],"gggg")</f>
        <v>ADMS</v>
      </c>
      <c r="N259" s="1" t="e">
        <f aca="false">VLOOKUP(B259,PersonelListesi!A$1:G$41,4,FALSE())</f>
        <v>#N/A</v>
      </c>
      <c r="O259" s="363"/>
    </row>
    <row r="260" customFormat="false" ht="15" hidden="false" customHeight="false" outlineLevel="0" collapsed="false">
      <c r="B260" s="364"/>
      <c r="C260" s="364"/>
      <c r="D260" s="361"/>
      <c r="E260" s="312" t="e">
        <f aca="false">VLOOKUP(B260,PersonelListesi!A$1:G$47,5,FALSE())</f>
        <v>#N/A</v>
      </c>
      <c r="F260" s="322" t="e">
        <f aca="false">bordro810[[#This Row],[Saat]]*bordro810[[#This Row],[S.Ücret]]</f>
        <v>#N/A</v>
      </c>
      <c r="G260" s="352" t="n">
        <v>0</v>
      </c>
      <c r="H260" s="352"/>
      <c r="I260" s="329" t="e">
        <f aca="false">bordro810[[#This Row],[Ödeme]]-bordro810[[#This Row],[M. Tutar]]</f>
        <v>#N/A</v>
      </c>
      <c r="J260" s="350" t="n">
        <f aca="false">SUMIF(bordro810[Personel],bordro810[[#This Row],[Personel]],F$3:F260)-SUMIF(bordro810[Personel],bordro810[[#This Row],[Personel]],G$3:G260)</f>
        <v>0</v>
      </c>
      <c r="K260" s="351" t="str">
        <f aca="false">TEXT(bordro810[[#This Row],[Tarih]],"yyyy")</f>
        <v>1899</v>
      </c>
      <c r="L260" s="1" t="str">
        <f aca="false">TEXT(bordro810[[#This Row],[Tarih]],"yyyy/aa")</f>
        <v>1899.aa</v>
      </c>
      <c r="M260" s="1" t="str">
        <f aca="false">TEXT(bordro810[[#This Row],[Tarih]],"gggg")</f>
        <v>ADMS</v>
      </c>
      <c r="N260" s="1" t="e">
        <f aca="false">VLOOKUP(B260,PersonelListesi!A$1:G$41,4,FALSE())</f>
        <v>#N/A</v>
      </c>
      <c r="O260" s="363"/>
    </row>
    <row r="261" customFormat="false" ht="15" hidden="false" customHeight="false" outlineLevel="0" collapsed="false">
      <c r="B261" s="364"/>
      <c r="C261" s="364"/>
      <c r="D261" s="361"/>
      <c r="E261" s="312" t="e">
        <f aca="false">VLOOKUP(B261,PersonelListesi!A$1:G$47,5,FALSE())</f>
        <v>#N/A</v>
      </c>
      <c r="F261" s="322" t="e">
        <f aca="false">bordro810[[#This Row],[Saat]]*bordro810[[#This Row],[S.Ücret]]</f>
        <v>#N/A</v>
      </c>
      <c r="G261" s="352" t="n">
        <v>0</v>
      </c>
      <c r="H261" s="352"/>
      <c r="I261" s="329" t="e">
        <f aca="false">bordro810[[#This Row],[Ödeme]]-bordro810[[#This Row],[M. Tutar]]</f>
        <v>#N/A</v>
      </c>
      <c r="J261" s="350" t="n">
        <f aca="false">SUMIF(bordro810[Personel],bordro810[[#This Row],[Personel]],F$3:F261)-SUMIF(bordro810[Personel],bordro810[[#This Row],[Personel]],G$3:G261)</f>
        <v>0</v>
      </c>
      <c r="K261" s="351" t="str">
        <f aca="false">TEXT(bordro810[[#This Row],[Tarih]],"yyyy")</f>
        <v>1899</v>
      </c>
      <c r="L261" s="1" t="str">
        <f aca="false">TEXT(bordro810[[#This Row],[Tarih]],"yyyy/aa")</f>
        <v>1899.aa</v>
      </c>
      <c r="M261" s="1" t="str">
        <f aca="false">TEXT(bordro810[[#This Row],[Tarih]],"gggg")</f>
        <v>ADMS</v>
      </c>
      <c r="N261" s="1" t="e">
        <f aca="false">VLOOKUP(B261,PersonelListesi!A$1:G$41,4,FALSE())</f>
        <v>#N/A</v>
      </c>
      <c r="O261" s="363"/>
    </row>
    <row r="262" customFormat="false" ht="15" hidden="false" customHeight="false" outlineLevel="0" collapsed="false">
      <c r="B262" s="364"/>
      <c r="C262" s="364"/>
      <c r="D262" s="361"/>
      <c r="E262" s="312" t="e">
        <f aca="false">VLOOKUP(B262,PersonelListesi!A$1:G$47,5,FALSE())</f>
        <v>#N/A</v>
      </c>
      <c r="F262" s="322" t="e">
        <f aca="false">bordro810[[#This Row],[Saat]]*bordro810[[#This Row],[S.Ücret]]</f>
        <v>#N/A</v>
      </c>
      <c r="G262" s="352" t="n">
        <v>0</v>
      </c>
      <c r="H262" s="352"/>
      <c r="I262" s="329" t="e">
        <f aca="false">bordro810[[#This Row],[Ödeme]]-bordro810[[#This Row],[M. Tutar]]</f>
        <v>#N/A</v>
      </c>
      <c r="J262" s="350" t="n">
        <f aca="false">SUMIF(bordro810[Personel],bordro810[[#This Row],[Personel]],F$3:F262)-SUMIF(bordro810[Personel],bordro810[[#This Row],[Personel]],G$3:G262)</f>
        <v>0</v>
      </c>
      <c r="K262" s="351" t="str">
        <f aca="false">TEXT(bordro810[[#This Row],[Tarih]],"yyyy")</f>
        <v>1899</v>
      </c>
      <c r="L262" s="1" t="str">
        <f aca="false">TEXT(bordro810[[#This Row],[Tarih]],"yyyy/aa")</f>
        <v>1899.aa</v>
      </c>
      <c r="M262" s="1" t="str">
        <f aca="false">TEXT(bordro810[[#This Row],[Tarih]],"gggg")</f>
        <v>ADMS</v>
      </c>
      <c r="N262" s="1" t="e">
        <f aca="false">VLOOKUP(B262,PersonelListesi!A$1:G$41,4,FALSE())</f>
        <v>#N/A</v>
      </c>
      <c r="O262" s="363"/>
    </row>
    <row r="263" customFormat="false" ht="15" hidden="false" customHeight="false" outlineLevel="0" collapsed="false">
      <c r="B263" s="364"/>
      <c r="C263" s="364"/>
      <c r="D263" s="361"/>
      <c r="E263" s="312" t="e">
        <f aca="false">VLOOKUP(B263,PersonelListesi!A$1:G$47,5,FALSE())</f>
        <v>#N/A</v>
      </c>
      <c r="F263" s="322" t="e">
        <f aca="false">bordro810[[#This Row],[Saat]]*bordro810[[#This Row],[S.Ücret]]</f>
        <v>#N/A</v>
      </c>
      <c r="G263" s="352" t="n">
        <v>0</v>
      </c>
      <c r="H263" s="352"/>
      <c r="I263" s="329" t="e">
        <f aca="false">bordro810[[#This Row],[Ödeme]]-bordro810[[#This Row],[M. Tutar]]</f>
        <v>#N/A</v>
      </c>
      <c r="J263" s="350" t="n">
        <f aca="false">SUMIF(bordro810[Personel],bordro810[[#This Row],[Personel]],F$3:F263)-SUMIF(bordro810[Personel],bordro810[[#This Row],[Personel]],G$3:G263)</f>
        <v>0</v>
      </c>
      <c r="K263" s="351" t="str">
        <f aca="false">TEXT(bordro810[[#This Row],[Tarih]],"yyyy")</f>
        <v>1899</v>
      </c>
      <c r="L263" s="1" t="str">
        <f aca="false">TEXT(bordro810[[#This Row],[Tarih]],"yyyy/aa")</f>
        <v>1899.aa</v>
      </c>
      <c r="M263" s="1" t="str">
        <f aca="false">TEXT(bordro810[[#This Row],[Tarih]],"gggg")</f>
        <v>ADMS</v>
      </c>
      <c r="N263" s="1" t="e">
        <f aca="false">VLOOKUP(B263,PersonelListesi!A$1:G$41,4,FALSE())</f>
        <v>#N/A</v>
      </c>
      <c r="O263" s="363"/>
    </row>
    <row r="264" customFormat="false" ht="15" hidden="false" customHeight="false" outlineLevel="0" collapsed="false">
      <c r="B264" s="364"/>
      <c r="C264" s="364"/>
      <c r="D264" s="361"/>
      <c r="E264" s="312" t="e">
        <f aca="false">VLOOKUP(B264,PersonelListesi!A$1:G$47,5,FALSE())</f>
        <v>#N/A</v>
      </c>
      <c r="F264" s="322" t="e">
        <f aca="false">bordro810[[#This Row],[Saat]]*bordro810[[#This Row],[S.Ücret]]</f>
        <v>#N/A</v>
      </c>
      <c r="G264" s="352" t="n">
        <v>0</v>
      </c>
      <c r="H264" s="352"/>
      <c r="I264" s="329" t="e">
        <f aca="false">bordro810[[#This Row],[Ödeme]]-bordro810[[#This Row],[M. Tutar]]</f>
        <v>#N/A</v>
      </c>
      <c r="J264" s="350" t="n">
        <f aca="false">SUMIF(bordro810[Personel],bordro810[[#This Row],[Personel]],F$3:F264)-SUMIF(bordro810[Personel],bordro810[[#This Row],[Personel]],G$3:G264)</f>
        <v>0</v>
      </c>
      <c r="K264" s="351" t="str">
        <f aca="false">TEXT(bordro810[[#This Row],[Tarih]],"yyyy")</f>
        <v>1899</v>
      </c>
      <c r="L264" s="1" t="str">
        <f aca="false">TEXT(bordro810[[#This Row],[Tarih]],"yyyy/aa")</f>
        <v>1899.aa</v>
      </c>
      <c r="M264" s="1" t="str">
        <f aca="false">TEXT(bordro810[[#This Row],[Tarih]],"gggg")</f>
        <v>ADMS</v>
      </c>
      <c r="N264" s="1" t="e">
        <f aca="false">VLOOKUP(B264,PersonelListesi!A$1:G$41,4,FALSE())</f>
        <v>#N/A</v>
      </c>
      <c r="O264" s="363"/>
    </row>
    <row r="265" customFormat="false" ht="15" hidden="false" customHeight="false" outlineLevel="0" collapsed="false">
      <c r="B265" s="364"/>
      <c r="C265" s="364"/>
      <c r="D265" s="361"/>
      <c r="E265" s="312" t="e">
        <f aca="false">VLOOKUP(B265,PersonelListesi!A$1:G$47,5,FALSE())</f>
        <v>#N/A</v>
      </c>
      <c r="F265" s="322" t="e">
        <f aca="false">bordro810[[#This Row],[Saat]]*bordro810[[#This Row],[S.Ücret]]</f>
        <v>#N/A</v>
      </c>
      <c r="G265" s="352" t="n">
        <v>0</v>
      </c>
      <c r="H265" s="352"/>
      <c r="I265" s="329" t="e">
        <f aca="false">bordro810[[#This Row],[Ödeme]]-bordro810[[#This Row],[M. Tutar]]</f>
        <v>#N/A</v>
      </c>
      <c r="J265" s="350" t="n">
        <f aca="false">SUMIF(bordro810[Personel],bordro810[[#This Row],[Personel]],F$3:F265)-SUMIF(bordro810[Personel],bordro810[[#This Row],[Personel]],G$3:G265)</f>
        <v>0</v>
      </c>
      <c r="K265" s="351" t="str">
        <f aca="false">TEXT(bordro810[[#This Row],[Tarih]],"yyyy")</f>
        <v>1899</v>
      </c>
      <c r="L265" s="1" t="str">
        <f aca="false">TEXT(bordro810[[#This Row],[Tarih]],"yyyy/aa")</f>
        <v>1899.aa</v>
      </c>
      <c r="M265" s="1" t="str">
        <f aca="false">TEXT(bordro810[[#This Row],[Tarih]],"gggg")</f>
        <v>ADMS</v>
      </c>
      <c r="N265" s="1" t="e">
        <f aca="false">VLOOKUP(B265,PersonelListesi!A$1:G$41,4,FALSE())</f>
        <v>#N/A</v>
      </c>
      <c r="O265" s="363"/>
    </row>
    <row r="266" customFormat="false" ht="15" hidden="false" customHeight="false" outlineLevel="0" collapsed="false">
      <c r="B266" s="364"/>
      <c r="C266" s="364"/>
      <c r="D266" s="361"/>
      <c r="E266" s="312" t="e">
        <f aca="false">VLOOKUP(B266,PersonelListesi!A$1:G$47,5,FALSE())</f>
        <v>#N/A</v>
      </c>
      <c r="F266" s="322" t="e">
        <f aca="false">bordro810[[#This Row],[Saat]]*bordro810[[#This Row],[S.Ücret]]</f>
        <v>#N/A</v>
      </c>
      <c r="G266" s="352" t="n">
        <v>0</v>
      </c>
      <c r="H266" s="352"/>
      <c r="I266" s="329" t="e">
        <f aca="false">bordro810[[#This Row],[Ödeme]]-bordro810[[#This Row],[M. Tutar]]</f>
        <v>#N/A</v>
      </c>
      <c r="J266" s="350" t="n">
        <f aca="false">SUMIF(bordro810[Personel],bordro810[[#This Row],[Personel]],F$3:F266)-SUMIF(bordro810[Personel],bordro810[[#This Row],[Personel]],G$3:G266)</f>
        <v>0</v>
      </c>
      <c r="K266" s="351" t="str">
        <f aca="false">TEXT(bordro810[[#This Row],[Tarih]],"yyyy")</f>
        <v>1899</v>
      </c>
      <c r="L266" s="1" t="str">
        <f aca="false">TEXT(bordro810[[#This Row],[Tarih]],"yyyy/aa")</f>
        <v>1899.aa</v>
      </c>
      <c r="M266" s="1" t="str">
        <f aca="false">TEXT(bordro810[[#This Row],[Tarih]],"gggg")</f>
        <v>ADMS</v>
      </c>
      <c r="N266" s="1" t="e">
        <f aca="false">VLOOKUP(B266,PersonelListesi!A$1:G$41,4,FALSE())</f>
        <v>#N/A</v>
      </c>
      <c r="O266" s="363"/>
    </row>
    <row r="267" customFormat="false" ht="15" hidden="false" customHeight="false" outlineLevel="0" collapsed="false">
      <c r="B267" s="364"/>
      <c r="C267" s="364"/>
      <c r="D267" s="361"/>
      <c r="E267" s="312" t="e">
        <f aca="false">VLOOKUP(B267,PersonelListesi!A$1:G$47,5,FALSE())</f>
        <v>#N/A</v>
      </c>
      <c r="F267" s="322" t="e">
        <f aca="false">bordro810[[#This Row],[Saat]]*bordro810[[#This Row],[S.Ücret]]</f>
        <v>#N/A</v>
      </c>
      <c r="G267" s="352" t="n">
        <v>0</v>
      </c>
      <c r="H267" s="352"/>
      <c r="I267" s="329" t="e">
        <f aca="false">bordro810[[#This Row],[Ödeme]]-bordro810[[#This Row],[M. Tutar]]</f>
        <v>#N/A</v>
      </c>
      <c r="J267" s="350" t="n">
        <f aca="false">SUMIF(bordro810[Personel],bordro810[[#This Row],[Personel]],F$3:F267)-SUMIF(bordro810[Personel],bordro810[[#This Row],[Personel]],G$3:G267)</f>
        <v>0</v>
      </c>
      <c r="K267" s="351" t="str">
        <f aca="false">TEXT(bordro810[[#This Row],[Tarih]],"yyyy")</f>
        <v>1899</v>
      </c>
      <c r="L267" s="1" t="str">
        <f aca="false">TEXT(bordro810[[#This Row],[Tarih]],"yyyy/aa")</f>
        <v>1899.aa</v>
      </c>
      <c r="M267" s="1" t="str">
        <f aca="false">TEXT(bordro810[[#This Row],[Tarih]],"gggg")</f>
        <v>ADMS</v>
      </c>
      <c r="N267" s="1" t="e">
        <f aca="false">VLOOKUP(B267,PersonelListesi!A$1:G$41,4,FALSE())</f>
        <v>#N/A</v>
      </c>
      <c r="O267" s="363"/>
    </row>
    <row r="268" customFormat="false" ht="15" hidden="false" customHeight="false" outlineLevel="0" collapsed="false">
      <c r="B268" s="364"/>
      <c r="C268" s="364"/>
      <c r="D268" s="361"/>
      <c r="E268" s="312" t="e">
        <f aca="false">VLOOKUP(B268,PersonelListesi!A$1:G$47,5,FALSE())</f>
        <v>#N/A</v>
      </c>
      <c r="F268" s="322" t="e">
        <f aca="false">bordro810[[#This Row],[Saat]]*bordro810[[#This Row],[S.Ücret]]</f>
        <v>#N/A</v>
      </c>
      <c r="G268" s="352" t="n">
        <v>0</v>
      </c>
      <c r="H268" s="352"/>
      <c r="I268" s="329" t="e">
        <f aca="false">bordro810[[#This Row],[Ödeme]]-bordro810[[#This Row],[M. Tutar]]</f>
        <v>#N/A</v>
      </c>
      <c r="J268" s="350" t="n">
        <f aca="false">SUMIF(bordro810[Personel],bordro810[[#This Row],[Personel]],F$3:F268)-SUMIF(bordro810[Personel],bordro810[[#This Row],[Personel]],G$3:G268)</f>
        <v>0</v>
      </c>
      <c r="K268" s="351" t="str">
        <f aca="false">TEXT(bordro810[[#This Row],[Tarih]],"yyyy")</f>
        <v>1899</v>
      </c>
      <c r="L268" s="1" t="str">
        <f aca="false">TEXT(bordro810[[#This Row],[Tarih]],"yyyy/aa")</f>
        <v>1899.aa</v>
      </c>
      <c r="M268" s="1" t="str">
        <f aca="false">TEXT(bordro810[[#This Row],[Tarih]],"gggg")</f>
        <v>ADMS</v>
      </c>
      <c r="N268" s="1" t="e">
        <f aca="false">VLOOKUP(B268,PersonelListesi!A$1:G$41,4,FALSE())</f>
        <v>#N/A</v>
      </c>
      <c r="O268" s="363"/>
    </row>
    <row r="269" customFormat="false" ht="15" hidden="false" customHeight="false" outlineLevel="0" collapsed="false">
      <c r="B269" s="364"/>
      <c r="C269" s="364"/>
      <c r="D269" s="361"/>
      <c r="E269" s="312" t="e">
        <f aca="false">VLOOKUP(B269,PersonelListesi!A$1:G$47,5,FALSE())</f>
        <v>#N/A</v>
      </c>
      <c r="F269" s="322" t="e">
        <f aca="false">bordro810[[#This Row],[Saat]]*bordro810[[#This Row],[S.Ücret]]</f>
        <v>#N/A</v>
      </c>
      <c r="G269" s="352" t="n">
        <v>0</v>
      </c>
      <c r="H269" s="352"/>
      <c r="I269" s="329" t="e">
        <f aca="false">bordro810[[#This Row],[Ödeme]]-bordro810[[#This Row],[M. Tutar]]</f>
        <v>#N/A</v>
      </c>
      <c r="J269" s="350" t="n">
        <f aca="false">SUMIF(bordro810[Personel],bordro810[[#This Row],[Personel]],F$3:F269)-SUMIF(bordro810[Personel],bordro810[[#This Row],[Personel]],G$3:G269)</f>
        <v>0</v>
      </c>
      <c r="K269" s="351" t="str">
        <f aca="false">TEXT(bordro810[[#This Row],[Tarih]],"yyyy")</f>
        <v>1899</v>
      </c>
      <c r="L269" s="1" t="str">
        <f aca="false">TEXT(bordro810[[#This Row],[Tarih]],"yyyy/aa")</f>
        <v>1899.aa</v>
      </c>
      <c r="M269" s="1" t="str">
        <f aca="false">TEXT(bordro810[[#This Row],[Tarih]],"gggg")</f>
        <v>ADMS</v>
      </c>
      <c r="N269" s="1" t="e">
        <f aca="false">VLOOKUP(B269,PersonelListesi!A$1:G$41,4,FALSE())</f>
        <v>#N/A</v>
      </c>
      <c r="O269" s="363"/>
    </row>
    <row r="270" customFormat="false" ht="15" hidden="false" customHeight="false" outlineLevel="0" collapsed="false">
      <c r="B270" s="364"/>
      <c r="C270" s="364"/>
      <c r="D270" s="361"/>
      <c r="E270" s="312" t="e">
        <f aca="false">VLOOKUP(B270,PersonelListesi!A$1:G$47,5,FALSE())</f>
        <v>#N/A</v>
      </c>
      <c r="F270" s="322" t="e">
        <f aca="false">bordro810[[#This Row],[Saat]]*bordro810[[#This Row],[S.Ücret]]</f>
        <v>#N/A</v>
      </c>
      <c r="G270" s="352" t="n">
        <v>0</v>
      </c>
      <c r="H270" s="352"/>
      <c r="I270" s="329" t="e">
        <f aca="false">bordro810[[#This Row],[Ödeme]]-bordro810[[#This Row],[M. Tutar]]</f>
        <v>#N/A</v>
      </c>
      <c r="J270" s="350" t="n">
        <f aca="false">SUMIF(bordro810[Personel],bordro810[[#This Row],[Personel]],F$3:F270)-SUMIF(bordro810[Personel],bordro810[[#This Row],[Personel]],G$3:G270)</f>
        <v>0</v>
      </c>
      <c r="K270" s="351" t="str">
        <f aca="false">TEXT(bordro810[[#This Row],[Tarih]],"yyyy")</f>
        <v>1899</v>
      </c>
      <c r="L270" s="1" t="str">
        <f aca="false">TEXT(bordro810[[#This Row],[Tarih]],"yyyy/aa")</f>
        <v>1899.aa</v>
      </c>
      <c r="M270" s="1" t="str">
        <f aca="false">TEXT(bordro810[[#This Row],[Tarih]],"gggg")</f>
        <v>ADMS</v>
      </c>
      <c r="N270" s="1" t="e">
        <f aca="false">VLOOKUP(B270,PersonelListesi!A$1:G$41,4,FALSE())</f>
        <v>#N/A</v>
      </c>
      <c r="O270" s="363"/>
    </row>
    <row r="271" customFormat="false" ht="15" hidden="false" customHeight="false" outlineLevel="0" collapsed="false">
      <c r="B271" s="364"/>
      <c r="C271" s="364"/>
      <c r="D271" s="361"/>
      <c r="E271" s="312" t="e">
        <f aca="false">VLOOKUP(B271,PersonelListesi!A$1:G$47,5,FALSE())</f>
        <v>#N/A</v>
      </c>
      <c r="F271" s="322" t="e">
        <f aca="false">bordro810[[#This Row],[Saat]]*bordro810[[#This Row],[S.Ücret]]</f>
        <v>#N/A</v>
      </c>
      <c r="G271" s="352" t="n">
        <v>0</v>
      </c>
      <c r="H271" s="352"/>
      <c r="I271" s="329" t="e">
        <f aca="false">bordro810[[#This Row],[Ödeme]]-bordro810[[#This Row],[M. Tutar]]</f>
        <v>#N/A</v>
      </c>
      <c r="J271" s="350" t="n">
        <f aca="false">SUMIF(bordro810[Personel],bordro810[[#This Row],[Personel]],F$3:F271)-SUMIF(bordro810[Personel],bordro810[[#This Row],[Personel]],G$3:G271)</f>
        <v>0</v>
      </c>
      <c r="K271" s="351" t="str">
        <f aca="false">TEXT(bordro810[[#This Row],[Tarih]],"yyyy")</f>
        <v>1899</v>
      </c>
      <c r="L271" s="1" t="str">
        <f aca="false">TEXT(bordro810[[#This Row],[Tarih]],"yyyy/aa")</f>
        <v>1899.aa</v>
      </c>
      <c r="M271" s="1" t="str">
        <f aca="false">TEXT(bordro810[[#This Row],[Tarih]],"gggg")</f>
        <v>ADMS</v>
      </c>
      <c r="N271" s="1" t="e">
        <f aca="false">VLOOKUP(B271,PersonelListesi!A$1:G$41,4,FALSE())</f>
        <v>#N/A</v>
      </c>
      <c r="O271" s="363"/>
    </row>
    <row r="272" customFormat="false" ht="15" hidden="false" customHeight="false" outlineLevel="0" collapsed="false">
      <c r="B272" s="364"/>
      <c r="C272" s="364"/>
      <c r="D272" s="361"/>
      <c r="E272" s="312" t="e">
        <f aca="false">VLOOKUP(B272,PersonelListesi!A$1:G$47,5,FALSE())</f>
        <v>#N/A</v>
      </c>
      <c r="F272" s="322" t="e">
        <f aca="false">bordro810[[#This Row],[Saat]]*bordro810[[#This Row],[S.Ücret]]</f>
        <v>#N/A</v>
      </c>
      <c r="G272" s="352" t="n">
        <v>0</v>
      </c>
      <c r="H272" s="352"/>
      <c r="I272" s="329" t="e">
        <f aca="false">bordro810[[#This Row],[Ödeme]]-bordro810[[#This Row],[M. Tutar]]</f>
        <v>#N/A</v>
      </c>
      <c r="J272" s="350" t="n">
        <f aca="false">SUMIF(bordro810[Personel],bordro810[[#This Row],[Personel]],F$3:F272)-SUMIF(bordro810[Personel],bordro810[[#This Row],[Personel]],G$3:G272)</f>
        <v>0</v>
      </c>
      <c r="K272" s="351" t="str">
        <f aca="false">TEXT(bordro810[[#This Row],[Tarih]],"yyyy")</f>
        <v>1899</v>
      </c>
      <c r="L272" s="1" t="str">
        <f aca="false">TEXT(bordro810[[#This Row],[Tarih]],"yyyy/aa")</f>
        <v>1899.aa</v>
      </c>
      <c r="M272" s="1" t="str">
        <f aca="false">TEXT(bordro810[[#This Row],[Tarih]],"gggg")</f>
        <v>ADMS</v>
      </c>
      <c r="N272" s="1" t="e">
        <f aca="false">VLOOKUP(B272,PersonelListesi!A$1:G$41,4,FALSE())</f>
        <v>#N/A</v>
      </c>
      <c r="O272" s="363"/>
    </row>
    <row r="273" customFormat="false" ht="15" hidden="false" customHeight="false" outlineLevel="0" collapsed="false">
      <c r="B273" s="364"/>
      <c r="C273" s="364"/>
      <c r="D273" s="361"/>
      <c r="E273" s="312" t="e">
        <f aca="false">VLOOKUP(B273,PersonelListesi!A$1:G$47,5,FALSE())</f>
        <v>#N/A</v>
      </c>
      <c r="F273" s="322" t="e">
        <f aca="false">bordro810[[#This Row],[Saat]]*bordro810[[#This Row],[S.Ücret]]</f>
        <v>#N/A</v>
      </c>
      <c r="G273" s="352" t="n">
        <v>0</v>
      </c>
      <c r="H273" s="352"/>
      <c r="I273" s="329" t="e">
        <f aca="false">bordro810[[#This Row],[Ödeme]]-bordro810[[#This Row],[M. Tutar]]</f>
        <v>#N/A</v>
      </c>
      <c r="J273" s="350" t="n">
        <f aca="false">SUMIF(bordro810[Personel],bordro810[[#This Row],[Personel]],F$3:F273)-SUMIF(bordro810[Personel],bordro810[[#This Row],[Personel]],G$3:G273)</f>
        <v>0</v>
      </c>
      <c r="K273" s="351" t="str">
        <f aca="false">TEXT(bordro810[[#This Row],[Tarih]],"yyyy")</f>
        <v>1899</v>
      </c>
      <c r="L273" s="1" t="str">
        <f aca="false">TEXT(bordro810[[#This Row],[Tarih]],"yyyy/aa")</f>
        <v>1899.aa</v>
      </c>
      <c r="M273" s="1" t="str">
        <f aca="false">TEXT(bordro810[[#This Row],[Tarih]],"gggg")</f>
        <v>ADMS</v>
      </c>
      <c r="N273" s="1" t="e">
        <f aca="false">VLOOKUP(B273,PersonelListesi!A$1:G$41,4,FALSE())</f>
        <v>#N/A</v>
      </c>
      <c r="O273" s="363"/>
    </row>
    <row r="274" customFormat="false" ht="15" hidden="false" customHeight="false" outlineLevel="0" collapsed="false">
      <c r="B274" s="364"/>
      <c r="C274" s="364"/>
      <c r="D274" s="361"/>
      <c r="E274" s="312" t="e">
        <f aca="false">VLOOKUP(B274,PersonelListesi!A$1:G$47,5,FALSE())</f>
        <v>#N/A</v>
      </c>
      <c r="F274" s="322" t="e">
        <f aca="false">bordro810[[#This Row],[Saat]]*bordro810[[#This Row],[S.Ücret]]</f>
        <v>#N/A</v>
      </c>
      <c r="G274" s="352" t="n">
        <v>0</v>
      </c>
      <c r="H274" s="352"/>
      <c r="I274" s="329" t="e">
        <f aca="false">bordro810[[#This Row],[Ödeme]]-bordro810[[#This Row],[M. Tutar]]</f>
        <v>#N/A</v>
      </c>
      <c r="J274" s="350" t="n">
        <f aca="false">SUMIF(bordro810[Personel],bordro810[[#This Row],[Personel]],F$3:F274)-SUMIF(bordro810[Personel],bordro810[[#This Row],[Personel]],G$3:G274)</f>
        <v>0</v>
      </c>
      <c r="K274" s="351" t="str">
        <f aca="false">TEXT(bordro810[[#This Row],[Tarih]],"yyyy")</f>
        <v>1899</v>
      </c>
      <c r="L274" s="1" t="str">
        <f aca="false">TEXT(bordro810[[#This Row],[Tarih]],"yyyy/aa")</f>
        <v>1899.aa</v>
      </c>
      <c r="M274" s="1" t="str">
        <f aca="false">TEXT(bordro810[[#This Row],[Tarih]],"gggg")</f>
        <v>ADMS</v>
      </c>
      <c r="N274" s="1" t="e">
        <f aca="false">VLOOKUP(B274,PersonelListesi!A$1:G$41,4,FALSE())</f>
        <v>#N/A</v>
      </c>
      <c r="O274" s="363"/>
    </row>
    <row r="275" customFormat="false" ht="15" hidden="false" customHeight="false" outlineLevel="0" collapsed="false">
      <c r="B275" s="364"/>
      <c r="C275" s="364"/>
      <c r="D275" s="361"/>
      <c r="E275" s="312" t="e">
        <f aca="false">VLOOKUP(B275,PersonelListesi!A$1:G$47,5,FALSE())</f>
        <v>#N/A</v>
      </c>
      <c r="F275" s="322" t="e">
        <f aca="false">bordro810[[#This Row],[Saat]]*bordro810[[#This Row],[S.Ücret]]</f>
        <v>#N/A</v>
      </c>
      <c r="G275" s="352" t="n">
        <v>0</v>
      </c>
      <c r="H275" s="352"/>
      <c r="I275" s="329" t="e">
        <f aca="false">bordro810[[#This Row],[Ödeme]]-bordro810[[#This Row],[M. Tutar]]</f>
        <v>#N/A</v>
      </c>
      <c r="J275" s="350" t="n">
        <f aca="false">SUMIF(bordro810[Personel],bordro810[[#This Row],[Personel]],F$3:F275)-SUMIF(bordro810[Personel],bordro810[[#This Row],[Personel]],G$3:G275)</f>
        <v>0</v>
      </c>
      <c r="K275" s="351" t="str">
        <f aca="false">TEXT(bordro810[[#This Row],[Tarih]],"yyyy")</f>
        <v>1899</v>
      </c>
      <c r="L275" s="1" t="str">
        <f aca="false">TEXT(bordro810[[#This Row],[Tarih]],"yyyy/aa")</f>
        <v>1899.aa</v>
      </c>
      <c r="M275" s="1" t="str">
        <f aca="false">TEXT(bordro810[[#This Row],[Tarih]],"gggg")</f>
        <v>ADMS</v>
      </c>
      <c r="N275" s="1" t="e">
        <f aca="false">VLOOKUP(B275,PersonelListesi!A$1:G$41,4,FALSE())</f>
        <v>#N/A</v>
      </c>
      <c r="O275" s="363"/>
    </row>
    <row r="276" customFormat="false" ht="15" hidden="false" customHeight="false" outlineLevel="0" collapsed="false">
      <c r="B276" s="364"/>
      <c r="C276" s="364"/>
      <c r="D276" s="361"/>
      <c r="E276" s="312" t="e">
        <f aca="false">VLOOKUP(B276,PersonelListesi!A$1:G$47,5,FALSE())</f>
        <v>#N/A</v>
      </c>
      <c r="F276" s="322" t="e">
        <f aca="false">bordro810[[#This Row],[Saat]]*bordro810[[#This Row],[S.Ücret]]</f>
        <v>#N/A</v>
      </c>
      <c r="G276" s="352" t="n">
        <v>0</v>
      </c>
      <c r="H276" s="352"/>
      <c r="I276" s="329" t="e">
        <f aca="false">bordro810[[#This Row],[Ödeme]]-bordro810[[#This Row],[M. Tutar]]</f>
        <v>#N/A</v>
      </c>
      <c r="J276" s="350" t="n">
        <f aca="false">SUMIF(bordro810[Personel],bordro810[[#This Row],[Personel]],F$3:F276)-SUMIF(bordro810[Personel],bordro810[[#This Row],[Personel]],G$3:G276)</f>
        <v>0</v>
      </c>
      <c r="K276" s="351" t="str">
        <f aca="false">TEXT(bordro810[[#This Row],[Tarih]],"yyyy")</f>
        <v>1899</v>
      </c>
      <c r="L276" s="1" t="str">
        <f aca="false">TEXT(bordro810[[#This Row],[Tarih]],"yyyy/aa")</f>
        <v>1899.aa</v>
      </c>
      <c r="M276" s="1" t="str">
        <f aca="false">TEXT(bordro810[[#This Row],[Tarih]],"gggg")</f>
        <v>ADMS</v>
      </c>
      <c r="N276" s="1" t="e">
        <f aca="false">VLOOKUP(B276,PersonelListesi!A$1:G$41,4,FALSE())</f>
        <v>#N/A</v>
      </c>
      <c r="O276" s="363"/>
    </row>
    <row r="277" customFormat="false" ht="15" hidden="false" customHeight="false" outlineLevel="0" collapsed="false">
      <c r="B277" s="364"/>
      <c r="C277" s="364"/>
      <c r="D277" s="361"/>
      <c r="E277" s="312" t="e">
        <f aca="false">VLOOKUP(B277,PersonelListesi!A$1:G$47,5,FALSE())</f>
        <v>#N/A</v>
      </c>
      <c r="F277" s="322" t="e">
        <f aca="false">bordro810[[#This Row],[Saat]]*bordro810[[#This Row],[S.Ücret]]</f>
        <v>#N/A</v>
      </c>
      <c r="G277" s="352" t="n">
        <v>0</v>
      </c>
      <c r="H277" s="352"/>
      <c r="I277" s="329" t="e">
        <f aca="false">bordro810[[#This Row],[Ödeme]]-bordro810[[#This Row],[M. Tutar]]</f>
        <v>#N/A</v>
      </c>
      <c r="J277" s="350" t="n">
        <f aca="false">SUMIF(bordro810[Personel],bordro810[[#This Row],[Personel]],F$3:F277)-SUMIF(bordro810[Personel],bordro810[[#This Row],[Personel]],G$3:G277)</f>
        <v>0</v>
      </c>
      <c r="K277" s="351" t="str">
        <f aca="false">TEXT(bordro810[[#This Row],[Tarih]],"yyyy")</f>
        <v>1899</v>
      </c>
      <c r="L277" s="1" t="str">
        <f aca="false">TEXT(bordro810[[#This Row],[Tarih]],"yyyy/aa")</f>
        <v>1899.aa</v>
      </c>
      <c r="M277" s="1" t="str">
        <f aca="false">TEXT(bordro810[[#This Row],[Tarih]],"gggg")</f>
        <v>ADMS</v>
      </c>
      <c r="N277" s="1" t="e">
        <f aca="false">VLOOKUP(B277,PersonelListesi!A$1:G$41,4,FALSE())</f>
        <v>#N/A</v>
      </c>
      <c r="O277" s="363"/>
    </row>
    <row r="278" customFormat="false" ht="15" hidden="false" customHeight="false" outlineLevel="0" collapsed="false">
      <c r="B278" s="364"/>
      <c r="C278" s="364"/>
      <c r="D278" s="361"/>
      <c r="E278" s="312" t="e">
        <f aca="false">VLOOKUP(B278,PersonelListesi!A$1:G$47,5,FALSE())</f>
        <v>#N/A</v>
      </c>
      <c r="F278" s="322" t="e">
        <f aca="false">bordro810[[#This Row],[Saat]]*bordro810[[#This Row],[S.Ücret]]</f>
        <v>#N/A</v>
      </c>
      <c r="G278" s="352" t="n">
        <v>0</v>
      </c>
      <c r="H278" s="352"/>
      <c r="I278" s="329" t="e">
        <f aca="false">bordro810[[#This Row],[Ödeme]]-bordro810[[#This Row],[M. Tutar]]</f>
        <v>#N/A</v>
      </c>
      <c r="J278" s="350" t="n">
        <f aca="false">SUMIF(bordro810[Personel],bordro810[[#This Row],[Personel]],F$3:F278)-SUMIF(bordro810[Personel],bordro810[[#This Row],[Personel]],G$3:G278)</f>
        <v>0</v>
      </c>
      <c r="K278" s="351" t="str">
        <f aca="false">TEXT(bordro810[[#This Row],[Tarih]],"yyyy")</f>
        <v>1899</v>
      </c>
      <c r="L278" s="1" t="str">
        <f aca="false">TEXT(bordro810[[#This Row],[Tarih]],"yyyy/aa")</f>
        <v>1899.aa</v>
      </c>
      <c r="M278" s="1" t="str">
        <f aca="false">TEXT(bordro810[[#This Row],[Tarih]],"gggg")</f>
        <v>ADMS</v>
      </c>
      <c r="N278" s="1" t="e">
        <f aca="false">VLOOKUP(B278,PersonelListesi!A$1:G$41,4,FALSE())</f>
        <v>#N/A</v>
      </c>
      <c r="O278" s="363"/>
    </row>
    <row r="279" customFormat="false" ht="15" hidden="false" customHeight="false" outlineLevel="0" collapsed="false">
      <c r="B279" s="364"/>
      <c r="C279" s="364"/>
      <c r="D279" s="361"/>
      <c r="E279" s="312" t="e">
        <f aca="false">VLOOKUP(B279,PersonelListesi!A$1:G$47,5,FALSE())</f>
        <v>#N/A</v>
      </c>
      <c r="F279" s="322" t="e">
        <f aca="false">bordro810[[#This Row],[Saat]]*bordro810[[#This Row],[S.Ücret]]</f>
        <v>#N/A</v>
      </c>
      <c r="G279" s="352" t="n">
        <v>0</v>
      </c>
      <c r="H279" s="352"/>
      <c r="I279" s="329" t="e">
        <f aca="false">bordro810[[#This Row],[Ödeme]]-bordro810[[#This Row],[M. Tutar]]</f>
        <v>#N/A</v>
      </c>
      <c r="J279" s="350" t="n">
        <f aca="false">SUMIF(bordro810[Personel],bordro810[[#This Row],[Personel]],F$3:F279)-SUMIF(bordro810[Personel],bordro810[[#This Row],[Personel]],G$3:G279)</f>
        <v>0</v>
      </c>
      <c r="K279" s="351" t="str">
        <f aca="false">TEXT(bordro810[[#This Row],[Tarih]],"yyyy")</f>
        <v>1899</v>
      </c>
      <c r="L279" s="1" t="str">
        <f aca="false">TEXT(bordro810[[#This Row],[Tarih]],"yyyy/aa")</f>
        <v>1899.aa</v>
      </c>
      <c r="M279" s="1" t="str">
        <f aca="false">TEXT(bordro810[[#This Row],[Tarih]],"gggg")</f>
        <v>ADMS</v>
      </c>
      <c r="N279" s="1" t="e">
        <f aca="false">VLOOKUP(B279,PersonelListesi!A$1:G$41,4,FALSE())</f>
        <v>#N/A</v>
      </c>
      <c r="O279" s="363"/>
    </row>
    <row r="280" customFormat="false" ht="15" hidden="false" customHeight="false" outlineLevel="0" collapsed="false">
      <c r="B280" s="364"/>
      <c r="C280" s="364"/>
      <c r="D280" s="361"/>
      <c r="E280" s="312" t="e">
        <f aca="false">VLOOKUP(B280,PersonelListesi!A$1:G$47,5,FALSE())</f>
        <v>#N/A</v>
      </c>
      <c r="F280" s="322" t="e">
        <f aca="false">bordro810[[#This Row],[Saat]]*bordro810[[#This Row],[S.Ücret]]</f>
        <v>#N/A</v>
      </c>
      <c r="G280" s="352" t="n">
        <v>0</v>
      </c>
      <c r="H280" s="352"/>
      <c r="I280" s="329" t="e">
        <f aca="false">bordro810[[#This Row],[Ödeme]]-bordro810[[#This Row],[M. Tutar]]</f>
        <v>#N/A</v>
      </c>
      <c r="J280" s="350" t="n">
        <f aca="false">SUMIF(bordro810[Personel],bordro810[[#This Row],[Personel]],F$3:F280)-SUMIF(bordro810[Personel],bordro810[[#This Row],[Personel]],G$3:G280)</f>
        <v>0</v>
      </c>
      <c r="K280" s="351" t="str">
        <f aca="false">TEXT(bordro810[[#This Row],[Tarih]],"yyyy")</f>
        <v>1899</v>
      </c>
      <c r="L280" s="1" t="str">
        <f aca="false">TEXT(bordro810[[#This Row],[Tarih]],"yyyy/aa")</f>
        <v>1899.aa</v>
      </c>
      <c r="M280" s="1" t="str">
        <f aca="false">TEXT(bordro810[[#This Row],[Tarih]],"gggg")</f>
        <v>ADMS</v>
      </c>
      <c r="N280" s="1" t="e">
        <f aca="false">VLOOKUP(B280,PersonelListesi!A$1:G$41,4,FALSE())</f>
        <v>#N/A</v>
      </c>
      <c r="O280" s="363"/>
    </row>
    <row r="281" customFormat="false" ht="15" hidden="false" customHeight="false" outlineLevel="0" collapsed="false">
      <c r="B281" s="364"/>
      <c r="C281" s="364"/>
      <c r="D281" s="361"/>
      <c r="E281" s="312" t="e">
        <f aca="false">VLOOKUP(B281,PersonelListesi!A$1:G$47,5,FALSE())</f>
        <v>#N/A</v>
      </c>
      <c r="F281" s="322" t="e">
        <f aca="false">bordro810[[#This Row],[Saat]]*bordro810[[#This Row],[S.Ücret]]</f>
        <v>#N/A</v>
      </c>
      <c r="G281" s="352" t="n">
        <v>0</v>
      </c>
      <c r="H281" s="352"/>
      <c r="I281" s="329" t="e">
        <f aca="false">bordro810[[#This Row],[Ödeme]]-bordro810[[#This Row],[M. Tutar]]</f>
        <v>#N/A</v>
      </c>
      <c r="J281" s="350" t="n">
        <f aca="false">SUMIF(bordro810[Personel],bordro810[[#This Row],[Personel]],F$3:F281)-SUMIF(bordro810[Personel],bordro810[[#This Row],[Personel]],G$3:G281)</f>
        <v>0</v>
      </c>
      <c r="K281" s="351" t="str">
        <f aca="false">TEXT(bordro810[[#This Row],[Tarih]],"yyyy")</f>
        <v>1899</v>
      </c>
      <c r="L281" s="1" t="str">
        <f aca="false">TEXT(bordro810[[#This Row],[Tarih]],"yyyy/aa")</f>
        <v>1899.aa</v>
      </c>
      <c r="M281" s="1" t="str">
        <f aca="false">TEXT(bordro810[[#This Row],[Tarih]],"gggg")</f>
        <v>ADMS</v>
      </c>
      <c r="N281" s="1" t="e">
        <f aca="false">VLOOKUP(B281,PersonelListesi!A$1:G$41,4,FALSE())</f>
        <v>#N/A</v>
      </c>
      <c r="O281" s="363"/>
    </row>
    <row r="282" customFormat="false" ht="15" hidden="false" customHeight="false" outlineLevel="0" collapsed="false">
      <c r="B282" s="364"/>
      <c r="C282" s="364"/>
      <c r="D282" s="361"/>
      <c r="E282" s="312" t="e">
        <f aca="false">VLOOKUP(B282,PersonelListesi!A$1:G$47,5,FALSE())</f>
        <v>#N/A</v>
      </c>
      <c r="F282" s="322" t="e">
        <f aca="false">bordro810[[#This Row],[Saat]]*bordro810[[#This Row],[S.Ücret]]</f>
        <v>#N/A</v>
      </c>
      <c r="G282" s="352" t="n">
        <v>0</v>
      </c>
      <c r="H282" s="352"/>
      <c r="I282" s="329" t="e">
        <f aca="false">bordro810[[#This Row],[Ödeme]]-bordro810[[#This Row],[M. Tutar]]</f>
        <v>#N/A</v>
      </c>
      <c r="J282" s="350" t="n">
        <f aca="false">SUMIF(bordro810[Personel],bordro810[[#This Row],[Personel]],F$3:F282)-SUMIF(bordro810[Personel],bordro810[[#This Row],[Personel]],G$3:G282)</f>
        <v>0</v>
      </c>
      <c r="K282" s="351" t="str">
        <f aca="false">TEXT(bordro810[[#This Row],[Tarih]],"yyyy")</f>
        <v>1899</v>
      </c>
      <c r="L282" s="1" t="str">
        <f aca="false">TEXT(bordro810[[#This Row],[Tarih]],"yyyy/aa")</f>
        <v>1899.aa</v>
      </c>
      <c r="M282" s="1" t="str">
        <f aca="false">TEXT(bordro810[[#This Row],[Tarih]],"gggg")</f>
        <v>ADMS</v>
      </c>
      <c r="N282" s="1" t="e">
        <f aca="false">VLOOKUP(B282,PersonelListesi!A$1:G$41,4,FALSE())</f>
        <v>#N/A</v>
      </c>
      <c r="O282" s="363"/>
    </row>
    <row r="283" customFormat="false" ht="15" hidden="false" customHeight="false" outlineLevel="0" collapsed="false">
      <c r="B283" s="364"/>
      <c r="C283" s="364"/>
      <c r="D283" s="361"/>
      <c r="E283" s="312" t="e">
        <f aca="false">VLOOKUP(B283,PersonelListesi!A$1:G$47,5,FALSE())</f>
        <v>#N/A</v>
      </c>
      <c r="F283" s="322" t="e">
        <f aca="false">bordro810[[#This Row],[Saat]]*bordro810[[#This Row],[S.Ücret]]</f>
        <v>#N/A</v>
      </c>
      <c r="G283" s="352" t="n">
        <v>0</v>
      </c>
      <c r="H283" s="352"/>
      <c r="I283" s="329" t="e">
        <f aca="false">bordro810[[#This Row],[Ödeme]]-bordro810[[#This Row],[M. Tutar]]</f>
        <v>#N/A</v>
      </c>
      <c r="J283" s="350" t="n">
        <f aca="false">SUMIF(bordro810[Personel],bordro810[[#This Row],[Personel]],F$3:F283)-SUMIF(bordro810[Personel],bordro810[[#This Row],[Personel]],G$3:G283)</f>
        <v>0</v>
      </c>
      <c r="K283" s="351" t="str">
        <f aca="false">TEXT(bordro810[[#This Row],[Tarih]],"yyyy")</f>
        <v>1899</v>
      </c>
      <c r="L283" s="1" t="str">
        <f aca="false">TEXT(bordro810[[#This Row],[Tarih]],"yyyy/aa")</f>
        <v>1899.aa</v>
      </c>
      <c r="M283" s="1" t="str">
        <f aca="false">TEXT(bordro810[[#This Row],[Tarih]],"gggg")</f>
        <v>ADMS</v>
      </c>
      <c r="N283" s="1" t="e">
        <f aca="false">VLOOKUP(B283,PersonelListesi!A$1:G$41,4,FALSE())</f>
        <v>#N/A</v>
      </c>
      <c r="O283" s="363"/>
    </row>
    <row r="284" customFormat="false" ht="15" hidden="false" customHeight="false" outlineLevel="0" collapsed="false">
      <c r="B284" s="364"/>
      <c r="C284" s="364"/>
      <c r="D284" s="361"/>
      <c r="E284" s="312" t="e">
        <f aca="false">VLOOKUP(B284,PersonelListesi!A$1:G$47,5,FALSE())</f>
        <v>#N/A</v>
      </c>
      <c r="F284" s="322" t="e">
        <f aca="false">bordro810[[#This Row],[Saat]]*bordro810[[#This Row],[S.Ücret]]</f>
        <v>#N/A</v>
      </c>
      <c r="G284" s="352" t="n">
        <v>0</v>
      </c>
      <c r="H284" s="352"/>
      <c r="I284" s="329" t="e">
        <f aca="false">bordro810[[#This Row],[Ödeme]]-bordro810[[#This Row],[M. Tutar]]</f>
        <v>#N/A</v>
      </c>
      <c r="J284" s="350" t="n">
        <f aca="false">SUMIF(bordro810[Personel],bordro810[[#This Row],[Personel]],F$3:F284)-SUMIF(bordro810[Personel],bordro810[[#This Row],[Personel]],G$3:G284)</f>
        <v>0</v>
      </c>
      <c r="K284" s="351" t="str">
        <f aca="false">TEXT(bordro810[[#This Row],[Tarih]],"yyyy")</f>
        <v>1899</v>
      </c>
      <c r="L284" s="1" t="str">
        <f aca="false">TEXT(bordro810[[#This Row],[Tarih]],"yyyy/aa")</f>
        <v>1899.aa</v>
      </c>
      <c r="M284" s="1" t="str">
        <f aca="false">TEXT(bordro810[[#This Row],[Tarih]],"gggg")</f>
        <v>ADMS</v>
      </c>
      <c r="N284" s="1" t="e">
        <f aca="false">VLOOKUP(B284,PersonelListesi!A$1:G$41,4,FALSE())</f>
        <v>#N/A</v>
      </c>
      <c r="O284" s="363"/>
    </row>
    <row r="285" customFormat="false" ht="15" hidden="false" customHeight="false" outlineLevel="0" collapsed="false">
      <c r="B285" s="364"/>
      <c r="C285" s="364"/>
      <c r="D285" s="361"/>
      <c r="E285" s="312" t="e">
        <f aca="false">VLOOKUP(B285,PersonelListesi!A$1:G$47,5,FALSE())</f>
        <v>#N/A</v>
      </c>
      <c r="F285" s="322" t="e">
        <f aca="false">bordro810[[#This Row],[Saat]]*bordro810[[#This Row],[S.Ücret]]</f>
        <v>#N/A</v>
      </c>
      <c r="G285" s="352" t="n">
        <v>0</v>
      </c>
      <c r="H285" s="352"/>
      <c r="I285" s="329" t="e">
        <f aca="false">bordro810[[#This Row],[Ödeme]]-bordro810[[#This Row],[M. Tutar]]</f>
        <v>#N/A</v>
      </c>
      <c r="J285" s="350" t="n">
        <f aca="false">SUMIF(bordro810[Personel],bordro810[[#This Row],[Personel]],F$3:F285)-SUMIF(bordro810[Personel],bordro810[[#This Row],[Personel]],G$3:G285)</f>
        <v>0</v>
      </c>
      <c r="K285" s="351" t="str">
        <f aca="false">TEXT(bordro810[[#This Row],[Tarih]],"yyyy")</f>
        <v>1899</v>
      </c>
      <c r="L285" s="1" t="str">
        <f aca="false">TEXT(bordro810[[#This Row],[Tarih]],"yyyy/aa")</f>
        <v>1899.aa</v>
      </c>
      <c r="M285" s="1" t="str">
        <f aca="false">TEXT(bordro810[[#This Row],[Tarih]],"gggg")</f>
        <v>ADMS</v>
      </c>
      <c r="N285" s="1" t="e">
        <f aca="false">VLOOKUP(B285,PersonelListesi!A$1:G$41,4,FALSE())</f>
        <v>#N/A</v>
      </c>
      <c r="O285" s="363"/>
    </row>
    <row r="286" customFormat="false" ht="15" hidden="false" customHeight="false" outlineLevel="0" collapsed="false">
      <c r="B286" s="364"/>
      <c r="C286" s="364"/>
      <c r="D286" s="361"/>
      <c r="E286" s="312" t="e">
        <f aca="false">VLOOKUP(B286,PersonelListesi!A$1:G$47,5,FALSE())</f>
        <v>#N/A</v>
      </c>
      <c r="F286" s="322" t="e">
        <f aca="false">bordro810[[#This Row],[Saat]]*bordro810[[#This Row],[S.Ücret]]</f>
        <v>#N/A</v>
      </c>
      <c r="G286" s="352" t="n">
        <v>0</v>
      </c>
      <c r="H286" s="352"/>
      <c r="I286" s="329" t="e">
        <f aca="false">bordro810[[#This Row],[Ödeme]]-bordro810[[#This Row],[M. Tutar]]</f>
        <v>#N/A</v>
      </c>
      <c r="J286" s="350" t="n">
        <f aca="false">SUMIF(bordro810[Personel],bordro810[[#This Row],[Personel]],F$3:F286)-SUMIF(bordro810[Personel],bordro810[[#This Row],[Personel]],G$3:G286)</f>
        <v>0</v>
      </c>
      <c r="K286" s="351" t="str">
        <f aca="false">TEXT(bordro810[[#This Row],[Tarih]],"yyyy")</f>
        <v>1899</v>
      </c>
      <c r="L286" s="1" t="str">
        <f aca="false">TEXT(bordro810[[#This Row],[Tarih]],"yyyy/aa")</f>
        <v>1899.aa</v>
      </c>
      <c r="M286" s="1" t="str">
        <f aca="false">TEXT(bordro810[[#This Row],[Tarih]],"gggg")</f>
        <v>ADMS</v>
      </c>
      <c r="N286" s="1" t="e">
        <f aca="false">VLOOKUP(B286,PersonelListesi!A$1:G$41,4,FALSE())</f>
        <v>#N/A</v>
      </c>
      <c r="O286" s="363"/>
    </row>
    <row r="287" customFormat="false" ht="15" hidden="false" customHeight="false" outlineLevel="0" collapsed="false">
      <c r="B287" s="364"/>
      <c r="C287" s="364"/>
      <c r="D287" s="361"/>
      <c r="E287" s="312" t="e">
        <f aca="false">VLOOKUP(B287,PersonelListesi!A$1:G$47,5,FALSE())</f>
        <v>#N/A</v>
      </c>
      <c r="F287" s="322" t="e">
        <f aca="false">bordro810[[#This Row],[Saat]]*bordro810[[#This Row],[S.Ücret]]</f>
        <v>#N/A</v>
      </c>
      <c r="G287" s="352" t="n">
        <v>0</v>
      </c>
      <c r="H287" s="352"/>
      <c r="I287" s="329" t="e">
        <f aca="false">bordro810[[#This Row],[Ödeme]]-bordro810[[#This Row],[M. Tutar]]</f>
        <v>#N/A</v>
      </c>
      <c r="J287" s="350" t="n">
        <f aca="false">SUMIF(bordro810[Personel],bordro810[[#This Row],[Personel]],F$3:F287)-SUMIF(bordro810[Personel],bordro810[[#This Row],[Personel]],G$3:G287)</f>
        <v>0</v>
      </c>
      <c r="K287" s="351" t="str">
        <f aca="false">TEXT(bordro810[[#This Row],[Tarih]],"yyyy")</f>
        <v>1899</v>
      </c>
      <c r="L287" s="1" t="str">
        <f aca="false">TEXT(bordro810[[#This Row],[Tarih]],"yyyy/aa")</f>
        <v>1899.aa</v>
      </c>
      <c r="M287" s="1" t="str">
        <f aca="false">TEXT(bordro810[[#This Row],[Tarih]],"gggg")</f>
        <v>ADMS</v>
      </c>
      <c r="N287" s="1" t="e">
        <f aca="false">VLOOKUP(B287,PersonelListesi!A$1:G$41,4,FALSE())</f>
        <v>#N/A</v>
      </c>
      <c r="O287" s="363"/>
    </row>
    <row r="288" customFormat="false" ht="15" hidden="false" customHeight="false" outlineLevel="0" collapsed="false">
      <c r="B288" s="364"/>
      <c r="C288" s="364"/>
      <c r="D288" s="361"/>
      <c r="E288" s="312" t="e">
        <f aca="false">VLOOKUP(B288,PersonelListesi!A$1:G$47,5,FALSE())</f>
        <v>#N/A</v>
      </c>
      <c r="F288" s="322" t="e">
        <f aca="false">bordro810[[#This Row],[Saat]]*bordro810[[#This Row],[S.Ücret]]</f>
        <v>#N/A</v>
      </c>
      <c r="G288" s="352" t="n">
        <v>0</v>
      </c>
      <c r="H288" s="352"/>
      <c r="I288" s="329" t="e">
        <f aca="false">bordro810[[#This Row],[Ödeme]]-bordro810[[#This Row],[M. Tutar]]</f>
        <v>#N/A</v>
      </c>
      <c r="J288" s="350" t="n">
        <f aca="false">SUMIF(bordro810[Personel],bordro810[[#This Row],[Personel]],F$3:F288)-SUMIF(bordro810[Personel],bordro810[[#This Row],[Personel]],G$3:G288)</f>
        <v>0</v>
      </c>
      <c r="K288" s="351" t="str">
        <f aca="false">TEXT(bordro810[[#This Row],[Tarih]],"yyyy")</f>
        <v>1899</v>
      </c>
      <c r="L288" s="1" t="str">
        <f aca="false">TEXT(bordro810[[#This Row],[Tarih]],"yyyy/aa")</f>
        <v>1899.aa</v>
      </c>
      <c r="M288" s="1" t="str">
        <f aca="false">TEXT(bordro810[[#This Row],[Tarih]],"gggg")</f>
        <v>ADMS</v>
      </c>
      <c r="N288" s="1" t="e">
        <f aca="false">VLOOKUP(B288,PersonelListesi!A$1:G$41,4,FALSE())</f>
        <v>#N/A</v>
      </c>
      <c r="O288" s="363"/>
    </row>
    <row r="289" customFormat="false" ht="15" hidden="false" customHeight="false" outlineLevel="0" collapsed="false">
      <c r="B289" s="364"/>
      <c r="C289" s="364"/>
      <c r="D289" s="361"/>
      <c r="E289" s="312" t="e">
        <f aca="false">VLOOKUP(B289,PersonelListesi!A$1:G$47,5,FALSE())</f>
        <v>#N/A</v>
      </c>
      <c r="F289" s="322" t="e">
        <f aca="false">bordro810[[#This Row],[Saat]]*bordro810[[#This Row],[S.Ücret]]</f>
        <v>#N/A</v>
      </c>
      <c r="G289" s="352" t="n">
        <v>0</v>
      </c>
      <c r="H289" s="352"/>
      <c r="I289" s="329" t="e">
        <f aca="false">bordro810[[#This Row],[Ödeme]]-bordro810[[#This Row],[M. Tutar]]</f>
        <v>#N/A</v>
      </c>
      <c r="J289" s="350" t="n">
        <f aca="false">SUMIF(bordro810[Personel],bordro810[[#This Row],[Personel]],F$3:F289)-SUMIF(bordro810[Personel],bordro810[[#This Row],[Personel]],G$3:G289)</f>
        <v>0</v>
      </c>
      <c r="K289" s="351" t="str">
        <f aca="false">TEXT(bordro810[[#This Row],[Tarih]],"yyyy")</f>
        <v>1899</v>
      </c>
      <c r="L289" s="1" t="str">
        <f aca="false">TEXT(bordro810[[#This Row],[Tarih]],"yyyy/aa")</f>
        <v>1899.aa</v>
      </c>
      <c r="M289" s="1" t="str">
        <f aca="false">TEXT(bordro810[[#This Row],[Tarih]],"gggg")</f>
        <v>ADMS</v>
      </c>
      <c r="N289" s="1" t="e">
        <f aca="false">VLOOKUP(B289,PersonelListesi!A$1:G$41,4,FALSE())</f>
        <v>#N/A</v>
      </c>
      <c r="O289" s="363"/>
    </row>
    <row r="290" customFormat="false" ht="15" hidden="false" customHeight="false" outlineLevel="0" collapsed="false">
      <c r="B290" s="364"/>
      <c r="C290" s="364"/>
      <c r="D290" s="361"/>
      <c r="E290" s="312" t="e">
        <f aca="false">VLOOKUP(B290,PersonelListesi!A$1:G$47,5,FALSE())</f>
        <v>#N/A</v>
      </c>
      <c r="F290" s="322" t="e">
        <f aca="false">bordro810[[#This Row],[Saat]]*bordro810[[#This Row],[S.Ücret]]</f>
        <v>#N/A</v>
      </c>
      <c r="G290" s="352" t="n">
        <v>0</v>
      </c>
      <c r="H290" s="352"/>
      <c r="I290" s="329" t="e">
        <f aca="false">bordro810[[#This Row],[Ödeme]]-bordro810[[#This Row],[M. Tutar]]</f>
        <v>#N/A</v>
      </c>
      <c r="J290" s="350" t="n">
        <f aca="false">SUMIF(bordro810[Personel],bordro810[[#This Row],[Personel]],F$3:F290)-SUMIF(bordro810[Personel],bordro810[[#This Row],[Personel]],G$3:G290)</f>
        <v>0</v>
      </c>
      <c r="K290" s="351" t="str">
        <f aca="false">TEXT(bordro810[[#This Row],[Tarih]],"yyyy")</f>
        <v>1899</v>
      </c>
      <c r="L290" s="1" t="str">
        <f aca="false">TEXT(bordro810[[#This Row],[Tarih]],"yyyy/aa")</f>
        <v>1899.aa</v>
      </c>
      <c r="M290" s="1" t="str">
        <f aca="false">TEXT(bordro810[[#This Row],[Tarih]],"gggg")</f>
        <v>ADMS</v>
      </c>
      <c r="N290" s="1" t="e">
        <f aca="false">VLOOKUP(B290,PersonelListesi!A$1:G$41,4,FALSE())</f>
        <v>#N/A</v>
      </c>
      <c r="O290" s="363"/>
    </row>
    <row r="291" customFormat="false" ht="15" hidden="false" customHeight="false" outlineLevel="0" collapsed="false">
      <c r="B291" s="364"/>
      <c r="C291" s="364"/>
      <c r="D291" s="361"/>
      <c r="E291" s="312" t="e">
        <f aca="false">VLOOKUP(B291,PersonelListesi!A$1:G$47,5,FALSE())</f>
        <v>#N/A</v>
      </c>
      <c r="F291" s="322" t="e">
        <f aca="false">bordro810[[#This Row],[Saat]]*bordro810[[#This Row],[S.Ücret]]</f>
        <v>#N/A</v>
      </c>
      <c r="G291" s="352" t="n">
        <v>0</v>
      </c>
      <c r="H291" s="352"/>
      <c r="I291" s="329" t="e">
        <f aca="false">bordro810[[#This Row],[Ödeme]]-bordro810[[#This Row],[M. Tutar]]</f>
        <v>#N/A</v>
      </c>
      <c r="J291" s="350" t="n">
        <f aca="false">SUMIF(bordro810[Personel],bordro810[[#This Row],[Personel]],F$3:F291)-SUMIF(bordro810[Personel],bordro810[[#This Row],[Personel]],G$3:G291)</f>
        <v>0</v>
      </c>
      <c r="K291" s="351" t="str">
        <f aca="false">TEXT(bordro810[[#This Row],[Tarih]],"yyyy")</f>
        <v>1899</v>
      </c>
      <c r="L291" s="1" t="str">
        <f aca="false">TEXT(bordro810[[#This Row],[Tarih]],"yyyy/aa")</f>
        <v>1899.aa</v>
      </c>
      <c r="M291" s="1" t="str">
        <f aca="false">TEXT(bordro810[[#This Row],[Tarih]],"gggg")</f>
        <v>ADMS</v>
      </c>
      <c r="N291" s="1" t="e">
        <f aca="false">VLOOKUP(B291,PersonelListesi!A$1:G$41,4,FALSE())</f>
        <v>#N/A</v>
      </c>
      <c r="O291" s="363"/>
    </row>
    <row r="292" customFormat="false" ht="15" hidden="false" customHeight="false" outlineLevel="0" collapsed="false">
      <c r="B292" s="364"/>
      <c r="C292" s="364"/>
      <c r="D292" s="361"/>
      <c r="E292" s="312" t="e">
        <f aca="false">VLOOKUP(B292,PersonelListesi!A$1:G$47,5,FALSE())</f>
        <v>#N/A</v>
      </c>
      <c r="F292" s="322" t="e">
        <f aca="false">bordro810[[#This Row],[Saat]]*bordro810[[#This Row],[S.Ücret]]</f>
        <v>#N/A</v>
      </c>
      <c r="G292" s="352" t="n">
        <v>0</v>
      </c>
      <c r="H292" s="352"/>
      <c r="I292" s="329" t="e">
        <f aca="false">bordro810[[#This Row],[Ödeme]]-bordro810[[#This Row],[M. Tutar]]</f>
        <v>#N/A</v>
      </c>
      <c r="J292" s="350" t="n">
        <f aca="false">SUMIF(bordro810[Personel],bordro810[[#This Row],[Personel]],F$3:F292)-SUMIF(bordro810[Personel],bordro810[[#This Row],[Personel]],G$3:G292)</f>
        <v>0</v>
      </c>
      <c r="K292" s="351" t="str">
        <f aca="false">TEXT(bordro810[[#This Row],[Tarih]],"yyyy")</f>
        <v>1899</v>
      </c>
      <c r="L292" s="1" t="str">
        <f aca="false">TEXT(bordro810[[#This Row],[Tarih]],"yyyy/aa")</f>
        <v>1899.aa</v>
      </c>
      <c r="M292" s="1" t="str">
        <f aca="false">TEXT(bordro810[[#This Row],[Tarih]],"gggg")</f>
        <v>ADMS</v>
      </c>
      <c r="N292" s="1" t="e">
        <f aca="false">VLOOKUP(B292,PersonelListesi!A$1:G$41,4,FALSE())</f>
        <v>#N/A</v>
      </c>
      <c r="O292" s="363"/>
    </row>
    <row r="293" customFormat="false" ht="15" hidden="false" customHeight="false" outlineLevel="0" collapsed="false">
      <c r="B293" s="364"/>
      <c r="C293" s="364"/>
      <c r="D293" s="361"/>
      <c r="E293" s="312" t="e">
        <f aca="false">VLOOKUP(B293,PersonelListesi!A$1:G$47,5,FALSE())</f>
        <v>#N/A</v>
      </c>
      <c r="F293" s="322" t="e">
        <f aca="false">bordro810[[#This Row],[Saat]]*bordro810[[#This Row],[S.Ücret]]</f>
        <v>#N/A</v>
      </c>
      <c r="G293" s="352" t="n">
        <v>0</v>
      </c>
      <c r="H293" s="352"/>
      <c r="I293" s="329" t="e">
        <f aca="false">bordro810[[#This Row],[Ödeme]]-bordro810[[#This Row],[M. Tutar]]</f>
        <v>#N/A</v>
      </c>
      <c r="J293" s="350" t="n">
        <f aca="false">SUMIF(bordro810[Personel],bordro810[[#This Row],[Personel]],F$3:F293)-SUMIF(bordro810[Personel],bordro810[[#This Row],[Personel]],G$3:G293)</f>
        <v>0</v>
      </c>
      <c r="K293" s="351" t="str">
        <f aca="false">TEXT(bordro810[[#This Row],[Tarih]],"yyyy")</f>
        <v>1899</v>
      </c>
      <c r="L293" s="1" t="str">
        <f aca="false">TEXT(bordro810[[#This Row],[Tarih]],"yyyy/aa")</f>
        <v>1899.aa</v>
      </c>
      <c r="M293" s="1" t="str">
        <f aca="false">TEXT(bordro810[[#This Row],[Tarih]],"gggg")</f>
        <v>ADMS</v>
      </c>
      <c r="N293" s="1" t="e">
        <f aca="false">VLOOKUP(B293,PersonelListesi!A$1:G$41,4,FALSE())</f>
        <v>#N/A</v>
      </c>
      <c r="O293" s="363"/>
    </row>
    <row r="294" customFormat="false" ht="15" hidden="false" customHeight="false" outlineLevel="0" collapsed="false">
      <c r="B294" s="364"/>
      <c r="C294" s="364"/>
      <c r="D294" s="361"/>
      <c r="E294" s="312" t="e">
        <f aca="false">VLOOKUP(B294,PersonelListesi!A$1:G$47,5,FALSE())</f>
        <v>#N/A</v>
      </c>
      <c r="F294" s="322" t="e">
        <f aca="false">bordro810[[#This Row],[Saat]]*bordro810[[#This Row],[S.Ücret]]</f>
        <v>#N/A</v>
      </c>
      <c r="G294" s="352" t="n">
        <v>0</v>
      </c>
      <c r="H294" s="352"/>
      <c r="I294" s="329" t="e">
        <f aca="false">bordro810[[#This Row],[Ödeme]]-bordro810[[#This Row],[M. Tutar]]</f>
        <v>#N/A</v>
      </c>
      <c r="J294" s="350" t="n">
        <f aca="false">SUMIF(bordro810[Personel],bordro810[[#This Row],[Personel]],F$3:F294)-SUMIF(bordro810[Personel],bordro810[[#This Row],[Personel]],G$3:G294)</f>
        <v>0</v>
      </c>
      <c r="K294" s="351" t="str">
        <f aca="false">TEXT(bordro810[[#This Row],[Tarih]],"yyyy")</f>
        <v>1899</v>
      </c>
      <c r="L294" s="1" t="str">
        <f aca="false">TEXT(bordro810[[#This Row],[Tarih]],"yyyy/aa")</f>
        <v>1899.aa</v>
      </c>
      <c r="M294" s="1" t="str">
        <f aca="false">TEXT(bordro810[[#This Row],[Tarih]],"gggg")</f>
        <v>ADMS</v>
      </c>
      <c r="N294" s="1" t="e">
        <f aca="false">VLOOKUP(B294,PersonelListesi!A$1:G$41,4,FALSE())</f>
        <v>#N/A</v>
      </c>
      <c r="O294" s="363"/>
    </row>
    <row r="295" customFormat="false" ht="15" hidden="false" customHeight="false" outlineLevel="0" collapsed="false">
      <c r="B295" s="364"/>
      <c r="C295" s="364"/>
      <c r="D295" s="361"/>
      <c r="E295" s="312" t="e">
        <f aca="false">VLOOKUP(B295,PersonelListesi!A$1:G$47,5,FALSE())</f>
        <v>#N/A</v>
      </c>
      <c r="F295" s="322" t="e">
        <f aca="false">bordro810[[#This Row],[Saat]]*bordro810[[#This Row],[S.Ücret]]</f>
        <v>#N/A</v>
      </c>
      <c r="G295" s="352" t="n">
        <v>0</v>
      </c>
      <c r="H295" s="352"/>
      <c r="I295" s="329" t="e">
        <f aca="false">bordro810[[#This Row],[Ödeme]]-bordro810[[#This Row],[M. Tutar]]</f>
        <v>#N/A</v>
      </c>
      <c r="J295" s="350" t="n">
        <f aca="false">SUMIF(bordro810[Personel],bordro810[[#This Row],[Personel]],F$3:F295)-SUMIF(bordro810[Personel],bordro810[[#This Row],[Personel]],G$3:G295)</f>
        <v>0</v>
      </c>
      <c r="K295" s="351" t="str">
        <f aca="false">TEXT(bordro810[[#This Row],[Tarih]],"yyyy")</f>
        <v>1899</v>
      </c>
      <c r="L295" s="1" t="str">
        <f aca="false">TEXT(bordro810[[#This Row],[Tarih]],"yyyy/aa")</f>
        <v>1899.aa</v>
      </c>
      <c r="M295" s="1" t="str">
        <f aca="false">TEXT(bordro810[[#This Row],[Tarih]],"gggg")</f>
        <v>ADMS</v>
      </c>
      <c r="N295" s="1" t="e">
        <f aca="false">VLOOKUP(B295,PersonelListesi!A$1:G$41,4,FALSE())</f>
        <v>#N/A</v>
      </c>
      <c r="O295" s="363"/>
    </row>
    <row r="296" customFormat="false" ht="15" hidden="false" customHeight="false" outlineLevel="0" collapsed="false">
      <c r="B296" s="364"/>
      <c r="C296" s="364"/>
      <c r="D296" s="361"/>
      <c r="E296" s="312" t="e">
        <f aca="false">VLOOKUP(B296,PersonelListesi!A$1:G$47,5,FALSE())</f>
        <v>#N/A</v>
      </c>
      <c r="F296" s="322" t="e">
        <f aca="false">bordro810[[#This Row],[Saat]]*bordro810[[#This Row],[S.Ücret]]</f>
        <v>#N/A</v>
      </c>
      <c r="G296" s="352" t="n">
        <v>0</v>
      </c>
      <c r="H296" s="352"/>
      <c r="I296" s="329" t="e">
        <f aca="false">bordro810[[#This Row],[Ödeme]]-bordro810[[#This Row],[M. Tutar]]</f>
        <v>#N/A</v>
      </c>
      <c r="J296" s="350" t="n">
        <f aca="false">SUMIF(bordro810[Personel],bordro810[[#This Row],[Personel]],F$3:F296)-SUMIF(bordro810[Personel],bordro810[[#This Row],[Personel]],G$3:G296)</f>
        <v>0</v>
      </c>
      <c r="K296" s="351" t="str">
        <f aca="false">TEXT(bordro810[[#This Row],[Tarih]],"yyyy")</f>
        <v>1899</v>
      </c>
      <c r="L296" s="1" t="str">
        <f aca="false">TEXT(bordro810[[#This Row],[Tarih]],"yyyy/aa")</f>
        <v>1899.aa</v>
      </c>
      <c r="M296" s="1" t="str">
        <f aca="false">TEXT(bordro810[[#This Row],[Tarih]],"gggg")</f>
        <v>ADMS</v>
      </c>
      <c r="N296" s="1" t="e">
        <f aca="false">VLOOKUP(B296,PersonelListesi!A$1:G$41,4,FALSE())</f>
        <v>#N/A</v>
      </c>
      <c r="O296" s="363"/>
    </row>
    <row r="297" customFormat="false" ht="15" hidden="false" customHeight="false" outlineLevel="0" collapsed="false">
      <c r="B297" s="364"/>
      <c r="C297" s="364"/>
      <c r="D297" s="361"/>
      <c r="E297" s="312" t="e">
        <f aca="false">VLOOKUP(B297,PersonelListesi!A$1:G$47,5,FALSE())</f>
        <v>#N/A</v>
      </c>
      <c r="F297" s="322" t="e">
        <f aca="false">bordro810[[#This Row],[Saat]]*bordro810[[#This Row],[S.Ücret]]</f>
        <v>#N/A</v>
      </c>
      <c r="G297" s="352" t="n">
        <v>0</v>
      </c>
      <c r="H297" s="352"/>
      <c r="I297" s="329" t="e">
        <f aca="false">bordro810[[#This Row],[Ödeme]]-bordro810[[#This Row],[M. Tutar]]</f>
        <v>#N/A</v>
      </c>
      <c r="J297" s="350" t="n">
        <f aca="false">SUMIF(bordro810[Personel],bordro810[[#This Row],[Personel]],F$3:F297)-SUMIF(bordro810[Personel],bordro810[[#This Row],[Personel]],G$3:G297)</f>
        <v>0</v>
      </c>
      <c r="K297" s="351" t="str">
        <f aca="false">TEXT(bordro810[[#This Row],[Tarih]],"yyyy")</f>
        <v>1899</v>
      </c>
      <c r="L297" s="1" t="str">
        <f aca="false">TEXT(bordro810[[#This Row],[Tarih]],"yyyy/aa")</f>
        <v>1899.aa</v>
      </c>
      <c r="M297" s="1" t="str">
        <f aca="false">TEXT(bordro810[[#This Row],[Tarih]],"gggg")</f>
        <v>ADMS</v>
      </c>
      <c r="N297" s="1" t="e">
        <f aca="false">VLOOKUP(B297,PersonelListesi!A$1:G$41,4,FALSE())</f>
        <v>#N/A</v>
      </c>
      <c r="O297" s="363"/>
    </row>
    <row r="298" customFormat="false" ht="15" hidden="false" customHeight="false" outlineLevel="0" collapsed="false">
      <c r="B298" s="364"/>
      <c r="C298" s="364"/>
      <c r="D298" s="361"/>
      <c r="E298" s="312" t="e">
        <f aca="false">VLOOKUP(B298,PersonelListesi!A$1:G$47,5,FALSE())</f>
        <v>#N/A</v>
      </c>
      <c r="F298" s="322" t="e">
        <f aca="false">bordro810[[#This Row],[Saat]]*bordro810[[#This Row],[S.Ücret]]</f>
        <v>#N/A</v>
      </c>
      <c r="G298" s="352" t="n">
        <v>0</v>
      </c>
      <c r="H298" s="352"/>
      <c r="I298" s="329" t="e">
        <f aca="false">bordro810[[#This Row],[Ödeme]]-bordro810[[#This Row],[M. Tutar]]</f>
        <v>#N/A</v>
      </c>
      <c r="J298" s="350" t="n">
        <f aca="false">SUMIF(bordro810[Personel],bordro810[[#This Row],[Personel]],F$3:F298)-SUMIF(bordro810[Personel],bordro810[[#This Row],[Personel]],G$3:G298)</f>
        <v>0</v>
      </c>
      <c r="K298" s="351" t="str">
        <f aca="false">TEXT(bordro810[[#This Row],[Tarih]],"yyyy")</f>
        <v>1899</v>
      </c>
      <c r="L298" s="1" t="str">
        <f aca="false">TEXT(bordro810[[#This Row],[Tarih]],"yyyy/aa")</f>
        <v>1899.aa</v>
      </c>
      <c r="M298" s="1" t="str">
        <f aca="false">TEXT(bordro810[[#This Row],[Tarih]],"gggg")</f>
        <v>ADMS</v>
      </c>
      <c r="N298" s="1" t="e">
        <f aca="false">VLOOKUP(B298,PersonelListesi!A$1:G$41,4,FALSE())</f>
        <v>#N/A</v>
      </c>
      <c r="O298" s="363"/>
    </row>
    <row r="299" customFormat="false" ht="15" hidden="false" customHeight="false" outlineLevel="0" collapsed="false">
      <c r="B299" s="364"/>
      <c r="C299" s="364"/>
      <c r="D299" s="361"/>
      <c r="E299" s="312" t="e">
        <f aca="false">VLOOKUP(B299,PersonelListesi!A$1:G$47,5,FALSE())</f>
        <v>#N/A</v>
      </c>
      <c r="F299" s="322" t="e">
        <f aca="false">bordro810[[#This Row],[Saat]]*bordro810[[#This Row],[S.Ücret]]</f>
        <v>#N/A</v>
      </c>
      <c r="G299" s="352" t="n">
        <v>0</v>
      </c>
      <c r="H299" s="352"/>
      <c r="I299" s="329" t="e">
        <f aca="false">bordro810[[#This Row],[Ödeme]]-bordro810[[#This Row],[M. Tutar]]</f>
        <v>#N/A</v>
      </c>
      <c r="J299" s="350" t="n">
        <f aca="false">SUMIF(bordro810[Personel],bordro810[[#This Row],[Personel]],F$3:F299)-SUMIF(bordro810[Personel],bordro810[[#This Row],[Personel]],G$3:G299)</f>
        <v>0</v>
      </c>
      <c r="K299" s="351" t="str">
        <f aca="false">TEXT(bordro810[[#This Row],[Tarih]],"yyyy")</f>
        <v>1899</v>
      </c>
      <c r="L299" s="1" t="str">
        <f aca="false">TEXT(bordro810[[#This Row],[Tarih]],"yyyy/aa")</f>
        <v>1899.aa</v>
      </c>
      <c r="M299" s="1" t="str">
        <f aca="false">TEXT(bordro810[[#This Row],[Tarih]],"gggg")</f>
        <v>ADMS</v>
      </c>
      <c r="N299" s="1" t="e">
        <f aca="false">VLOOKUP(B299,PersonelListesi!A$1:G$41,4,FALSE())</f>
        <v>#N/A</v>
      </c>
      <c r="O299" s="363"/>
    </row>
    <row r="300" customFormat="false" ht="15" hidden="false" customHeight="false" outlineLevel="0" collapsed="false">
      <c r="B300" s="364"/>
      <c r="C300" s="364"/>
      <c r="D300" s="361"/>
      <c r="E300" s="312" t="e">
        <f aca="false">VLOOKUP(B300,PersonelListesi!A$1:G$47,5,FALSE())</f>
        <v>#N/A</v>
      </c>
      <c r="F300" s="322" t="e">
        <f aca="false">bordro810[[#This Row],[Saat]]*bordro810[[#This Row],[S.Ücret]]</f>
        <v>#N/A</v>
      </c>
      <c r="G300" s="352" t="n">
        <v>0</v>
      </c>
      <c r="H300" s="352"/>
      <c r="I300" s="329" t="e">
        <f aca="false">bordro810[[#This Row],[Ödeme]]-bordro810[[#This Row],[M. Tutar]]</f>
        <v>#N/A</v>
      </c>
      <c r="J300" s="350" t="n">
        <f aca="false">SUMIF(bordro810[Personel],bordro810[[#This Row],[Personel]],F$3:F300)-SUMIF(bordro810[Personel],bordro810[[#This Row],[Personel]],G$3:G300)</f>
        <v>0</v>
      </c>
      <c r="K300" s="351" t="str">
        <f aca="false">TEXT(bordro810[[#This Row],[Tarih]],"yyyy")</f>
        <v>1899</v>
      </c>
      <c r="L300" s="1" t="str">
        <f aca="false">TEXT(bordro810[[#This Row],[Tarih]],"yyyy/aa")</f>
        <v>1899.aa</v>
      </c>
      <c r="M300" s="1" t="str">
        <f aca="false">TEXT(bordro810[[#This Row],[Tarih]],"gggg")</f>
        <v>ADMS</v>
      </c>
      <c r="N300" s="1" t="e">
        <f aca="false">VLOOKUP(B300,PersonelListesi!A$1:G$41,4,FALSE())</f>
        <v>#N/A</v>
      </c>
      <c r="O300" s="363"/>
    </row>
    <row r="301" customFormat="false" ht="15" hidden="false" customHeight="false" outlineLevel="0" collapsed="false">
      <c r="B301" s="364"/>
      <c r="C301" s="364"/>
      <c r="D301" s="361"/>
      <c r="E301" s="312" t="e">
        <f aca="false">VLOOKUP(B301,PersonelListesi!A$1:G$47,5,FALSE())</f>
        <v>#N/A</v>
      </c>
      <c r="F301" s="322" t="e">
        <f aca="false">bordro810[[#This Row],[Saat]]*bordro810[[#This Row],[S.Ücret]]</f>
        <v>#N/A</v>
      </c>
      <c r="G301" s="352" t="n">
        <v>0</v>
      </c>
      <c r="H301" s="352"/>
      <c r="I301" s="329" t="e">
        <f aca="false">bordro810[[#This Row],[Ödeme]]-bordro810[[#This Row],[M. Tutar]]</f>
        <v>#N/A</v>
      </c>
      <c r="J301" s="350" t="n">
        <f aca="false">SUMIF(bordro810[Personel],bordro810[[#This Row],[Personel]],F$3:F301)-SUMIF(bordro810[Personel],bordro810[[#This Row],[Personel]],G$3:G301)</f>
        <v>0</v>
      </c>
      <c r="K301" s="351" t="str">
        <f aca="false">TEXT(bordro810[[#This Row],[Tarih]],"yyyy")</f>
        <v>1899</v>
      </c>
      <c r="L301" s="1" t="str">
        <f aca="false">TEXT(bordro810[[#This Row],[Tarih]],"yyyy/aa")</f>
        <v>1899.aa</v>
      </c>
      <c r="M301" s="1" t="str">
        <f aca="false">TEXT(bordro810[[#This Row],[Tarih]],"gggg")</f>
        <v>ADMS</v>
      </c>
      <c r="N301" s="1" t="e">
        <f aca="false">VLOOKUP(B301,PersonelListesi!A$1:G$41,4,FALSE())</f>
        <v>#N/A</v>
      </c>
      <c r="O301" s="363"/>
    </row>
    <row r="302" customFormat="false" ht="15" hidden="false" customHeight="false" outlineLevel="0" collapsed="false">
      <c r="B302" s="364"/>
      <c r="C302" s="364"/>
      <c r="D302" s="361"/>
      <c r="E302" s="312" t="e">
        <f aca="false">VLOOKUP(B302,PersonelListesi!A$1:G$47,5,FALSE())</f>
        <v>#N/A</v>
      </c>
      <c r="F302" s="322" t="e">
        <f aca="false">bordro810[[#This Row],[Saat]]*bordro810[[#This Row],[S.Ücret]]</f>
        <v>#N/A</v>
      </c>
      <c r="G302" s="352" t="n">
        <v>0</v>
      </c>
      <c r="H302" s="352"/>
      <c r="I302" s="329" t="e">
        <f aca="false">bordro810[[#This Row],[Ödeme]]-bordro810[[#This Row],[M. Tutar]]</f>
        <v>#N/A</v>
      </c>
      <c r="J302" s="350" t="n">
        <f aca="false">SUMIF(bordro810[Personel],bordro810[[#This Row],[Personel]],F$3:F302)-SUMIF(bordro810[Personel],bordro810[[#This Row],[Personel]],G$3:G302)</f>
        <v>0</v>
      </c>
      <c r="K302" s="351" t="str">
        <f aca="false">TEXT(bordro810[[#This Row],[Tarih]],"yyyy")</f>
        <v>1899</v>
      </c>
      <c r="L302" s="1" t="str">
        <f aca="false">TEXT(bordro810[[#This Row],[Tarih]],"yyyy/aa")</f>
        <v>1899.aa</v>
      </c>
      <c r="M302" s="1" t="str">
        <f aca="false">TEXT(bordro810[[#This Row],[Tarih]],"gggg")</f>
        <v>ADMS</v>
      </c>
      <c r="N302" s="1" t="e">
        <f aca="false">VLOOKUP(B302,PersonelListesi!A$1:G$41,4,FALSE())</f>
        <v>#N/A</v>
      </c>
      <c r="O302" s="363"/>
    </row>
    <row r="303" customFormat="false" ht="15" hidden="false" customHeight="false" outlineLevel="0" collapsed="false">
      <c r="B303" s="364"/>
      <c r="C303" s="364"/>
      <c r="D303" s="361"/>
      <c r="E303" s="312" t="e">
        <f aca="false">VLOOKUP(B303,PersonelListesi!A$1:G$47,5,FALSE())</f>
        <v>#N/A</v>
      </c>
      <c r="F303" s="322" t="e">
        <f aca="false">bordro810[[#This Row],[Saat]]*bordro810[[#This Row],[S.Ücret]]</f>
        <v>#N/A</v>
      </c>
      <c r="G303" s="352" t="n">
        <v>0</v>
      </c>
      <c r="H303" s="352"/>
      <c r="I303" s="329" t="e">
        <f aca="false">bordro810[[#This Row],[Ödeme]]-bordro810[[#This Row],[M. Tutar]]</f>
        <v>#N/A</v>
      </c>
      <c r="J303" s="350" t="n">
        <f aca="false">SUMIF(bordro810[Personel],bordro810[[#This Row],[Personel]],F$3:F303)-SUMIF(bordro810[Personel],bordro810[[#This Row],[Personel]],G$3:G303)</f>
        <v>0</v>
      </c>
      <c r="K303" s="351" t="str">
        <f aca="false">TEXT(bordro810[[#This Row],[Tarih]],"yyyy")</f>
        <v>1899</v>
      </c>
      <c r="L303" s="1" t="str">
        <f aca="false">TEXT(bordro810[[#This Row],[Tarih]],"yyyy/aa")</f>
        <v>1899.aa</v>
      </c>
      <c r="M303" s="1" t="str">
        <f aca="false">TEXT(bordro810[[#This Row],[Tarih]],"gggg")</f>
        <v>ADMS</v>
      </c>
      <c r="N303" s="1" t="e">
        <f aca="false">VLOOKUP(B303,PersonelListesi!A$1:G$41,4,FALSE())</f>
        <v>#N/A</v>
      </c>
      <c r="O303" s="363"/>
    </row>
    <row r="304" customFormat="false" ht="15" hidden="false" customHeight="false" outlineLevel="0" collapsed="false">
      <c r="B304" s="364"/>
      <c r="C304" s="364"/>
      <c r="D304" s="361"/>
      <c r="E304" s="312" t="e">
        <f aca="false">VLOOKUP(B304,PersonelListesi!A$1:G$47,5,FALSE())</f>
        <v>#N/A</v>
      </c>
      <c r="F304" s="322" t="e">
        <f aca="false">bordro810[[#This Row],[Saat]]*bordro810[[#This Row],[S.Ücret]]</f>
        <v>#N/A</v>
      </c>
      <c r="G304" s="352" t="n">
        <v>0</v>
      </c>
      <c r="H304" s="352"/>
      <c r="I304" s="329" t="e">
        <f aca="false">bordro810[[#This Row],[Ödeme]]-bordro810[[#This Row],[M. Tutar]]</f>
        <v>#N/A</v>
      </c>
      <c r="J304" s="350" t="n">
        <f aca="false">SUMIF(bordro810[Personel],bordro810[[#This Row],[Personel]],F$3:F304)-SUMIF(bordro810[Personel],bordro810[[#This Row],[Personel]],G$3:G304)</f>
        <v>0</v>
      </c>
      <c r="K304" s="351" t="str">
        <f aca="false">TEXT(bordro810[[#This Row],[Tarih]],"yyyy")</f>
        <v>1899</v>
      </c>
      <c r="L304" s="1" t="str">
        <f aca="false">TEXT(bordro810[[#This Row],[Tarih]],"yyyy/aa")</f>
        <v>1899.aa</v>
      </c>
      <c r="M304" s="1" t="str">
        <f aca="false">TEXT(bordro810[[#This Row],[Tarih]],"gggg")</f>
        <v>ADMS</v>
      </c>
      <c r="N304" s="1" t="e">
        <f aca="false">VLOOKUP(B304,PersonelListesi!A$1:G$41,4,FALSE())</f>
        <v>#N/A</v>
      </c>
      <c r="O304" s="363"/>
    </row>
    <row r="305" customFormat="false" ht="15" hidden="false" customHeight="false" outlineLevel="0" collapsed="false">
      <c r="B305" s="364"/>
      <c r="C305" s="364"/>
      <c r="D305" s="361"/>
      <c r="E305" s="312" t="e">
        <f aca="false">VLOOKUP(B305,PersonelListesi!A$1:G$47,5,FALSE())</f>
        <v>#N/A</v>
      </c>
      <c r="F305" s="322" t="e">
        <f aca="false">bordro810[[#This Row],[Saat]]*bordro810[[#This Row],[S.Ücret]]</f>
        <v>#N/A</v>
      </c>
      <c r="G305" s="352" t="n">
        <v>0</v>
      </c>
      <c r="H305" s="352"/>
      <c r="I305" s="329" t="e">
        <f aca="false">bordro810[[#This Row],[Ödeme]]-bordro810[[#This Row],[M. Tutar]]</f>
        <v>#N/A</v>
      </c>
      <c r="J305" s="350" t="n">
        <f aca="false">SUMIF(bordro810[Personel],bordro810[[#This Row],[Personel]],F$3:F305)-SUMIF(bordro810[Personel],bordro810[[#This Row],[Personel]],G$3:G305)</f>
        <v>0</v>
      </c>
      <c r="K305" s="351" t="str">
        <f aca="false">TEXT(bordro810[[#This Row],[Tarih]],"yyyy")</f>
        <v>1899</v>
      </c>
      <c r="L305" s="1" t="str">
        <f aca="false">TEXT(bordro810[[#This Row],[Tarih]],"yyyy/aa")</f>
        <v>1899.aa</v>
      </c>
      <c r="M305" s="1" t="str">
        <f aca="false">TEXT(bordro810[[#This Row],[Tarih]],"gggg")</f>
        <v>ADMS</v>
      </c>
      <c r="N305" s="1" t="e">
        <f aca="false">VLOOKUP(B305,PersonelListesi!A$1:G$41,4,FALSE())</f>
        <v>#N/A</v>
      </c>
      <c r="O305" s="363"/>
    </row>
    <row r="306" customFormat="false" ht="15" hidden="false" customHeight="false" outlineLevel="0" collapsed="false">
      <c r="B306" s="364"/>
      <c r="C306" s="364"/>
      <c r="D306" s="361"/>
      <c r="E306" s="312" t="e">
        <f aca="false">VLOOKUP(B306,PersonelListesi!A$1:G$47,5,FALSE())</f>
        <v>#N/A</v>
      </c>
      <c r="F306" s="322" t="e">
        <f aca="false">bordro810[[#This Row],[Saat]]*bordro810[[#This Row],[S.Ücret]]</f>
        <v>#N/A</v>
      </c>
      <c r="G306" s="352" t="n">
        <v>0</v>
      </c>
      <c r="H306" s="352"/>
      <c r="I306" s="329" t="e">
        <f aca="false">bordro810[[#This Row],[Ödeme]]-bordro810[[#This Row],[M. Tutar]]</f>
        <v>#N/A</v>
      </c>
      <c r="J306" s="350" t="n">
        <f aca="false">SUMIF(bordro810[Personel],bordro810[[#This Row],[Personel]],F$3:F306)-SUMIF(bordro810[Personel],bordro810[[#This Row],[Personel]],G$3:G306)</f>
        <v>0</v>
      </c>
      <c r="K306" s="351" t="str">
        <f aca="false">TEXT(bordro810[[#This Row],[Tarih]],"yyyy")</f>
        <v>1899</v>
      </c>
      <c r="L306" s="1" t="str">
        <f aca="false">TEXT(bordro810[[#This Row],[Tarih]],"yyyy/aa")</f>
        <v>1899.aa</v>
      </c>
      <c r="M306" s="1" t="str">
        <f aca="false">TEXT(bordro810[[#This Row],[Tarih]],"gggg")</f>
        <v>ADMS</v>
      </c>
      <c r="N306" s="1" t="e">
        <f aca="false">VLOOKUP(B306,PersonelListesi!A$1:G$41,4,FALSE())</f>
        <v>#N/A</v>
      </c>
      <c r="O306" s="363"/>
    </row>
    <row r="307" customFormat="false" ht="15" hidden="false" customHeight="false" outlineLevel="0" collapsed="false">
      <c r="B307" s="364"/>
      <c r="C307" s="364"/>
      <c r="D307" s="361"/>
      <c r="E307" s="312" t="e">
        <f aca="false">VLOOKUP(B307,PersonelListesi!A$1:G$47,5,FALSE())</f>
        <v>#N/A</v>
      </c>
      <c r="F307" s="322" t="e">
        <f aca="false">bordro810[[#This Row],[Saat]]*bordro810[[#This Row],[S.Ücret]]</f>
        <v>#N/A</v>
      </c>
      <c r="G307" s="352" t="n">
        <v>0</v>
      </c>
      <c r="H307" s="352"/>
      <c r="I307" s="329" t="e">
        <f aca="false">bordro810[[#This Row],[Ödeme]]-bordro810[[#This Row],[M. Tutar]]</f>
        <v>#N/A</v>
      </c>
      <c r="J307" s="350" t="n">
        <f aca="false">SUMIF(bordro810[Personel],bordro810[[#This Row],[Personel]],F$3:F307)-SUMIF(bordro810[Personel],bordro810[[#This Row],[Personel]],G$3:G307)</f>
        <v>0</v>
      </c>
      <c r="K307" s="351" t="str">
        <f aca="false">TEXT(bordro810[[#This Row],[Tarih]],"yyyy")</f>
        <v>1899</v>
      </c>
      <c r="L307" s="1" t="str">
        <f aca="false">TEXT(bordro810[[#This Row],[Tarih]],"yyyy/aa")</f>
        <v>1899.aa</v>
      </c>
      <c r="M307" s="1" t="str">
        <f aca="false">TEXT(bordro810[[#This Row],[Tarih]],"gggg")</f>
        <v>ADMS</v>
      </c>
      <c r="N307" s="1" t="e">
        <f aca="false">VLOOKUP(B307,PersonelListesi!A$1:G$41,4,FALSE())</f>
        <v>#N/A</v>
      </c>
      <c r="O307" s="363"/>
    </row>
    <row r="308" customFormat="false" ht="15" hidden="false" customHeight="false" outlineLevel="0" collapsed="false">
      <c r="B308" s="364"/>
      <c r="C308" s="364"/>
      <c r="D308" s="361"/>
      <c r="E308" s="312" t="e">
        <f aca="false">VLOOKUP(B308,PersonelListesi!A$1:G$47,5,FALSE())</f>
        <v>#N/A</v>
      </c>
      <c r="F308" s="322" t="e">
        <f aca="false">bordro810[[#This Row],[Saat]]*bordro810[[#This Row],[S.Ücret]]</f>
        <v>#N/A</v>
      </c>
      <c r="G308" s="352" t="n">
        <v>0</v>
      </c>
      <c r="H308" s="352"/>
      <c r="I308" s="329" t="e">
        <f aca="false">bordro810[[#This Row],[Ödeme]]-bordro810[[#This Row],[M. Tutar]]</f>
        <v>#N/A</v>
      </c>
      <c r="J308" s="350" t="n">
        <f aca="false">SUMIF(bordro810[Personel],bordro810[[#This Row],[Personel]],F$3:F308)-SUMIF(bordro810[Personel],bordro810[[#This Row],[Personel]],G$3:G308)</f>
        <v>0</v>
      </c>
      <c r="K308" s="351" t="str">
        <f aca="false">TEXT(bordro810[[#This Row],[Tarih]],"yyyy")</f>
        <v>1899</v>
      </c>
      <c r="L308" s="1" t="str">
        <f aca="false">TEXT(bordro810[[#This Row],[Tarih]],"yyyy/aa")</f>
        <v>1899.aa</v>
      </c>
      <c r="M308" s="1" t="str">
        <f aca="false">TEXT(bordro810[[#This Row],[Tarih]],"gggg")</f>
        <v>ADMS</v>
      </c>
      <c r="N308" s="1" t="e">
        <f aca="false">VLOOKUP(B308,PersonelListesi!A$1:G$41,4,FALSE())</f>
        <v>#N/A</v>
      </c>
      <c r="O308" s="363"/>
    </row>
    <row r="309" customFormat="false" ht="15" hidden="false" customHeight="false" outlineLevel="0" collapsed="false">
      <c r="B309" s="364"/>
      <c r="C309" s="364"/>
      <c r="D309" s="361"/>
      <c r="E309" s="312" t="e">
        <f aca="false">VLOOKUP(B309,PersonelListesi!A$1:G$47,5,FALSE())</f>
        <v>#N/A</v>
      </c>
      <c r="F309" s="322" t="e">
        <f aca="false">bordro810[[#This Row],[Saat]]*bordro810[[#This Row],[S.Ücret]]</f>
        <v>#N/A</v>
      </c>
      <c r="G309" s="352" t="n">
        <v>0</v>
      </c>
      <c r="H309" s="352"/>
      <c r="I309" s="329" t="e">
        <f aca="false">bordro810[[#This Row],[Ödeme]]-bordro810[[#This Row],[M. Tutar]]</f>
        <v>#N/A</v>
      </c>
      <c r="J309" s="350" t="n">
        <f aca="false">SUMIF(bordro810[Personel],bordro810[[#This Row],[Personel]],F$3:F309)-SUMIF(bordro810[Personel],bordro810[[#This Row],[Personel]],G$3:G309)</f>
        <v>0</v>
      </c>
      <c r="K309" s="351" t="str">
        <f aca="false">TEXT(bordro810[[#This Row],[Tarih]],"yyyy")</f>
        <v>1899</v>
      </c>
      <c r="L309" s="1" t="str">
        <f aca="false">TEXT(bordro810[[#This Row],[Tarih]],"yyyy/aa")</f>
        <v>1899.aa</v>
      </c>
      <c r="M309" s="1" t="str">
        <f aca="false">TEXT(bordro810[[#This Row],[Tarih]],"gggg")</f>
        <v>ADMS</v>
      </c>
      <c r="N309" s="1" t="e">
        <f aca="false">VLOOKUP(B309,PersonelListesi!A$1:G$41,4,FALSE())</f>
        <v>#N/A</v>
      </c>
      <c r="O309" s="363"/>
    </row>
    <row r="310" customFormat="false" ht="15" hidden="false" customHeight="false" outlineLevel="0" collapsed="false">
      <c r="B310" s="364"/>
      <c r="C310" s="364"/>
      <c r="D310" s="361"/>
      <c r="E310" s="312" t="e">
        <f aca="false">VLOOKUP(B310,PersonelListesi!A$1:G$47,5,FALSE())</f>
        <v>#N/A</v>
      </c>
      <c r="F310" s="322" t="e">
        <f aca="false">bordro810[[#This Row],[Saat]]*bordro810[[#This Row],[S.Ücret]]</f>
        <v>#N/A</v>
      </c>
      <c r="G310" s="352" t="n">
        <v>0</v>
      </c>
      <c r="H310" s="352"/>
      <c r="I310" s="329" t="e">
        <f aca="false">bordro810[[#This Row],[Ödeme]]-bordro810[[#This Row],[M. Tutar]]</f>
        <v>#N/A</v>
      </c>
      <c r="J310" s="350" t="n">
        <f aca="false">SUMIF(bordro810[Personel],bordro810[[#This Row],[Personel]],F$3:F310)-SUMIF(bordro810[Personel],bordro810[[#This Row],[Personel]],G$3:G310)</f>
        <v>0</v>
      </c>
      <c r="K310" s="351" t="str">
        <f aca="false">TEXT(bordro810[[#This Row],[Tarih]],"yyyy")</f>
        <v>1899</v>
      </c>
      <c r="L310" s="1" t="str">
        <f aca="false">TEXT(bordro810[[#This Row],[Tarih]],"yyyy/aa")</f>
        <v>1899.aa</v>
      </c>
      <c r="M310" s="1" t="str">
        <f aca="false">TEXT(bordro810[[#This Row],[Tarih]],"gggg")</f>
        <v>ADMS</v>
      </c>
      <c r="N310" s="1" t="e">
        <f aca="false">VLOOKUP(B310,PersonelListesi!A$1:G$41,4,FALSE())</f>
        <v>#N/A</v>
      </c>
      <c r="O310" s="363"/>
    </row>
    <row r="311" customFormat="false" ht="15" hidden="false" customHeight="false" outlineLevel="0" collapsed="false">
      <c r="B311" s="364"/>
      <c r="C311" s="364"/>
      <c r="D311" s="361"/>
      <c r="E311" s="312" t="e">
        <f aca="false">VLOOKUP(B311,PersonelListesi!A$1:G$47,5,FALSE())</f>
        <v>#N/A</v>
      </c>
      <c r="F311" s="322" t="e">
        <f aca="false">bordro810[[#This Row],[Saat]]*bordro810[[#This Row],[S.Ücret]]</f>
        <v>#N/A</v>
      </c>
      <c r="G311" s="352" t="n">
        <v>0</v>
      </c>
      <c r="H311" s="352"/>
      <c r="I311" s="329" t="e">
        <f aca="false">bordro810[[#This Row],[Ödeme]]-bordro810[[#This Row],[M. Tutar]]</f>
        <v>#N/A</v>
      </c>
      <c r="J311" s="350" t="n">
        <f aca="false">SUMIF(bordro810[Personel],bordro810[[#This Row],[Personel]],F$3:F311)-SUMIF(bordro810[Personel],bordro810[[#This Row],[Personel]],G$3:G311)</f>
        <v>0</v>
      </c>
      <c r="K311" s="351" t="str">
        <f aca="false">TEXT(bordro810[[#This Row],[Tarih]],"yyyy")</f>
        <v>1899</v>
      </c>
      <c r="L311" s="1" t="str">
        <f aca="false">TEXT(bordro810[[#This Row],[Tarih]],"yyyy/aa")</f>
        <v>1899.aa</v>
      </c>
      <c r="M311" s="1" t="str">
        <f aca="false">TEXT(bordro810[[#This Row],[Tarih]],"gggg")</f>
        <v>ADMS</v>
      </c>
      <c r="N311" s="1" t="e">
        <f aca="false">VLOOKUP(B311,PersonelListesi!A$1:G$41,4,FALSE())</f>
        <v>#N/A</v>
      </c>
      <c r="O311" s="363"/>
    </row>
    <row r="312" customFormat="false" ht="15" hidden="false" customHeight="false" outlineLevel="0" collapsed="false">
      <c r="B312" s="364"/>
      <c r="C312" s="364"/>
      <c r="D312" s="361"/>
      <c r="E312" s="312" t="e">
        <f aca="false">VLOOKUP(B312,PersonelListesi!A$1:G$47,5,FALSE())</f>
        <v>#N/A</v>
      </c>
      <c r="F312" s="322" t="e">
        <f aca="false">bordro810[[#This Row],[Saat]]*bordro810[[#This Row],[S.Ücret]]</f>
        <v>#N/A</v>
      </c>
      <c r="G312" s="352" t="n">
        <v>0</v>
      </c>
      <c r="H312" s="352"/>
      <c r="I312" s="329" t="e">
        <f aca="false">bordro810[[#This Row],[Ödeme]]-bordro810[[#This Row],[M. Tutar]]</f>
        <v>#N/A</v>
      </c>
      <c r="J312" s="350" t="n">
        <f aca="false">SUMIF(bordro810[Personel],bordro810[[#This Row],[Personel]],F$3:F312)-SUMIF(bordro810[Personel],bordro810[[#This Row],[Personel]],G$3:G312)</f>
        <v>0</v>
      </c>
      <c r="K312" s="351" t="str">
        <f aca="false">TEXT(bordro810[[#This Row],[Tarih]],"yyyy")</f>
        <v>1899</v>
      </c>
      <c r="L312" s="1" t="str">
        <f aca="false">TEXT(bordro810[[#This Row],[Tarih]],"yyyy/aa")</f>
        <v>1899.aa</v>
      </c>
      <c r="M312" s="1" t="str">
        <f aca="false">TEXT(bordro810[[#This Row],[Tarih]],"gggg")</f>
        <v>ADMS</v>
      </c>
      <c r="N312" s="1" t="e">
        <f aca="false">VLOOKUP(B312,PersonelListesi!A$1:G$41,4,FALSE())</f>
        <v>#N/A</v>
      </c>
      <c r="O312" s="363"/>
    </row>
    <row r="313" customFormat="false" ht="15" hidden="false" customHeight="false" outlineLevel="0" collapsed="false">
      <c r="B313" s="364"/>
      <c r="C313" s="364"/>
      <c r="D313" s="361"/>
      <c r="E313" s="312" t="e">
        <f aca="false">VLOOKUP(B313,PersonelListesi!A$1:G$47,5,FALSE())</f>
        <v>#N/A</v>
      </c>
      <c r="F313" s="322" t="e">
        <f aca="false">bordro810[[#This Row],[Saat]]*bordro810[[#This Row],[S.Ücret]]</f>
        <v>#N/A</v>
      </c>
      <c r="G313" s="352" t="n">
        <v>0</v>
      </c>
      <c r="H313" s="352"/>
      <c r="I313" s="329" t="e">
        <f aca="false">bordro810[[#This Row],[Ödeme]]-bordro810[[#This Row],[M. Tutar]]</f>
        <v>#N/A</v>
      </c>
      <c r="J313" s="350" t="n">
        <f aca="false">SUMIF(bordro810[Personel],bordro810[[#This Row],[Personel]],F$3:F313)-SUMIF(bordro810[Personel],bordro810[[#This Row],[Personel]],G$3:G313)</f>
        <v>0</v>
      </c>
      <c r="K313" s="351" t="str">
        <f aca="false">TEXT(bordro810[[#This Row],[Tarih]],"yyyy")</f>
        <v>1899</v>
      </c>
      <c r="L313" s="1" t="str">
        <f aca="false">TEXT(bordro810[[#This Row],[Tarih]],"yyyy/aa")</f>
        <v>1899.aa</v>
      </c>
      <c r="M313" s="1" t="str">
        <f aca="false">TEXT(bordro810[[#This Row],[Tarih]],"gggg")</f>
        <v>ADMS</v>
      </c>
      <c r="N313" s="1" t="e">
        <f aca="false">VLOOKUP(B313,PersonelListesi!A$1:G$41,4,FALSE())</f>
        <v>#N/A</v>
      </c>
      <c r="O313" s="363"/>
    </row>
    <row r="314" customFormat="false" ht="15" hidden="false" customHeight="false" outlineLevel="0" collapsed="false">
      <c r="B314" s="364"/>
      <c r="C314" s="364"/>
      <c r="D314" s="361"/>
      <c r="E314" s="312" t="e">
        <f aca="false">VLOOKUP(B314,PersonelListesi!A$1:G$47,5,FALSE())</f>
        <v>#N/A</v>
      </c>
      <c r="F314" s="322" t="e">
        <f aca="false">bordro810[[#This Row],[Saat]]*bordro810[[#This Row],[S.Ücret]]</f>
        <v>#N/A</v>
      </c>
      <c r="G314" s="352" t="n">
        <v>0</v>
      </c>
      <c r="H314" s="352"/>
      <c r="I314" s="329" t="e">
        <f aca="false">bordro810[[#This Row],[Ödeme]]-bordro810[[#This Row],[M. Tutar]]</f>
        <v>#N/A</v>
      </c>
      <c r="J314" s="350" t="n">
        <f aca="false">SUMIF(bordro810[Personel],bordro810[[#This Row],[Personel]],F$3:F314)-SUMIF(bordro810[Personel],bordro810[[#This Row],[Personel]],G$3:G314)</f>
        <v>0</v>
      </c>
      <c r="K314" s="351" t="str">
        <f aca="false">TEXT(bordro810[[#This Row],[Tarih]],"yyyy")</f>
        <v>1899</v>
      </c>
      <c r="L314" s="1" t="str">
        <f aca="false">TEXT(bordro810[[#This Row],[Tarih]],"yyyy/aa")</f>
        <v>1899.aa</v>
      </c>
      <c r="M314" s="1" t="str">
        <f aca="false">TEXT(bordro810[[#This Row],[Tarih]],"gggg")</f>
        <v>ADMS</v>
      </c>
      <c r="N314" s="1" t="e">
        <f aca="false">VLOOKUP(B314,PersonelListesi!A$1:G$41,4,FALSE())</f>
        <v>#N/A</v>
      </c>
      <c r="O314" s="363"/>
    </row>
    <row r="315" customFormat="false" ht="15" hidden="false" customHeight="false" outlineLevel="0" collapsed="false">
      <c r="B315" s="364"/>
      <c r="C315" s="364"/>
      <c r="D315" s="361"/>
      <c r="E315" s="312" t="e">
        <f aca="false">VLOOKUP(B315,PersonelListesi!A$1:G$47,5,FALSE())</f>
        <v>#N/A</v>
      </c>
      <c r="F315" s="322" t="e">
        <f aca="false">bordro810[[#This Row],[Saat]]*bordro810[[#This Row],[S.Ücret]]</f>
        <v>#N/A</v>
      </c>
      <c r="G315" s="352" t="n">
        <v>0</v>
      </c>
      <c r="H315" s="352"/>
      <c r="I315" s="329" t="e">
        <f aca="false">bordro810[[#This Row],[Ödeme]]-bordro810[[#This Row],[M. Tutar]]</f>
        <v>#N/A</v>
      </c>
      <c r="J315" s="350" t="n">
        <f aca="false">SUMIF(bordro810[Personel],bordro810[[#This Row],[Personel]],F$3:F315)-SUMIF(bordro810[Personel],bordro810[[#This Row],[Personel]],G$3:G315)</f>
        <v>0</v>
      </c>
      <c r="K315" s="351" t="str">
        <f aca="false">TEXT(bordro810[[#This Row],[Tarih]],"yyyy")</f>
        <v>1899</v>
      </c>
      <c r="L315" s="1" t="str">
        <f aca="false">TEXT(bordro810[[#This Row],[Tarih]],"yyyy/aa")</f>
        <v>1899.aa</v>
      </c>
      <c r="M315" s="1" t="str">
        <f aca="false">TEXT(bordro810[[#This Row],[Tarih]],"gggg")</f>
        <v>ADMS</v>
      </c>
      <c r="N315" s="1" t="e">
        <f aca="false">VLOOKUP(B315,PersonelListesi!A$1:G$41,4,FALSE())</f>
        <v>#N/A</v>
      </c>
      <c r="O315" s="363"/>
    </row>
    <row r="316" customFormat="false" ht="15" hidden="false" customHeight="false" outlineLevel="0" collapsed="false">
      <c r="B316" s="364"/>
      <c r="C316" s="364"/>
      <c r="D316" s="361"/>
      <c r="E316" s="312" t="e">
        <f aca="false">VLOOKUP(B316,PersonelListesi!A$1:G$47,5,FALSE())</f>
        <v>#N/A</v>
      </c>
      <c r="F316" s="322" t="e">
        <f aca="false">bordro810[[#This Row],[Saat]]*bordro810[[#This Row],[S.Ücret]]</f>
        <v>#N/A</v>
      </c>
      <c r="G316" s="352" t="n">
        <v>0</v>
      </c>
      <c r="H316" s="352"/>
      <c r="I316" s="329" t="e">
        <f aca="false">bordro810[[#This Row],[Ödeme]]-bordro810[[#This Row],[M. Tutar]]</f>
        <v>#N/A</v>
      </c>
      <c r="J316" s="350" t="n">
        <f aca="false">SUMIF(bordro810[Personel],bordro810[[#This Row],[Personel]],F$3:F316)-SUMIF(bordro810[Personel],bordro810[[#This Row],[Personel]],G$3:G316)</f>
        <v>0</v>
      </c>
      <c r="K316" s="351" t="str">
        <f aca="false">TEXT(bordro810[[#This Row],[Tarih]],"yyyy")</f>
        <v>1899</v>
      </c>
      <c r="L316" s="1" t="str">
        <f aca="false">TEXT(bordro810[[#This Row],[Tarih]],"yyyy/aa")</f>
        <v>1899.aa</v>
      </c>
      <c r="M316" s="1" t="str">
        <f aca="false">TEXT(bordro810[[#This Row],[Tarih]],"gggg")</f>
        <v>ADMS</v>
      </c>
      <c r="N316" s="1" t="e">
        <f aca="false">VLOOKUP(B316,PersonelListesi!A$1:G$41,4,FALSE())</f>
        <v>#N/A</v>
      </c>
      <c r="O316" s="363"/>
    </row>
    <row r="317" customFormat="false" ht="15" hidden="false" customHeight="false" outlineLevel="0" collapsed="false">
      <c r="B317" s="364"/>
      <c r="C317" s="364"/>
      <c r="D317" s="361"/>
      <c r="E317" s="312" t="e">
        <f aca="false">VLOOKUP(B317,PersonelListesi!A$1:G$47,5,FALSE())</f>
        <v>#N/A</v>
      </c>
      <c r="F317" s="322" t="e">
        <f aca="false">bordro810[[#This Row],[Saat]]*bordro810[[#This Row],[S.Ücret]]</f>
        <v>#N/A</v>
      </c>
      <c r="G317" s="352" t="n">
        <v>0</v>
      </c>
      <c r="H317" s="352"/>
      <c r="I317" s="329" t="e">
        <f aca="false">bordro810[[#This Row],[Ödeme]]-bordro810[[#This Row],[M. Tutar]]</f>
        <v>#N/A</v>
      </c>
      <c r="J317" s="350" t="n">
        <f aca="false">SUMIF(bordro810[Personel],bordro810[[#This Row],[Personel]],F$3:F317)-SUMIF(bordro810[Personel],bordro810[[#This Row],[Personel]],G$3:G317)</f>
        <v>0</v>
      </c>
      <c r="K317" s="351" t="str">
        <f aca="false">TEXT(bordro810[[#This Row],[Tarih]],"yyyy")</f>
        <v>1899</v>
      </c>
      <c r="L317" s="1" t="str">
        <f aca="false">TEXT(bordro810[[#This Row],[Tarih]],"yyyy/aa")</f>
        <v>1899.aa</v>
      </c>
      <c r="M317" s="1" t="str">
        <f aca="false">TEXT(bordro810[[#This Row],[Tarih]],"gggg")</f>
        <v>ADMS</v>
      </c>
      <c r="N317" s="1" t="e">
        <f aca="false">VLOOKUP(B317,PersonelListesi!A$1:G$41,4,FALSE())</f>
        <v>#N/A</v>
      </c>
      <c r="O317" s="363"/>
    </row>
    <row r="318" customFormat="false" ht="15" hidden="false" customHeight="false" outlineLevel="0" collapsed="false">
      <c r="B318" s="364"/>
      <c r="C318" s="364"/>
      <c r="D318" s="361"/>
      <c r="E318" s="312" t="e">
        <f aca="false">VLOOKUP(B318,PersonelListesi!A$1:G$47,5,FALSE())</f>
        <v>#N/A</v>
      </c>
      <c r="F318" s="322" t="e">
        <f aca="false">bordro810[[#This Row],[Saat]]*bordro810[[#This Row],[S.Ücret]]</f>
        <v>#N/A</v>
      </c>
      <c r="G318" s="352" t="n">
        <v>0</v>
      </c>
      <c r="H318" s="352"/>
      <c r="I318" s="329" t="e">
        <f aca="false">bordro810[[#This Row],[Ödeme]]-bordro810[[#This Row],[M. Tutar]]</f>
        <v>#N/A</v>
      </c>
      <c r="J318" s="350" t="n">
        <f aca="false">SUMIF(bordro810[Personel],bordro810[[#This Row],[Personel]],F$3:F318)-SUMIF(bordro810[Personel],bordro810[[#This Row],[Personel]],G$3:G318)</f>
        <v>0</v>
      </c>
      <c r="K318" s="351" t="str">
        <f aca="false">TEXT(bordro810[[#This Row],[Tarih]],"yyyy")</f>
        <v>1899</v>
      </c>
      <c r="L318" s="1" t="str">
        <f aca="false">TEXT(bordro810[[#This Row],[Tarih]],"yyyy/aa")</f>
        <v>1899.aa</v>
      </c>
      <c r="M318" s="1" t="str">
        <f aca="false">TEXT(bordro810[[#This Row],[Tarih]],"gggg")</f>
        <v>ADMS</v>
      </c>
      <c r="N318" s="1" t="e">
        <f aca="false">VLOOKUP(B318,PersonelListesi!A$1:G$41,4,FALSE())</f>
        <v>#N/A</v>
      </c>
      <c r="O318" s="363"/>
    </row>
    <row r="319" customFormat="false" ht="15" hidden="false" customHeight="false" outlineLevel="0" collapsed="false">
      <c r="B319" s="364"/>
      <c r="C319" s="364"/>
      <c r="D319" s="361"/>
      <c r="E319" s="312" t="e">
        <f aca="false">VLOOKUP(B319,PersonelListesi!A$1:G$47,5,FALSE())</f>
        <v>#N/A</v>
      </c>
      <c r="F319" s="322" t="e">
        <f aca="false">bordro810[[#This Row],[Saat]]*bordro810[[#This Row],[S.Ücret]]</f>
        <v>#N/A</v>
      </c>
      <c r="G319" s="352" t="n">
        <v>0</v>
      </c>
      <c r="H319" s="352"/>
      <c r="I319" s="329" t="e">
        <f aca="false">bordro810[[#This Row],[Ödeme]]-bordro810[[#This Row],[M. Tutar]]</f>
        <v>#N/A</v>
      </c>
      <c r="J319" s="350" t="n">
        <f aca="false">SUMIF(bordro810[Personel],bordro810[[#This Row],[Personel]],F$3:F319)-SUMIF(bordro810[Personel],bordro810[[#This Row],[Personel]],G$3:G319)</f>
        <v>0</v>
      </c>
      <c r="K319" s="351" t="str">
        <f aca="false">TEXT(bordro810[[#This Row],[Tarih]],"yyyy")</f>
        <v>1899</v>
      </c>
      <c r="L319" s="1" t="str">
        <f aca="false">TEXT(bordro810[[#This Row],[Tarih]],"yyyy/aa")</f>
        <v>1899.aa</v>
      </c>
      <c r="M319" s="1" t="str">
        <f aca="false">TEXT(bordro810[[#This Row],[Tarih]],"gggg")</f>
        <v>ADMS</v>
      </c>
      <c r="N319" s="1" t="e">
        <f aca="false">VLOOKUP(B319,PersonelListesi!A$1:G$41,4,FALSE())</f>
        <v>#N/A</v>
      </c>
      <c r="O319" s="363"/>
    </row>
    <row r="320" customFormat="false" ht="15" hidden="false" customHeight="false" outlineLevel="0" collapsed="false">
      <c r="A320" s="365"/>
      <c r="B320" s="364"/>
      <c r="C320" s="364"/>
      <c r="D320" s="361"/>
      <c r="E320" s="361"/>
      <c r="F320" s="312" t="e">
        <f aca="false">SUBTOTAL(109,bordro810[M. Tutar])</f>
        <v>#N/A</v>
      </c>
      <c r="G320" s="352" t="n">
        <f aca="false">SUBTOTAL(109,bordro810[Ödeme])</f>
        <v>37240</v>
      </c>
      <c r="H320" s="352"/>
      <c r="I320" s="352"/>
      <c r="J320" s="366"/>
      <c r="K320" s="367"/>
      <c r="O320" s="363"/>
    </row>
  </sheetData>
  <mergeCells count="1">
    <mergeCell ref="D1:E1"/>
  </mergeCells>
  <dataValidations count="4">
    <dataValidation allowBlank="true" errorStyle="stop" operator="between" showDropDown="false" showErrorMessage="true" showInputMessage="true" sqref="B321:B1320" type="list">
      <formula1>$A$55:$A$113</formula1>
      <formula2>0</formula2>
    </dataValidation>
    <dataValidation allowBlank="true" errorStyle="stop" operator="between" showDropDown="false" showErrorMessage="true" showInputMessage="true" sqref="C3:C319" type="list">
      <formula1>"Mesai,Ödeme,Devir"</formula1>
      <formula2>0</formula2>
    </dataValidation>
    <dataValidation allowBlank="true" errorStyle="stop" operator="between" showDropDown="false" showErrorMessage="true" showInputMessage="true" sqref="B1:B2" type="list">
      <formula1>PersonelListesi!$A$2:$A$38</formula1>
      <formula2>0</formula2>
    </dataValidation>
    <dataValidation allowBlank="true" errorStyle="stop" operator="between" showDropDown="false" showErrorMessage="true" showInputMessage="true" sqref="B3:B319" type="list">
      <formula1>PersonelListesi!$A$2:$A$38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2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F16" activeCellId="0" sqref="F16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22"/>
    <col collapsed="false" customWidth="true" hidden="false" outlineLevel="0" max="3" min="3" style="1" width="10.14"/>
    <col collapsed="false" customWidth="true" hidden="false" outlineLevel="0" max="4" min="4" style="368" width="13.86"/>
    <col collapsed="false" customWidth="true" hidden="false" outlineLevel="0" max="5" min="5" style="368" width="14.57"/>
    <col collapsed="false" customWidth="true" hidden="false" outlineLevel="0" max="6" min="6" style="369" width="13.71"/>
    <col collapsed="false" customWidth="true" hidden="false" outlineLevel="0" max="7" min="7" style="1" width="6.29"/>
    <col collapsed="false" customWidth="true" hidden="false" outlineLevel="0" max="8" min="8" style="1" width="7.42"/>
    <col collapsed="false" customWidth="true" hidden="false" outlineLevel="0" max="11" min="11" style="1" width="21.71"/>
    <col collapsed="false" customWidth="true" hidden="false" outlineLevel="0" max="14" min="13" style="370" width="13.15"/>
    <col collapsed="false" customWidth="true" hidden="false" outlineLevel="0" max="15" min="15" style="370" width="11"/>
  </cols>
  <sheetData>
    <row r="2" s="326" customFormat="true" ht="15" hidden="false" customHeight="false" outlineLevel="0" collapsed="false">
      <c r="A2" s="1"/>
      <c r="B2" s="371" t="s">
        <v>404</v>
      </c>
      <c r="C2" s="1"/>
      <c r="D2" s="368"/>
      <c r="E2" s="372" t="n">
        <f aca="true">TODAY()</f>
        <v>45966</v>
      </c>
      <c r="F2" s="372"/>
      <c r="G2" s="1"/>
      <c r="H2" s="1"/>
      <c r="I2" s="1"/>
      <c r="J2" s="1"/>
      <c r="K2" s="1"/>
      <c r="L2" s="1"/>
      <c r="M2" s="370"/>
      <c r="N2" s="373"/>
      <c r="O2" s="370"/>
    </row>
    <row r="3" s="326" customFormat="true" ht="15" hidden="false" customHeight="false" outlineLevel="0" collapsed="false">
      <c r="A3" s="1"/>
      <c r="B3" s="321" t="s">
        <v>138</v>
      </c>
      <c r="C3" s="374" t="s">
        <v>405</v>
      </c>
      <c r="D3" s="375" t="s">
        <v>406</v>
      </c>
      <c r="E3" s="375" t="s">
        <v>407</v>
      </c>
      <c r="F3" s="376" t="s">
        <v>408</v>
      </c>
      <c r="G3" s="321" t="s">
        <v>26</v>
      </c>
      <c r="H3" s="321" t="s">
        <v>409</v>
      </c>
      <c r="I3" s="1"/>
      <c r="J3" s="1"/>
      <c r="K3" s="1"/>
      <c r="L3" s="1"/>
      <c r="M3" s="370"/>
      <c r="N3" s="370"/>
      <c r="O3" s="370"/>
    </row>
    <row r="4" s="326" customFormat="true" ht="15" hidden="false" customHeight="false" outlineLevel="0" collapsed="false">
      <c r="A4" s="1" t="s">
        <v>410</v>
      </c>
      <c r="B4" s="377" t="s">
        <v>79</v>
      </c>
      <c r="C4" s="378" t="n">
        <f aca="false">SUMIF(bordro810[Personel],bordro89[[#This Row],[Personel]],bordro810[Saat])</f>
        <v>0</v>
      </c>
      <c r="D4" s="379" t="n">
        <f aca="false">SUMIF(bordro810[Personel],bordro89[[#This Row],[Personel]],bordro810[M. Tutar])</f>
        <v>0</v>
      </c>
      <c r="E4" s="379" t="n">
        <f aca="false">SUMIF(bordro810[Personel],bordro89[[#This Row],[Personel]],bordro810[Ödeme])</f>
        <v>0</v>
      </c>
      <c r="F4" s="380" t="n">
        <f aca="false">bordro89[[#This Row],[T. MESAİ]]-bordro89[[#This Row],[T. ÖDEME]]</f>
        <v>0</v>
      </c>
      <c r="G4" s="1"/>
      <c r="H4" s="1"/>
      <c r="I4" s="1"/>
      <c r="J4" s="1"/>
      <c r="K4" s="1"/>
      <c r="L4" s="1"/>
      <c r="M4" s="370"/>
      <c r="N4" s="370"/>
      <c r="O4" s="370"/>
    </row>
    <row r="5" s="326" customFormat="true" ht="15" hidden="false" customHeight="false" outlineLevel="0" collapsed="false">
      <c r="A5" s="1" t="s">
        <v>410</v>
      </c>
      <c r="B5" s="328" t="s">
        <v>122</v>
      </c>
      <c r="C5" s="378" t="n">
        <f aca="false">SUMIF(bordro810[Personel],bordro89[[#This Row],[Personel]],bordro810[Saat])</f>
        <v>43</v>
      </c>
      <c r="D5" s="379" t="n">
        <f aca="false">SUMIF(bordro810[Personel],bordro89[[#This Row],[Personel]],bordro810[M. Tutar])</f>
        <v>9250</v>
      </c>
      <c r="E5" s="379" t="n">
        <f aca="false">SUMIF(bordro810[Personel],bordro89[[#This Row],[Personel]],bordro810[Ödeme])</f>
        <v>0</v>
      </c>
      <c r="F5" s="380" t="n">
        <f aca="false">bordro89[[#This Row],[T. MESAİ]]-bordro89[[#This Row],[T. ÖDEME]]</f>
        <v>9250</v>
      </c>
      <c r="G5" s="1"/>
      <c r="H5" s="1"/>
      <c r="I5" s="1"/>
      <c r="J5" s="1"/>
      <c r="K5" s="1"/>
      <c r="L5" s="1"/>
      <c r="M5" s="370"/>
      <c r="N5" s="370"/>
      <c r="O5" s="370"/>
    </row>
    <row r="6" customFormat="false" ht="15" hidden="false" customHeight="false" outlineLevel="0" collapsed="false">
      <c r="A6" s="326"/>
      <c r="B6" s="328" t="s">
        <v>91</v>
      </c>
      <c r="C6" s="378" t="n">
        <f aca="false">SUMIF(bordro810[Personel],bordro89[[#This Row],[Personel]],bordro810[Saat])</f>
        <v>74</v>
      </c>
      <c r="D6" s="379" t="n">
        <f aca="false">SUMIF(bordro810[Personel],bordro89[[#This Row],[Personel]],bordro810[M. Tutar])</f>
        <v>11100</v>
      </c>
      <c r="E6" s="379" t="n">
        <f aca="false">SUMIF(bordro810[Personel],bordro89[[#This Row],[Personel]],bordro810[Ödeme])</f>
        <v>1800</v>
      </c>
      <c r="F6" s="380" t="n">
        <f aca="false">bordro89[[#This Row],[T. MESAİ]]-bordro89[[#This Row],[T. ÖDEME]]</f>
        <v>9300</v>
      </c>
      <c r="G6" s="326"/>
      <c r="H6" s="326"/>
      <c r="I6" s="326"/>
      <c r="J6" s="326"/>
      <c r="K6" s="326"/>
      <c r="L6" s="326"/>
      <c r="M6" s="381"/>
      <c r="N6" s="381"/>
      <c r="O6" s="381"/>
    </row>
    <row r="7" customFormat="false" ht="15" hidden="false" customHeight="false" outlineLevel="0" collapsed="false">
      <c r="A7" s="326"/>
      <c r="B7" s="328" t="s">
        <v>81</v>
      </c>
      <c r="C7" s="378" t="n">
        <f aca="false">SUMIF(bordro810[Personel],bordro89[[#This Row],[Personel]],bordro810[Saat])</f>
        <v>0</v>
      </c>
      <c r="D7" s="379" t="n">
        <f aca="false">SUMIF(bordro810[Personel],bordro89[[#This Row],[Personel]],bordro810[M. Tutar])</f>
        <v>0</v>
      </c>
      <c r="E7" s="379" t="n">
        <f aca="false">SUMIF(bordro810[Personel],bordro89[[#This Row],[Personel]],bordro810[Ödeme])</f>
        <v>0</v>
      </c>
      <c r="F7" s="380" t="n">
        <f aca="false">bordro89[[#This Row],[T. MESAİ]]-bordro89[[#This Row],[T. ÖDEME]]</f>
        <v>0</v>
      </c>
      <c r="G7" s="326"/>
      <c r="H7" s="326"/>
      <c r="I7" s="326"/>
      <c r="J7" s="326"/>
      <c r="K7" s="326"/>
      <c r="L7" s="326"/>
      <c r="M7" s="381"/>
      <c r="N7" s="381"/>
      <c r="O7" s="381"/>
    </row>
    <row r="8" customFormat="false" ht="15" hidden="false" customHeight="false" outlineLevel="0" collapsed="false">
      <c r="A8" s="326"/>
      <c r="B8" s="328" t="s">
        <v>85</v>
      </c>
      <c r="C8" s="378" t="n">
        <f aca="false">SUMIF(bordro810[Personel],bordro89[[#This Row],[Personel]],bordro810[Saat])</f>
        <v>93</v>
      </c>
      <c r="D8" s="379" t="n">
        <f aca="false">SUMIF(bordro810[Personel],bordro89[[#This Row],[Personel]],bordro810[M. Tutar])</f>
        <v>19740</v>
      </c>
      <c r="E8" s="379" t="n">
        <f aca="false">SUMIF(bordro810[Personel],bordro89[[#This Row],[Personel]],bordro810[Ödeme])</f>
        <v>0</v>
      </c>
      <c r="F8" s="380" t="n">
        <f aca="false">bordro89[[#This Row],[T. MESAİ]]-bordro89[[#This Row],[T. ÖDEME]]</f>
        <v>19740</v>
      </c>
      <c r="G8" s="326"/>
      <c r="H8" s="326"/>
      <c r="I8" s="326"/>
      <c r="J8" s="326"/>
      <c r="K8" s="326"/>
      <c r="L8" s="326"/>
      <c r="M8" s="381"/>
      <c r="N8" s="381"/>
      <c r="O8" s="381"/>
    </row>
    <row r="9" customFormat="false" ht="15" hidden="false" customHeight="false" outlineLevel="0" collapsed="false">
      <c r="A9" s="326"/>
      <c r="B9" s="328" t="s">
        <v>87</v>
      </c>
      <c r="C9" s="378" t="n">
        <f aca="false">SUMIF(bordro810[Personel],bordro89[[#This Row],[Personel]],bordro810[Saat])</f>
        <v>51</v>
      </c>
      <c r="D9" s="379" t="n">
        <f aca="false">SUMIF(bordro810[Personel],bordro89[[#This Row],[Personel]],bordro810[M. Tutar])</f>
        <v>12750</v>
      </c>
      <c r="E9" s="379" t="n">
        <f aca="false">SUMIF(bordro810[Personel],bordro89[[#This Row],[Personel]],bordro810[Ödeme])</f>
        <v>8000</v>
      </c>
      <c r="F9" s="380" t="n">
        <f aca="false">bordro89[[#This Row],[T. MESAİ]]-bordro89[[#This Row],[T. ÖDEME]]</f>
        <v>4750</v>
      </c>
      <c r="G9" s="326"/>
      <c r="H9" s="326"/>
      <c r="I9" s="326"/>
      <c r="J9" s="326"/>
      <c r="K9" s="326"/>
      <c r="L9" s="326"/>
      <c r="M9" s="381"/>
      <c r="N9" s="381"/>
      <c r="O9" s="381"/>
    </row>
    <row r="10" customFormat="false" ht="15" hidden="false" customHeight="false" outlineLevel="0" collapsed="false">
      <c r="B10" s="328" t="s">
        <v>93</v>
      </c>
      <c r="C10" s="378" t="n">
        <f aca="false">SUMIF(bordro810[Personel],bordro89[[#This Row],[Personel]],bordro810[Saat])</f>
        <v>35</v>
      </c>
      <c r="D10" s="379" t="n">
        <f aca="false">SUMIF(bordro810[Personel],bordro89[[#This Row],[Personel]],bordro810[M. Tutar])</f>
        <v>8550</v>
      </c>
      <c r="E10" s="379" t="n">
        <f aca="false">SUMIF(bordro810[Personel],bordro89[[#This Row],[Personel]],bordro810[Ödeme])</f>
        <v>0</v>
      </c>
      <c r="F10" s="380" t="n">
        <f aca="false">bordro89[[#This Row],[T. MESAİ]]-bordro89[[#This Row],[T. ÖDEME]]</f>
        <v>8550</v>
      </c>
    </row>
    <row r="11" customFormat="false" ht="15" hidden="false" customHeight="false" outlineLevel="0" collapsed="false">
      <c r="B11" s="328" t="s">
        <v>95</v>
      </c>
      <c r="C11" s="378" t="n">
        <f aca="false">SUMIF(bordro810[Personel],bordro89[[#This Row],[Personel]],bordro810[Saat])</f>
        <v>54</v>
      </c>
      <c r="D11" s="379" t="n">
        <f aca="false">SUMIF(bordro810[Personel],bordro89[[#This Row],[Personel]],bordro810[M. Tutar])</f>
        <v>12420</v>
      </c>
      <c r="E11" s="379" t="n">
        <f aca="false">SUMIF(bordro810[Personel],bordro89[[#This Row],[Personel]],bordro810[Ödeme])</f>
        <v>7360</v>
      </c>
      <c r="F11" s="380" t="n">
        <f aca="false">bordro89[[#This Row],[T. MESAİ]]-bordro89[[#This Row],[T. ÖDEME]]</f>
        <v>5060</v>
      </c>
    </row>
    <row r="12" s="326" customFormat="true" ht="15" hidden="false" customHeight="false" outlineLevel="0" collapsed="false">
      <c r="A12" s="1"/>
      <c r="B12" s="328" t="s">
        <v>102</v>
      </c>
      <c r="C12" s="378" t="n">
        <f aca="false">SUMIF(bordro810[Personel],bordro89[[#This Row],[Personel]],bordro810[Saat])</f>
        <v>66</v>
      </c>
      <c r="D12" s="379" t="n">
        <f aca="false">SUMIF(bordro810[Personel],bordro89[[#This Row],[Personel]],bordro810[M. Tutar])</f>
        <v>15030</v>
      </c>
      <c r="E12" s="379" t="n">
        <f aca="false">SUMIF(bordro810[Personel],bordro89[[#This Row],[Personel]],bordro810[Ödeme])</f>
        <v>0</v>
      </c>
      <c r="F12" s="380" t="n">
        <f aca="false">bordro89[[#This Row],[T. MESAİ]]-bordro89[[#This Row],[T. ÖDEME]]</f>
        <v>15030</v>
      </c>
      <c r="G12" s="1"/>
      <c r="H12" s="1"/>
      <c r="I12" s="1"/>
      <c r="J12" s="1"/>
      <c r="K12" s="1"/>
      <c r="L12" s="1"/>
      <c r="M12" s="370"/>
      <c r="N12" s="370"/>
      <c r="O12" s="370"/>
    </row>
    <row r="13" customFormat="false" ht="15" hidden="false" customHeight="false" outlineLevel="0" collapsed="false">
      <c r="B13" s="328" t="s">
        <v>103</v>
      </c>
      <c r="C13" s="378" t="n">
        <f aca="false">SUMIF(bordro810[Personel],bordro89[[#This Row],[Personel]],bordro810[Saat])</f>
        <v>20</v>
      </c>
      <c r="D13" s="379" t="n">
        <f aca="false">SUMIF(bordro810[Personel],bordro89[[#This Row],[Personel]],bordro810[M. Tutar])</f>
        <v>5000</v>
      </c>
      <c r="E13" s="379" t="n">
        <f aca="false">SUMIF(bordro810[Personel],bordro89[[#This Row],[Personel]],bordro810[Ödeme])</f>
        <v>0</v>
      </c>
      <c r="F13" s="380" t="n">
        <f aca="false">bordro89[[#This Row],[T. MESAİ]]-bordro89[[#This Row],[T. ÖDEME]]</f>
        <v>5000</v>
      </c>
    </row>
    <row r="14" customFormat="false" ht="15" hidden="false" customHeight="false" outlineLevel="0" collapsed="false">
      <c r="A14" s="1" t="s">
        <v>410</v>
      </c>
      <c r="B14" s="328" t="s">
        <v>107</v>
      </c>
      <c r="C14" s="378" t="n">
        <f aca="false">SUMIF(bordro810[Personel],bordro89[[#This Row],[Personel]],bordro810[Saat])</f>
        <v>52</v>
      </c>
      <c r="D14" s="379" t="n">
        <f aca="false">SUMIF(bordro810[Personel],bordro89[[#This Row],[Personel]],bordro810[M. Tutar])</f>
        <v>13000</v>
      </c>
      <c r="E14" s="379" t="n">
        <f aca="false">SUMIF(bordro810[Personel],bordro89[[#This Row],[Personel]],bordro810[Ödeme])</f>
        <v>0</v>
      </c>
      <c r="F14" s="380" t="n">
        <f aca="false">bordro89[[#This Row],[T. MESAİ]]-bordro89[[#This Row],[T. ÖDEME]]</f>
        <v>13000</v>
      </c>
    </row>
    <row r="15" customFormat="false" ht="15" hidden="false" customHeight="false" outlineLevel="0" collapsed="false">
      <c r="B15" s="328" t="s">
        <v>100</v>
      </c>
      <c r="C15" s="378" t="n">
        <f aca="false">SUMIF(bordro810[Personel],bordro89[[#This Row],[Personel]],bordro810[Saat])</f>
        <v>108</v>
      </c>
      <c r="D15" s="379" t="n">
        <f aca="false">SUMIF(bordro810[Personel],bordro89[[#This Row],[Personel]],bordro810[M. Tutar])</f>
        <v>24840</v>
      </c>
      <c r="E15" s="379" t="n">
        <f aca="false">SUMIF(bordro810[Personel],bordro89[[#This Row],[Personel]],bordro810[Ödeme])</f>
        <v>7600</v>
      </c>
      <c r="F15" s="380" t="n">
        <f aca="false">bordro89[[#This Row],[T. MESAİ]]-bordro89[[#This Row],[T. ÖDEME]]</f>
        <v>17240</v>
      </c>
    </row>
    <row r="16" customFormat="false" ht="15" hidden="false" customHeight="false" outlineLevel="0" collapsed="false">
      <c r="A16" s="326"/>
      <c r="B16" s="328" t="s">
        <v>119</v>
      </c>
      <c r="C16" s="378" t="n">
        <f aca="false">SUMIF(bordro810[Personel],bordro89[[#This Row],[Personel]],bordro810[Saat])</f>
        <v>20</v>
      </c>
      <c r="D16" s="379" t="n">
        <f aca="false">SUMIF(bordro810[Personel],bordro89[[#This Row],[Personel]],bordro810[M. Tutar])</f>
        <v>5000</v>
      </c>
      <c r="E16" s="379" t="n">
        <f aca="false">SUMIF(bordro810[Personel],bordro89[[#This Row],[Personel]],bordro810[Ödeme])</f>
        <v>0</v>
      </c>
      <c r="F16" s="380" t="n">
        <f aca="false">bordro89[[#This Row],[T. MESAİ]]-bordro89[[#This Row],[T. ÖDEME]]</f>
        <v>5000</v>
      </c>
      <c r="G16" s="326"/>
      <c r="H16" s="326"/>
      <c r="I16" s="326"/>
      <c r="J16" s="326"/>
      <c r="K16" s="326"/>
      <c r="L16" s="326"/>
      <c r="M16" s="381"/>
      <c r="N16" s="381"/>
      <c r="O16" s="381"/>
    </row>
    <row r="17" customFormat="false" ht="15" hidden="false" customHeight="false" outlineLevel="0" collapsed="false">
      <c r="A17" s="1" t="s">
        <v>410</v>
      </c>
      <c r="B17" s="328" t="s">
        <v>121</v>
      </c>
      <c r="C17" s="378" t="n">
        <f aca="false">SUMIF(bordro810[Personel],bordro89[[#This Row],[Personel]],bordro810[Saat])</f>
        <v>25</v>
      </c>
      <c r="D17" s="379" t="n">
        <f aca="false">SUMIF(bordro810[Personel],bordro89[[#This Row],[Personel]],bordro810[M. Tutar])</f>
        <v>6250</v>
      </c>
      <c r="E17" s="379" t="n">
        <f aca="false">SUMIF(bordro810[Personel],bordro89[[#This Row],[Personel]],bordro810[Ödeme])</f>
        <v>0</v>
      </c>
      <c r="F17" s="380" t="n">
        <f aca="false">bordro89[[#This Row],[T. MESAİ]]-bordro89[[#This Row],[T. ÖDEME]]</f>
        <v>6250</v>
      </c>
    </row>
    <row r="18" customFormat="false" ht="15" hidden="false" customHeight="false" outlineLevel="0" collapsed="false">
      <c r="B18" s="328" t="s">
        <v>116</v>
      </c>
      <c r="C18" s="378" t="n">
        <f aca="false">SUMIF(bordro810[Personel],bordro89[[#This Row],[Personel]],bordro810[Saat])</f>
        <v>56</v>
      </c>
      <c r="D18" s="379" t="n">
        <f aca="false">SUMIF(bordro810[Personel],bordro89[[#This Row],[Personel]],bordro810[M. Tutar])</f>
        <v>12880</v>
      </c>
      <c r="E18" s="379" t="n">
        <f aca="false">SUMIF(bordro810[Personel],bordro89[[#This Row],[Personel]],bordro810[Ödeme])</f>
        <v>5060</v>
      </c>
      <c r="F18" s="380" t="n">
        <f aca="false">bordro89[[#This Row],[T. MESAİ]]-bordro89[[#This Row],[T. ÖDEME]]</f>
        <v>7820</v>
      </c>
    </row>
    <row r="19" customFormat="false" ht="15" hidden="false" customHeight="false" outlineLevel="0" collapsed="false">
      <c r="B19" s="359" t="s">
        <v>111</v>
      </c>
      <c r="C19" s="378" t="n">
        <f aca="false">SUMIF(bordro810[Personel],bordro89[[#This Row],[Personel]],bordro810[Saat])</f>
        <v>0</v>
      </c>
      <c r="D19" s="379" t="n">
        <f aca="false">SUMIF(bordro810[Personel],bordro89[[#This Row],[Personel]],bordro810[M. Tutar])</f>
        <v>0</v>
      </c>
      <c r="E19" s="379" t="n">
        <f aca="false">SUMIF(bordro810[Personel],bordro89[[#This Row],[Personel]],bordro810[Ödeme])</f>
        <v>0</v>
      </c>
      <c r="F19" s="380" t="n">
        <f aca="false">bordro89[[#This Row],[T. MESAİ]]-bordro89[[#This Row],[T. ÖDEME]]</f>
        <v>0</v>
      </c>
    </row>
    <row r="20" customFormat="false" ht="15" hidden="false" customHeight="false" outlineLevel="0" collapsed="false">
      <c r="B20" s="355"/>
      <c r="C20" s="378" t="n">
        <f aca="false">SUMIF(bordro810[Personel],bordro89[[#This Row],[Personel]],bordro810[Saat])</f>
        <v>0</v>
      </c>
      <c r="D20" s="379" t="n">
        <f aca="false">SUMIF(bordro810[Personel],bordro89[[#This Row],[Personel]],bordro810[M. Tutar])</f>
        <v>0</v>
      </c>
      <c r="E20" s="379" t="n">
        <f aca="false">SUMIF(bordro810[Personel],bordro89[[#This Row],[Personel]],bordro810[Ödeme])</f>
        <v>0</v>
      </c>
      <c r="F20" s="380" t="n">
        <f aca="false">bordro89[[#This Row],[T. MESAİ]]-bordro89[[#This Row],[T. ÖDEME]]</f>
        <v>0</v>
      </c>
    </row>
    <row r="21" customFormat="false" ht="15" hidden="false" customHeight="false" outlineLevel="0" collapsed="false">
      <c r="B21" s="364"/>
      <c r="C21" s="378" t="n">
        <f aca="false">SUMIF(bordro810[Personel],bordro89[[#This Row],[Personel]],bordro810[Saat])</f>
        <v>0</v>
      </c>
      <c r="D21" s="379" t="n">
        <f aca="false">SUMIF(bordro810[Personel],bordro89[[#This Row],[Personel]],bordro810[M. Tutar])</f>
        <v>0</v>
      </c>
      <c r="E21" s="379" t="n">
        <f aca="false">SUMIF(bordro810[Personel],bordro89[[#This Row],[Personel]],bordro810[Ödeme])</f>
        <v>0</v>
      </c>
      <c r="F21" s="380" t="n">
        <f aca="false">bordro89[[#This Row],[T. MESAİ]]-bordro89[[#This Row],[T. ÖDEME]]</f>
        <v>0</v>
      </c>
    </row>
    <row r="22" customFormat="false" ht="15" hidden="false" customHeight="false" outlineLevel="0" collapsed="false">
      <c r="B22" s="364"/>
      <c r="C22" s="378" t="n">
        <f aca="false">SUMIF(bordro810[Personel],bordro89[[#This Row],[Personel]],bordro810[Saat])</f>
        <v>0</v>
      </c>
      <c r="D22" s="379" t="n">
        <f aca="false">SUMIF(bordro810[Personel],bordro89[[#This Row],[Personel]],bordro810[M. Tutar])</f>
        <v>0</v>
      </c>
      <c r="E22" s="379" t="n">
        <f aca="false">SUMIF(bordro810[Personel],bordro89[[#This Row],[Personel]],bordro810[Ödeme])</f>
        <v>0</v>
      </c>
      <c r="F22" s="380" t="n">
        <f aca="false">bordro89[[#This Row],[T. MESAİ]]-bordro89[[#This Row],[T. ÖDEME]]</f>
        <v>0</v>
      </c>
    </row>
    <row r="23" customFormat="false" ht="15" hidden="false" customHeight="false" outlineLevel="0" collapsed="false">
      <c r="B23" s="364"/>
      <c r="C23" s="378" t="n">
        <f aca="false">SUMIF(bordro810[Personel],bordro89[[#This Row],[Personel]],bordro810[Saat])</f>
        <v>0</v>
      </c>
      <c r="D23" s="379" t="n">
        <f aca="false">SUMIF(bordro810[Personel],bordro89[[#This Row],[Personel]],bordro810[M. Tutar])</f>
        <v>0</v>
      </c>
      <c r="E23" s="379" t="n">
        <f aca="false">SUMIF(bordro810[Personel],bordro89[[#This Row],[Personel]],bordro810[Ödeme])</f>
        <v>0</v>
      </c>
      <c r="F23" s="380" t="n">
        <f aca="false">bordro89[[#This Row],[T. MESAİ]]-bordro89[[#This Row],[T. ÖDEME]]</f>
        <v>0</v>
      </c>
    </row>
    <row r="24" customFormat="false" ht="15" hidden="false" customHeight="false" outlineLevel="0" collapsed="false">
      <c r="B24" s="364"/>
      <c r="C24" s="378" t="n">
        <f aca="false">SUMIF(bordro810[Personel],bordro89[[#This Row],[Personel]],bordro810[Saat])</f>
        <v>0</v>
      </c>
      <c r="D24" s="379" t="n">
        <f aca="false">SUMIF(bordro810[Personel],bordro89[[#This Row],[Personel]],bordro810[M. Tutar])</f>
        <v>0</v>
      </c>
      <c r="E24" s="379" t="n">
        <f aca="false">SUMIF(bordro810[Personel],bordro89[[#This Row],[Personel]],bordro810[Ödeme])</f>
        <v>0</v>
      </c>
      <c r="F24" s="380" t="n">
        <f aca="false">bordro89[[#This Row],[T. MESAİ]]-bordro89[[#This Row],[T. ÖDEME]]</f>
        <v>0</v>
      </c>
    </row>
    <row r="25" customFormat="false" ht="15" hidden="false" customHeight="false" outlineLevel="0" collapsed="false">
      <c r="B25" s="364"/>
      <c r="C25" s="378" t="n">
        <f aca="false">SUMIF(bordro810[Personel],bordro89[[#This Row],[Personel]],bordro810[Saat])</f>
        <v>0</v>
      </c>
      <c r="D25" s="379" t="n">
        <f aca="false">SUMIF(bordro810[Personel],bordro89[[#This Row],[Personel]],bordro810[M. Tutar])</f>
        <v>0</v>
      </c>
      <c r="E25" s="379" t="n">
        <f aca="false">SUMIF(bordro810[Personel],bordro89[[#This Row],[Personel]],bordro810[Ödeme])</f>
        <v>0</v>
      </c>
      <c r="F25" s="380" t="n">
        <f aca="false">bordro89[[#This Row],[T. MESAİ]]-bordro89[[#This Row],[T. ÖDEME]]</f>
        <v>0</v>
      </c>
    </row>
    <row r="26" customFormat="false" ht="15" hidden="false" customHeight="false" outlineLevel="0" collapsed="false">
      <c r="B26" s="364"/>
      <c r="C26" s="378" t="n">
        <f aca="false">SUMIF(bordro810[Personel],bordro89[[#This Row],[Personel]],bordro810[Saat])</f>
        <v>0</v>
      </c>
      <c r="D26" s="379" t="n">
        <f aca="false">SUMIF(bordro810[Personel],bordro89[[#This Row],[Personel]],bordro810[M. Tutar])</f>
        <v>0</v>
      </c>
      <c r="E26" s="379" t="n">
        <f aca="false">SUMIF(bordro810[Personel],bordro89[[#This Row],[Personel]],bordro810[Ödeme])</f>
        <v>0</v>
      </c>
      <c r="F26" s="380" t="n">
        <f aca="false">bordro89[[#This Row],[T. MESAİ]]-bordro89[[#This Row],[T. ÖDEME]]</f>
        <v>0</v>
      </c>
    </row>
    <row r="27" customFormat="false" ht="15" hidden="false" customHeight="false" outlineLevel="0" collapsed="false">
      <c r="B27" s="364"/>
      <c r="C27" s="378" t="n">
        <f aca="false">SUMIF(bordro810[Personel],bordro89[[#This Row],[Personel]],bordro810[Saat])</f>
        <v>0</v>
      </c>
      <c r="D27" s="379" t="n">
        <f aca="false">SUMIF(bordro810[Personel],bordro89[[#This Row],[Personel]],bordro810[M. Tutar])</f>
        <v>0</v>
      </c>
      <c r="E27" s="379" t="n">
        <f aca="false">SUMIF(bordro810[Personel],bordro89[[#This Row],[Personel]],bordro810[Ödeme])</f>
        <v>0</v>
      </c>
      <c r="F27" s="380" t="n">
        <f aca="false">bordro89[[#This Row],[T. MESAİ]]-bordro89[[#This Row],[T. ÖDEME]]</f>
        <v>0</v>
      </c>
    </row>
    <row r="28" customFormat="false" ht="15" hidden="false" customHeight="false" outlineLevel="0" collapsed="false">
      <c r="B28" s="364"/>
      <c r="C28" s="364" t="n">
        <f aca="false">SUBTOTAL(109,bordro89[T.Saat])</f>
        <v>697</v>
      </c>
      <c r="D28" s="382" t="n">
        <f aca="false">SUBTOTAL(109,bordro89[T. MESAİ])</f>
        <v>155810</v>
      </c>
      <c r="E28" s="383" t="n">
        <f aca="false">SUBTOTAL(109,bordro89[T. ÖDEME])</f>
        <v>29820</v>
      </c>
      <c r="F28" s="384" t="n">
        <f aca="false">SUBTOTAL(109,bordro89[BAKİYE])</f>
        <v>125990</v>
      </c>
      <c r="G28" s="352"/>
      <c r="H28" s="352"/>
    </row>
  </sheetData>
  <mergeCells count="1">
    <mergeCell ref="E2:F2"/>
  </mergeCells>
  <dataValidations count="1">
    <dataValidation allowBlank="true" errorStyle="stop" operator="between" showDropDown="false" showErrorMessage="true" showInputMessage="true" sqref="B4:B27" type="list">
      <formula1>PersonelListesi!$A$2:$A$38</formula1>
      <formula2>0</formula2>
    </dataValidation>
  </dataValidations>
  <printOptions headings="false" gridLines="false" gridLinesSet="true" horizontalCentered="false" verticalCentered="false"/>
  <pageMargins left="1.02013888888889" right="0.240277777777778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100" zoomScalePageLayoutView="100" workbookViewId="0">
      <selection pane="topLeft" activeCell="I34" activeCellId="0" sqref="I34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23.86"/>
    <col collapsed="false" customWidth="true" hidden="false" outlineLevel="0" max="2" min="2" style="1" width="18.42"/>
    <col collapsed="false" customWidth="true" hidden="false" outlineLevel="0" max="3" min="3" style="1" width="16.84"/>
    <col collapsed="false" customWidth="true" hidden="false" outlineLevel="0" max="4" min="4" style="1" width="16.43"/>
    <col collapsed="false" customWidth="true" hidden="false" outlineLevel="0" max="5" min="5" style="1" width="19.57"/>
    <col collapsed="false" customWidth="true" hidden="false" outlineLevel="0" max="6" min="6" style="1" width="6.29"/>
    <col collapsed="false" customWidth="true" hidden="false" outlineLevel="0" max="9" min="7" style="1" width="7.71"/>
    <col collapsed="false" customWidth="true" hidden="false" outlineLevel="0" max="10" min="10" style="1" width="9.29"/>
    <col collapsed="false" customWidth="true" hidden="false" outlineLevel="0" max="13" min="11" style="1" width="7.71"/>
    <col collapsed="false" customWidth="true" hidden="false" outlineLevel="0" max="14" min="14" style="1" width="6.71"/>
    <col collapsed="false" customWidth="true" hidden="false" outlineLevel="0" max="16" min="15" style="1" width="7.71"/>
    <col collapsed="false" customWidth="true" hidden="false" outlineLevel="0" max="18" min="17" style="1" width="9.29"/>
    <col collapsed="false" customWidth="true" hidden="false" outlineLevel="0" max="23" min="19" style="1" width="7.71"/>
    <col collapsed="false" customWidth="true" hidden="false" outlineLevel="0" max="24" min="24" style="1" width="9.29"/>
    <col collapsed="false" customWidth="true" hidden="false" outlineLevel="0" max="28" min="25" style="1" width="7.71"/>
    <col collapsed="false" customWidth="true" hidden="false" outlineLevel="0" max="29" min="29" style="1" width="9.29"/>
    <col collapsed="false" customWidth="true" hidden="false" outlineLevel="0" max="30" min="30" style="1" width="7.71"/>
    <col collapsed="false" customWidth="true" hidden="false" outlineLevel="0" max="31" min="31" style="1" width="6.43"/>
    <col collapsed="false" customWidth="true" hidden="false" outlineLevel="0" max="33" min="32" style="1" width="7.71"/>
    <col collapsed="false" customWidth="true" hidden="false" outlineLevel="0" max="34" min="34" style="1" width="9.29"/>
    <col collapsed="false" customWidth="true" hidden="false" outlineLevel="0" max="38" min="35" style="1" width="7.71"/>
    <col collapsed="false" customWidth="true" hidden="false" outlineLevel="0" max="40" min="39" style="1" width="9.29"/>
    <col collapsed="false" customWidth="true" hidden="false" outlineLevel="0" max="41" min="41" style="1" width="7.71"/>
    <col collapsed="false" customWidth="true" hidden="false" outlineLevel="0" max="42" min="42" style="1" width="6.57"/>
    <col collapsed="false" customWidth="true" hidden="false" outlineLevel="0" max="43" min="43" style="1" width="7.71"/>
    <col collapsed="false" customWidth="true" hidden="false" outlineLevel="0" max="44" min="44" style="1" width="9.29"/>
    <col collapsed="false" customWidth="true" hidden="false" outlineLevel="0" max="47" min="45" style="1" width="7.71"/>
    <col collapsed="false" customWidth="true" hidden="false" outlineLevel="0" max="48" min="48" style="1" width="9.29"/>
    <col collapsed="false" customWidth="true" hidden="false" outlineLevel="0" max="49" min="49" style="1" width="7.71"/>
    <col collapsed="false" customWidth="true" hidden="false" outlineLevel="0" max="50" min="50" style="1" width="6.71"/>
    <col collapsed="false" customWidth="true" hidden="false" outlineLevel="0" max="56" min="51" style="1" width="9.29"/>
    <col collapsed="false" customWidth="true" hidden="false" outlineLevel="0" max="57" min="57" style="1" width="7.71"/>
    <col collapsed="false" customWidth="true" hidden="false" outlineLevel="0" max="59" min="58" style="1" width="9.29"/>
    <col collapsed="false" customWidth="true" hidden="false" outlineLevel="0" max="63" min="60" style="1" width="7.71"/>
    <col collapsed="false" customWidth="true" hidden="false" outlineLevel="0" max="65" min="64" style="1" width="9.29"/>
    <col collapsed="false" customWidth="true" hidden="false" outlineLevel="0" max="66" min="66" style="1" width="7.71"/>
    <col collapsed="false" customWidth="true" hidden="false" outlineLevel="0" max="68" min="67" style="1" width="9.29"/>
    <col collapsed="false" customWidth="true" hidden="false" outlineLevel="0" max="69" min="69" style="1" width="6.57"/>
    <col collapsed="false" customWidth="true" hidden="false" outlineLevel="0" max="70" min="70" style="1" width="6.71"/>
    <col collapsed="false" customWidth="true" hidden="false" outlineLevel="0" max="71" min="71" style="1" width="7.71"/>
    <col collapsed="false" customWidth="true" hidden="false" outlineLevel="0" max="73" min="72" style="1" width="9.29"/>
    <col collapsed="false" customWidth="true" hidden="false" outlineLevel="0" max="75" min="74" style="1" width="7.71"/>
    <col collapsed="false" customWidth="true" hidden="false" outlineLevel="0" max="77" min="76" style="1" width="9.29"/>
    <col collapsed="false" customWidth="true" hidden="false" outlineLevel="0" max="78" min="78" style="1" width="7.71"/>
    <col collapsed="false" customWidth="true" hidden="false" outlineLevel="0" max="80" min="79" style="1" width="9.29"/>
    <col collapsed="false" customWidth="true" hidden="false" outlineLevel="0" max="81" min="81" style="1" width="7.71"/>
    <col collapsed="false" customWidth="true" hidden="false" outlineLevel="0" max="83" min="82" style="1" width="9.29"/>
    <col collapsed="false" customWidth="true" hidden="false" outlineLevel="0" max="84" min="84" style="1" width="7.71"/>
    <col collapsed="false" customWidth="true" hidden="false" outlineLevel="0" max="87" min="85" style="1" width="9.29"/>
    <col collapsed="false" customWidth="true" hidden="false" outlineLevel="0" max="88" min="88" style="1" width="7.29"/>
    <col collapsed="false" customWidth="true" hidden="false" outlineLevel="0" max="89" min="89" style="1" width="6.43"/>
    <col collapsed="false" customWidth="true" hidden="false" outlineLevel="0" max="90" min="90" style="1" width="6.71"/>
    <col collapsed="false" customWidth="true" hidden="false" outlineLevel="0" max="91" min="91" style="1" width="6.43"/>
    <col collapsed="false" customWidth="true" hidden="false" outlineLevel="0" max="92" min="92" style="1" width="7.71"/>
    <col collapsed="false" customWidth="true" hidden="false" outlineLevel="0" max="95" min="93" style="1" width="9.29"/>
    <col collapsed="false" customWidth="true" hidden="false" outlineLevel="0" max="97" min="96" style="1" width="7.71"/>
    <col collapsed="false" customWidth="true" hidden="false" outlineLevel="0" max="98" min="98" style="1" width="5.57"/>
    <col collapsed="false" customWidth="true" hidden="false" outlineLevel="0" max="99" min="99" style="1" width="7.71"/>
    <col collapsed="false" customWidth="true" hidden="false" outlineLevel="0" max="100" min="100" style="1" width="9.29"/>
    <col collapsed="false" customWidth="true" hidden="false" outlineLevel="0" max="101" min="101" style="1" width="7.29"/>
    <col collapsed="false" customWidth="true" hidden="false" outlineLevel="0" max="102" min="102" style="1" width="9.29"/>
    <col collapsed="false" customWidth="true" hidden="false" outlineLevel="0" max="103" min="103" style="1" width="7.71"/>
    <col collapsed="false" customWidth="true" hidden="false" outlineLevel="0" max="104" min="104" style="1" width="9.29"/>
    <col collapsed="false" customWidth="true" hidden="false" outlineLevel="0" max="105" min="105" style="1" width="7.71"/>
    <col collapsed="false" customWidth="true" hidden="false" outlineLevel="0" max="106" min="106" style="1" width="9.29"/>
    <col collapsed="false" customWidth="true" hidden="false" outlineLevel="0" max="116" min="107" style="1" width="7.71"/>
    <col collapsed="false" customWidth="true" hidden="false" outlineLevel="0" max="117" min="117" style="1" width="9.29"/>
    <col collapsed="false" customWidth="true" hidden="false" outlineLevel="0" max="123" min="118" style="1" width="7.71"/>
    <col collapsed="false" customWidth="true" hidden="false" outlineLevel="0" max="124" min="124" style="1" width="9.29"/>
    <col collapsed="false" customWidth="true" hidden="false" outlineLevel="0" max="129" min="125" style="1" width="7.71"/>
    <col collapsed="false" customWidth="true" hidden="false" outlineLevel="0" max="130" min="130" style="1" width="9.29"/>
    <col collapsed="false" customWidth="true" hidden="false" outlineLevel="0" max="131" min="131" style="1" width="7.71"/>
    <col collapsed="false" customWidth="true" hidden="false" outlineLevel="0" max="134" min="132" style="1" width="9.29"/>
    <col collapsed="false" customWidth="true" hidden="false" outlineLevel="0" max="135" min="135" style="1" width="7.71"/>
    <col collapsed="false" customWidth="true" hidden="false" outlineLevel="0" max="139" min="136" style="1" width="9.29"/>
    <col collapsed="false" customWidth="true" hidden="false" outlineLevel="0" max="140" min="140" style="1" width="7.71"/>
    <col collapsed="false" customWidth="true" hidden="false" outlineLevel="0" max="141" min="141" style="1" width="6.71"/>
    <col collapsed="false" customWidth="true" hidden="false" outlineLevel="0" max="142" min="142" style="1" width="9.29"/>
    <col collapsed="false" customWidth="true" hidden="false" outlineLevel="0" max="143" min="143" style="1" width="7.71"/>
    <col collapsed="false" customWidth="true" hidden="false" outlineLevel="0" max="144" min="144" style="1" width="9.29"/>
    <col collapsed="false" customWidth="true" hidden="false" outlineLevel="0" max="145" min="145" style="1" width="6.43"/>
    <col collapsed="false" customWidth="true" hidden="false" outlineLevel="0" max="147" min="146" style="1" width="7.71"/>
    <col collapsed="false" customWidth="true" hidden="false" outlineLevel="0" max="148" min="148" style="1" width="6.71"/>
    <col collapsed="false" customWidth="true" hidden="false" outlineLevel="0" max="150" min="149" style="1" width="7.71"/>
    <col collapsed="false" customWidth="true" hidden="false" outlineLevel="0" max="151" min="151" style="1" width="9.29"/>
    <col collapsed="false" customWidth="true" hidden="false" outlineLevel="0" max="153" min="152" style="1" width="7.71"/>
    <col collapsed="false" customWidth="true" hidden="false" outlineLevel="0" max="154" min="154" style="1" width="6.57"/>
    <col collapsed="false" customWidth="true" hidden="false" outlineLevel="0" max="157" min="155" style="1" width="7.71"/>
    <col collapsed="false" customWidth="true" hidden="false" outlineLevel="0" max="158" min="158" style="1" width="9.29"/>
    <col collapsed="false" customWidth="true" hidden="false" outlineLevel="0" max="164" min="159" style="1" width="7.71"/>
    <col collapsed="false" customWidth="true" hidden="false" outlineLevel="0" max="165" min="165" style="1" width="9.29"/>
    <col collapsed="false" customWidth="true" hidden="false" outlineLevel="0" max="166" min="166" style="1" width="6.43"/>
    <col collapsed="false" customWidth="true" hidden="false" outlineLevel="0" max="168" min="167" style="1" width="7.71"/>
    <col collapsed="false" customWidth="true" hidden="false" outlineLevel="0" max="169" min="169" style="1" width="9.29"/>
    <col collapsed="false" customWidth="true" hidden="false" outlineLevel="0" max="172" min="170" style="1" width="7.71"/>
    <col collapsed="false" customWidth="true" hidden="false" outlineLevel="0" max="173" min="173" style="1" width="9.29"/>
    <col collapsed="false" customWidth="true" hidden="false" outlineLevel="0" max="174" min="174" style="1" width="7.71"/>
    <col collapsed="false" customWidth="true" hidden="false" outlineLevel="0" max="175" min="175" style="1" width="6.71"/>
    <col collapsed="false" customWidth="true" hidden="false" outlineLevel="0" max="176" min="176" style="1" width="9.29"/>
    <col collapsed="false" customWidth="true" hidden="false" outlineLevel="0" max="177" min="177" style="1" width="7.71"/>
    <col collapsed="false" customWidth="true" hidden="false" outlineLevel="0" max="178" min="178" style="1" width="7.29"/>
    <col collapsed="false" customWidth="true" hidden="false" outlineLevel="0" max="185" min="179" style="1" width="7.71"/>
    <col collapsed="false" customWidth="true" hidden="false" outlineLevel="0" max="186" min="186" style="1" width="6.71"/>
    <col collapsed="false" customWidth="true" hidden="false" outlineLevel="0" max="188" min="187" style="1" width="7.71"/>
    <col collapsed="false" customWidth="true" hidden="false" outlineLevel="0" max="189" min="189" style="1" width="6.57"/>
    <col collapsed="false" customWidth="true" hidden="false" outlineLevel="0" max="191" min="190" style="1" width="7.71"/>
    <col collapsed="false" customWidth="true" hidden="false" outlineLevel="0" max="193" min="192" style="1" width="9.29"/>
    <col collapsed="false" customWidth="true" hidden="false" outlineLevel="0" max="195" min="194" style="1" width="7.71"/>
    <col collapsed="false" customWidth="true" hidden="false" outlineLevel="0" max="196" min="196" style="1" width="9.29"/>
    <col collapsed="false" customWidth="true" hidden="false" outlineLevel="0" max="199" min="197" style="1" width="7.71"/>
    <col collapsed="false" customWidth="true" hidden="false" outlineLevel="0" max="200" min="200" style="1" width="9.29"/>
    <col collapsed="false" customWidth="true" hidden="false" outlineLevel="0" max="206" min="201" style="1" width="7.71"/>
    <col collapsed="false" customWidth="true" hidden="false" outlineLevel="0" max="207" min="207" style="1" width="9.29"/>
    <col collapsed="false" customWidth="true" hidden="false" outlineLevel="0" max="208" min="208" style="1" width="7.71"/>
    <col collapsed="false" customWidth="true" hidden="false" outlineLevel="0" max="209" min="209" style="1" width="9.29"/>
    <col collapsed="false" customWidth="true" hidden="false" outlineLevel="0" max="212" min="210" style="1" width="7.71"/>
    <col collapsed="false" customWidth="true" hidden="false" outlineLevel="0" max="214" min="213" style="1" width="9.29"/>
    <col collapsed="false" customWidth="true" hidden="false" outlineLevel="0" max="215" min="215" style="1" width="6.71"/>
    <col collapsed="false" customWidth="true" hidden="false" outlineLevel="0" max="218" min="216" style="1" width="9.29"/>
    <col collapsed="false" customWidth="true" hidden="false" outlineLevel="0" max="219" min="219" style="1" width="6.57"/>
    <col collapsed="false" customWidth="true" hidden="false" outlineLevel="0" max="221" min="220" style="1" width="7.71"/>
    <col collapsed="false" customWidth="true" hidden="false" outlineLevel="0" max="222" min="222" style="1" width="6.71"/>
    <col collapsed="false" customWidth="true" hidden="false" outlineLevel="0" max="223" min="223" style="1" width="7.71"/>
    <col collapsed="false" customWidth="true" hidden="false" outlineLevel="0" max="224" min="224" style="1" width="6.29"/>
    <col collapsed="false" customWidth="true" hidden="false" outlineLevel="0" max="225" min="225" style="1" width="6.57"/>
    <col collapsed="false" customWidth="true" hidden="false" outlineLevel="0" max="228" min="226" style="1" width="7.71"/>
    <col collapsed="false" customWidth="true" hidden="false" outlineLevel="0" max="229" min="229" style="1" width="9.29"/>
    <col collapsed="false" customWidth="true" hidden="false" outlineLevel="0" max="230" min="230" style="1" width="6.29"/>
    <col collapsed="false" customWidth="true" hidden="false" outlineLevel="0" max="231" min="231" style="1" width="11.14"/>
    <col collapsed="false" customWidth="true" hidden="false" outlineLevel="0" max="232" min="232" style="1" width="7.29"/>
    <col collapsed="false" customWidth="true" hidden="false" outlineLevel="0" max="233" min="233" style="1" width="7.71"/>
    <col collapsed="false" customWidth="true" hidden="false" outlineLevel="0" max="234" min="234" style="1" width="6.43"/>
    <col collapsed="false" customWidth="true" hidden="false" outlineLevel="0" max="235" min="235" style="1" width="6.29"/>
    <col collapsed="false" customWidth="true" hidden="false" outlineLevel="0" max="237" min="236" style="1" width="7.71"/>
    <col collapsed="false" customWidth="true" hidden="false" outlineLevel="0" max="238" min="238" style="1" width="6.71"/>
    <col collapsed="false" customWidth="true" hidden="false" outlineLevel="0" max="239" min="239" style="1" width="6.43"/>
    <col collapsed="false" customWidth="true" hidden="false" outlineLevel="0" max="240" min="240" style="1" width="6.29"/>
    <col collapsed="false" customWidth="true" hidden="false" outlineLevel="0" max="241" min="241" style="1" width="6.57"/>
    <col collapsed="false" customWidth="true" hidden="false" outlineLevel="0" max="243" min="242" style="1" width="7.71"/>
    <col collapsed="false" customWidth="true" hidden="false" outlineLevel="0" max="244" min="244" style="1" width="7.29"/>
    <col collapsed="false" customWidth="true" hidden="false" outlineLevel="0" max="245" min="245" style="1" width="7.71"/>
    <col collapsed="false" customWidth="true" hidden="false" outlineLevel="0" max="246" min="246" style="1" width="6.71"/>
    <col collapsed="false" customWidth="true" hidden="false" outlineLevel="0" max="247" min="247" style="1" width="6.43"/>
    <col collapsed="false" customWidth="true" hidden="false" outlineLevel="0" max="248" min="248" style="1" width="6.57"/>
    <col collapsed="false" customWidth="true" hidden="false" outlineLevel="0" max="249" min="249" style="1" width="7.29"/>
    <col collapsed="false" customWidth="true" hidden="false" outlineLevel="0" max="250" min="250" style="1" width="9.29"/>
    <col collapsed="false" customWidth="true" hidden="false" outlineLevel="0" max="251" min="251" style="1" width="6.43"/>
    <col collapsed="false" customWidth="true" hidden="false" outlineLevel="0" max="252" min="252" style="1" width="6.29"/>
    <col collapsed="false" customWidth="true" hidden="false" outlineLevel="0" max="253" min="253" style="1" width="6.71"/>
    <col collapsed="false" customWidth="true" hidden="false" outlineLevel="0" max="254" min="254" style="1" width="7.71"/>
    <col collapsed="false" customWidth="true" hidden="false" outlineLevel="0" max="255" min="255" style="1" width="7.29"/>
    <col collapsed="false" customWidth="true" hidden="false" outlineLevel="0" max="258" min="256" style="1" width="7.71"/>
    <col collapsed="false" customWidth="true" hidden="false" outlineLevel="0" max="259" min="259" style="1" width="9.29"/>
    <col collapsed="false" customWidth="true" hidden="false" outlineLevel="0" max="260" min="260" style="1" width="6.29"/>
    <col collapsed="false" customWidth="true" hidden="false" outlineLevel="0" max="261" min="261" style="1" width="6.71"/>
    <col collapsed="false" customWidth="true" hidden="false" outlineLevel="0" max="263" min="262" style="1" width="9.29"/>
    <col collapsed="false" customWidth="true" hidden="false" outlineLevel="0" max="264" min="264" style="1" width="6.29"/>
    <col collapsed="false" customWidth="true" hidden="false" outlineLevel="0" max="265" min="265" style="1" width="6.71"/>
    <col collapsed="false" customWidth="true" hidden="false" outlineLevel="0" max="266" min="266" style="1" width="9.29"/>
    <col collapsed="false" customWidth="true" hidden="false" outlineLevel="0" max="274" min="267" style="1" width="7.71"/>
    <col collapsed="false" customWidth="true" hidden="false" outlineLevel="0" max="276" min="275" style="1" width="6.43"/>
    <col collapsed="false" customWidth="true" hidden="false" outlineLevel="0" max="277" min="277" style="1" width="7.71"/>
    <col collapsed="false" customWidth="true" hidden="false" outlineLevel="0" max="278" min="278" style="1" width="6.43"/>
    <col collapsed="false" customWidth="true" hidden="false" outlineLevel="0" max="279" min="279" style="1" width="6.29"/>
    <col collapsed="false" customWidth="true" hidden="false" outlineLevel="0" max="280" min="280" style="1" width="6.57"/>
    <col collapsed="false" customWidth="true" hidden="false" outlineLevel="0" max="282" min="281" style="1" width="6.71"/>
    <col collapsed="false" customWidth="true" hidden="false" outlineLevel="0" max="283" min="283" style="1" width="7.29"/>
    <col collapsed="false" customWidth="true" hidden="false" outlineLevel="0" max="284" min="284" style="1" width="6.29"/>
    <col collapsed="false" customWidth="true" hidden="false" outlineLevel="0" max="285" min="285" style="1" width="6.71"/>
    <col collapsed="false" customWidth="true" hidden="false" outlineLevel="0" max="286" min="286" style="1" width="7.71"/>
    <col collapsed="false" customWidth="true" hidden="false" outlineLevel="0" max="287" min="287" style="1" width="7.29"/>
    <col collapsed="false" customWidth="true" hidden="false" outlineLevel="0" max="288" min="288" style="1" width="9.29"/>
    <col collapsed="false" customWidth="true" hidden="false" outlineLevel="0" max="289" min="289" style="1" width="6.43"/>
    <col collapsed="false" customWidth="true" hidden="false" outlineLevel="0" max="292" min="290" style="1" width="7.71"/>
    <col collapsed="false" customWidth="true" hidden="false" outlineLevel="0" max="294" min="293" style="1" width="9.29"/>
    <col collapsed="false" customWidth="true" hidden="false" outlineLevel="0" max="295" min="295" style="1" width="10.29"/>
    <col collapsed="false" customWidth="true" hidden="false" outlineLevel="0" max="298" min="296" style="1" width="9.29"/>
    <col collapsed="false" customWidth="true" hidden="false" outlineLevel="0" max="299" min="299" style="1" width="7.71"/>
    <col collapsed="false" customWidth="true" hidden="false" outlineLevel="0" max="303" min="300" style="1" width="9.29"/>
    <col collapsed="false" customWidth="true" hidden="false" outlineLevel="0" max="304" min="304" style="1" width="7.29"/>
    <col collapsed="false" customWidth="true" hidden="false" outlineLevel="0" max="305" min="305" style="1" width="7.71"/>
    <col collapsed="false" customWidth="true" hidden="false" outlineLevel="0" max="306" min="306" style="1" width="6.57"/>
    <col collapsed="false" customWidth="true" hidden="false" outlineLevel="0" max="307" min="307" style="1" width="10.29"/>
    <col collapsed="false" customWidth="true" hidden="false" outlineLevel="0" max="310" min="308" style="1" width="9.29"/>
    <col collapsed="false" customWidth="true" hidden="false" outlineLevel="0" max="311" min="311" style="1" width="7.29"/>
    <col collapsed="false" customWidth="true" hidden="false" outlineLevel="0" max="313" min="312" style="1" width="9.29"/>
    <col collapsed="false" customWidth="true" hidden="false" outlineLevel="0" max="314" min="314" style="1" width="7.71"/>
    <col collapsed="false" customWidth="true" hidden="false" outlineLevel="0" max="316" min="315" style="1" width="9.29"/>
    <col collapsed="false" customWidth="true" hidden="false" outlineLevel="0" max="317" min="317" style="1" width="6.57"/>
    <col collapsed="false" customWidth="true" hidden="false" outlineLevel="0" max="318" min="318" style="1" width="9.29"/>
    <col collapsed="false" customWidth="true" hidden="false" outlineLevel="0" max="319" min="319" style="1" width="7.71"/>
    <col collapsed="false" customWidth="true" hidden="false" outlineLevel="0" max="337" min="320" style="1" width="9.29"/>
    <col collapsed="false" customWidth="true" hidden="false" outlineLevel="0" max="338" min="338" style="1" width="7.71"/>
    <col collapsed="false" customWidth="true" hidden="false" outlineLevel="0" max="339" min="339" style="1" width="9.29"/>
    <col collapsed="false" customWidth="true" hidden="false" outlineLevel="0" max="340" min="340" style="1" width="6.43"/>
    <col collapsed="false" customWidth="true" hidden="false" outlineLevel="0" max="344" min="341" style="1" width="7.71"/>
    <col collapsed="false" customWidth="true" hidden="false" outlineLevel="0" max="355" min="345" style="1" width="9.29"/>
    <col collapsed="false" customWidth="true" hidden="false" outlineLevel="0" max="356" min="356" style="1" width="7.71"/>
    <col collapsed="false" customWidth="true" hidden="false" outlineLevel="0" max="357" min="357" style="1" width="13.57"/>
  </cols>
  <sheetData>
    <row r="1" customFormat="false" ht="15" hidden="false" customHeight="false" outlineLevel="0" collapsed="false">
      <c r="D1" s="371" t="s">
        <v>411</v>
      </c>
    </row>
    <row r="2" customFormat="false" ht="15" hidden="false" customHeight="false" outlineLevel="0" collapsed="false">
      <c r="A2" s="303" t="s">
        <v>138</v>
      </c>
      <c r="B2" s="385" t="s">
        <v>412</v>
      </c>
      <c r="C2" s="386" t="s">
        <v>413</v>
      </c>
      <c r="D2" s="387" t="s">
        <v>414</v>
      </c>
    </row>
    <row r="3" customFormat="false" ht="15" hidden="false" customHeight="false" outlineLevel="0" collapsed="false">
      <c r="A3" s="305" t="s">
        <v>122</v>
      </c>
      <c r="B3" s="388" t="n">
        <v>9250</v>
      </c>
      <c r="C3" s="389" t="n">
        <v>0</v>
      </c>
      <c r="D3" s="390" t="n">
        <v>-9250</v>
      </c>
    </row>
    <row r="4" customFormat="false" ht="15" hidden="false" customHeight="false" outlineLevel="0" collapsed="false">
      <c r="A4" s="307" t="s">
        <v>100</v>
      </c>
      <c r="B4" s="391" t="n">
        <v>24840</v>
      </c>
      <c r="C4" s="392" t="n">
        <v>7600</v>
      </c>
      <c r="D4" s="393" t="n">
        <v>-20240</v>
      </c>
    </row>
    <row r="5" customFormat="false" ht="15" hidden="false" customHeight="false" outlineLevel="0" collapsed="false">
      <c r="A5" s="307" t="s">
        <v>85</v>
      </c>
      <c r="B5" s="391" t="n">
        <v>19740</v>
      </c>
      <c r="C5" s="392" t="n">
        <v>0</v>
      </c>
      <c r="D5" s="393" t="n">
        <v>-11140</v>
      </c>
    </row>
    <row r="6" customFormat="false" ht="15" hidden="false" customHeight="false" outlineLevel="0" collapsed="false">
      <c r="A6" s="307" t="s">
        <v>87</v>
      </c>
      <c r="B6" s="391" t="n">
        <v>12750</v>
      </c>
      <c r="C6" s="392" t="n">
        <v>8000</v>
      </c>
      <c r="D6" s="393" t="n">
        <v>-4750</v>
      </c>
    </row>
    <row r="7" customFormat="false" ht="15" hidden="false" customHeight="false" outlineLevel="0" collapsed="false">
      <c r="A7" s="307" t="s">
        <v>93</v>
      </c>
      <c r="B7" s="391" t="n">
        <v>8550</v>
      </c>
      <c r="C7" s="392" t="n">
        <v>0</v>
      </c>
      <c r="D7" s="393" t="n">
        <v>-8550</v>
      </c>
    </row>
    <row r="8" customFormat="false" ht="15" hidden="false" customHeight="false" outlineLevel="0" collapsed="false">
      <c r="A8" s="307" t="s">
        <v>48</v>
      </c>
      <c r="B8" s="391" t="n">
        <v>3220</v>
      </c>
      <c r="C8" s="392" t="n">
        <v>920</v>
      </c>
      <c r="D8" s="393" t="n">
        <v>-2300</v>
      </c>
    </row>
    <row r="9" customFormat="false" ht="15" hidden="false" customHeight="false" outlineLevel="0" collapsed="false">
      <c r="A9" s="307" t="s">
        <v>102</v>
      </c>
      <c r="B9" s="391" t="n">
        <v>15030</v>
      </c>
      <c r="C9" s="392" t="n">
        <v>0</v>
      </c>
      <c r="D9" s="394" t="e">
        <f aca="false">#VALUE!</f>
        <v>#VALUE!</v>
      </c>
    </row>
    <row r="10" customFormat="false" ht="15" hidden="false" customHeight="false" outlineLevel="0" collapsed="false">
      <c r="A10" s="307" t="s">
        <v>107</v>
      </c>
      <c r="B10" s="391" t="n">
        <v>13000</v>
      </c>
      <c r="C10" s="392" t="n">
        <v>0</v>
      </c>
      <c r="D10" s="393" t="n">
        <v>-13000</v>
      </c>
    </row>
    <row r="11" customFormat="false" ht="15" hidden="false" customHeight="false" outlineLevel="0" collapsed="false">
      <c r="A11" s="307" t="s">
        <v>89</v>
      </c>
      <c r="B11" s="391" t="n">
        <v>5100</v>
      </c>
      <c r="C11" s="392" t="n">
        <v>0</v>
      </c>
      <c r="D11" s="393" t="n">
        <v>-5100</v>
      </c>
    </row>
    <row r="12" customFormat="false" ht="15" hidden="false" customHeight="false" outlineLevel="0" collapsed="false">
      <c r="A12" s="307" t="s">
        <v>91</v>
      </c>
      <c r="B12" s="391" t="n">
        <v>11100</v>
      </c>
      <c r="C12" s="392" t="n">
        <v>1800</v>
      </c>
      <c r="D12" s="393" t="n">
        <v>-9300</v>
      </c>
    </row>
    <row r="13" customFormat="false" ht="15" hidden="false" customHeight="false" outlineLevel="0" collapsed="false">
      <c r="A13" s="307" t="s">
        <v>115</v>
      </c>
      <c r="B13" s="391" t="n">
        <v>0</v>
      </c>
      <c r="C13" s="392" t="n">
        <v>0</v>
      </c>
      <c r="D13" s="393" t="n">
        <v>0</v>
      </c>
    </row>
    <row r="14" customFormat="false" ht="15" hidden="false" customHeight="false" outlineLevel="0" collapsed="false">
      <c r="A14" s="307" t="s">
        <v>117</v>
      </c>
      <c r="B14" s="391" t="n">
        <v>1000</v>
      </c>
      <c r="C14" s="392" t="n">
        <v>1000</v>
      </c>
      <c r="D14" s="393" t="n">
        <v>0</v>
      </c>
    </row>
    <row r="15" customFormat="false" ht="15" hidden="false" customHeight="false" outlineLevel="0" collapsed="false">
      <c r="A15" s="307" t="s">
        <v>103</v>
      </c>
      <c r="B15" s="391" t="n">
        <v>5000</v>
      </c>
      <c r="C15" s="392" t="n">
        <v>0</v>
      </c>
      <c r="D15" s="393" t="n">
        <v>-5000</v>
      </c>
    </row>
    <row r="16" customFormat="false" ht="15" hidden="false" customHeight="false" outlineLevel="0" collapsed="false">
      <c r="A16" s="307" t="s">
        <v>119</v>
      </c>
      <c r="B16" s="391" t="n">
        <v>5000</v>
      </c>
      <c r="C16" s="392" t="n">
        <v>0</v>
      </c>
      <c r="D16" s="393" t="n">
        <v>-5000</v>
      </c>
    </row>
    <row r="17" customFormat="false" ht="15" hidden="false" customHeight="false" outlineLevel="0" collapsed="false">
      <c r="A17" s="307" t="s">
        <v>121</v>
      </c>
      <c r="B17" s="391" t="n">
        <v>6250</v>
      </c>
      <c r="C17" s="392" t="n">
        <v>0</v>
      </c>
      <c r="D17" s="393" t="n">
        <v>-6250</v>
      </c>
    </row>
    <row r="18" customFormat="false" ht="15" hidden="false" customHeight="false" outlineLevel="0" collapsed="false">
      <c r="A18" s="307" t="s">
        <v>116</v>
      </c>
      <c r="B18" s="395" t="n">
        <v>12880</v>
      </c>
      <c r="C18" s="396" t="n">
        <v>5060</v>
      </c>
      <c r="D18" s="397" t="n">
        <v>-7820</v>
      </c>
    </row>
    <row r="19" customFormat="false" ht="15" hidden="false" customHeight="false" outlineLevel="0" collapsed="false">
      <c r="A19" s="310" t="s">
        <v>350</v>
      </c>
      <c r="B19" s="398" t="n">
        <v>152710</v>
      </c>
      <c r="C19" s="399" t="n">
        <v>24380</v>
      </c>
      <c r="D19" s="400" t="e">
        <f aca="false">#VALUE!</f>
        <v>#VALUE!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L17" activeCellId="0" sqref="L17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18.42"/>
    <col collapsed="false" customWidth="true" hidden="false" outlineLevel="0" max="3" min="3" style="1" width="7.29"/>
    <col collapsed="false" customWidth="true" hidden="false" outlineLevel="0" max="4" min="4" style="1" width="14.29"/>
    <col collapsed="false" customWidth="true" hidden="false" outlineLevel="0" max="5" min="5" style="1" width="7.29"/>
    <col collapsed="false" customWidth="true" hidden="false" outlineLevel="0" max="6" min="6" style="1" width="6.29"/>
    <col collapsed="false" customWidth="true" hidden="false" outlineLevel="0" max="9" min="7" style="1" width="7.71"/>
    <col collapsed="false" customWidth="true" hidden="false" outlineLevel="0" max="10" min="10" style="1" width="9.29"/>
    <col collapsed="false" customWidth="true" hidden="false" outlineLevel="0" max="13" min="11" style="1" width="7.71"/>
    <col collapsed="false" customWidth="true" hidden="false" outlineLevel="0" max="14" min="14" style="1" width="6.71"/>
    <col collapsed="false" customWidth="true" hidden="false" outlineLevel="0" max="16" min="15" style="1" width="7.71"/>
    <col collapsed="false" customWidth="true" hidden="false" outlineLevel="0" max="18" min="17" style="1" width="9.29"/>
    <col collapsed="false" customWidth="true" hidden="false" outlineLevel="0" max="23" min="19" style="1" width="7.71"/>
    <col collapsed="false" customWidth="true" hidden="false" outlineLevel="0" max="24" min="24" style="1" width="9.29"/>
    <col collapsed="false" customWidth="true" hidden="false" outlineLevel="0" max="28" min="25" style="1" width="7.71"/>
    <col collapsed="false" customWidth="true" hidden="false" outlineLevel="0" max="29" min="29" style="1" width="9.29"/>
    <col collapsed="false" customWidth="true" hidden="false" outlineLevel="0" max="30" min="30" style="1" width="7.71"/>
    <col collapsed="false" customWidth="true" hidden="false" outlineLevel="0" max="31" min="31" style="1" width="6.43"/>
    <col collapsed="false" customWidth="true" hidden="false" outlineLevel="0" max="33" min="32" style="1" width="7.71"/>
    <col collapsed="false" customWidth="true" hidden="false" outlineLevel="0" max="34" min="34" style="1" width="9.29"/>
    <col collapsed="false" customWidth="true" hidden="false" outlineLevel="0" max="38" min="35" style="1" width="7.71"/>
    <col collapsed="false" customWidth="true" hidden="false" outlineLevel="0" max="40" min="39" style="1" width="9.29"/>
    <col collapsed="false" customWidth="true" hidden="false" outlineLevel="0" max="41" min="41" style="1" width="7.71"/>
    <col collapsed="false" customWidth="true" hidden="false" outlineLevel="0" max="42" min="42" style="1" width="6.57"/>
    <col collapsed="false" customWidth="true" hidden="false" outlineLevel="0" max="43" min="43" style="1" width="7.71"/>
    <col collapsed="false" customWidth="true" hidden="false" outlineLevel="0" max="44" min="44" style="1" width="9.29"/>
    <col collapsed="false" customWidth="true" hidden="false" outlineLevel="0" max="47" min="45" style="1" width="7.71"/>
    <col collapsed="false" customWidth="true" hidden="false" outlineLevel="0" max="48" min="48" style="1" width="9.29"/>
    <col collapsed="false" customWidth="true" hidden="false" outlineLevel="0" max="49" min="49" style="1" width="7.71"/>
    <col collapsed="false" customWidth="true" hidden="false" outlineLevel="0" max="50" min="50" style="1" width="6.71"/>
    <col collapsed="false" customWidth="true" hidden="false" outlineLevel="0" max="56" min="51" style="1" width="9.29"/>
    <col collapsed="false" customWidth="true" hidden="false" outlineLevel="0" max="57" min="57" style="1" width="7.71"/>
    <col collapsed="false" customWidth="true" hidden="false" outlineLevel="0" max="59" min="58" style="1" width="9.29"/>
    <col collapsed="false" customWidth="true" hidden="false" outlineLevel="0" max="63" min="60" style="1" width="7.71"/>
    <col collapsed="false" customWidth="true" hidden="false" outlineLevel="0" max="65" min="64" style="1" width="9.29"/>
    <col collapsed="false" customWidth="true" hidden="false" outlineLevel="0" max="66" min="66" style="1" width="7.71"/>
    <col collapsed="false" customWidth="true" hidden="false" outlineLevel="0" max="68" min="67" style="1" width="9.29"/>
    <col collapsed="false" customWidth="true" hidden="false" outlineLevel="0" max="69" min="69" style="1" width="6.57"/>
    <col collapsed="false" customWidth="true" hidden="false" outlineLevel="0" max="70" min="70" style="1" width="6.71"/>
    <col collapsed="false" customWidth="true" hidden="false" outlineLevel="0" max="71" min="71" style="1" width="7.71"/>
    <col collapsed="false" customWidth="true" hidden="false" outlineLevel="0" max="73" min="72" style="1" width="9.29"/>
    <col collapsed="false" customWidth="true" hidden="false" outlineLevel="0" max="75" min="74" style="1" width="7.71"/>
    <col collapsed="false" customWidth="true" hidden="false" outlineLevel="0" max="77" min="76" style="1" width="9.29"/>
    <col collapsed="false" customWidth="true" hidden="false" outlineLevel="0" max="78" min="78" style="1" width="7.71"/>
    <col collapsed="false" customWidth="true" hidden="false" outlineLevel="0" max="80" min="79" style="1" width="9.29"/>
    <col collapsed="false" customWidth="true" hidden="false" outlineLevel="0" max="81" min="81" style="1" width="7.71"/>
    <col collapsed="false" customWidth="true" hidden="false" outlineLevel="0" max="83" min="82" style="1" width="9.29"/>
    <col collapsed="false" customWidth="true" hidden="false" outlineLevel="0" max="84" min="84" style="1" width="7.71"/>
    <col collapsed="false" customWidth="true" hidden="false" outlineLevel="0" max="87" min="85" style="1" width="9.29"/>
    <col collapsed="false" customWidth="true" hidden="false" outlineLevel="0" max="88" min="88" style="1" width="7.29"/>
    <col collapsed="false" customWidth="true" hidden="false" outlineLevel="0" max="89" min="89" style="1" width="6.43"/>
    <col collapsed="false" customWidth="true" hidden="false" outlineLevel="0" max="90" min="90" style="1" width="6.71"/>
    <col collapsed="false" customWidth="true" hidden="false" outlineLevel="0" max="91" min="91" style="1" width="6.43"/>
    <col collapsed="false" customWidth="true" hidden="false" outlineLevel="0" max="92" min="92" style="1" width="7.71"/>
    <col collapsed="false" customWidth="true" hidden="false" outlineLevel="0" max="95" min="93" style="1" width="9.29"/>
    <col collapsed="false" customWidth="true" hidden="false" outlineLevel="0" max="97" min="96" style="1" width="7.71"/>
    <col collapsed="false" customWidth="true" hidden="false" outlineLevel="0" max="98" min="98" style="1" width="5.57"/>
    <col collapsed="false" customWidth="true" hidden="false" outlineLevel="0" max="99" min="99" style="1" width="7.71"/>
    <col collapsed="false" customWidth="true" hidden="false" outlineLevel="0" max="100" min="100" style="1" width="9.29"/>
    <col collapsed="false" customWidth="true" hidden="false" outlineLevel="0" max="101" min="101" style="1" width="7.29"/>
    <col collapsed="false" customWidth="true" hidden="false" outlineLevel="0" max="102" min="102" style="1" width="9.29"/>
    <col collapsed="false" customWidth="true" hidden="false" outlineLevel="0" max="103" min="103" style="1" width="7.71"/>
    <col collapsed="false" customWidth="true" hidden="false" outlineLevel="0" max="104" min="104" style="1" width="9.29"/>
    <col collapsed="false" customWidth="true" hidden="false" outlineLevel="0" max="105" min="105" style="1" width="7.71"/>
    <col collapsed="false" customWidth="true" hidden="false" outlineLevel="0" max="106" min="106" style="1" width="9.29"/>
    <col collapsed="false" customWidth="true" hidden="false" outlineLevel="0" max="116" min="107" style="1" width="7.71"/>
    <col collapsed="false" customWidth="true" hidden="false" outlineLevel="0" max="117" min="117" style="1" width="9.29"/>
    <col collapsed="false" customWidth="true" hidden="false" outlineLevel="0" max="123" min="118" style="1" width="7.71"/>
    <col collapsed="false" customWidth="true" hidden="false" outlineLevel="0" max="124" min="124" style="1" width="9.29"/>
    <col collapsed="false" customWidth="true" hidden="false" outlineLevel="0" max="129" min="125" style="1" width="7.71"/>
    <col collapsed="false" customWidth="true" hidden="false" outlineLevel="0" max="130" min="130" style="1" width="9.29"/>
    <col collapsed="false" customWidth="true" hidden="false" outlineLevel="0" max="131" min="131" style="1" width="7.71"/>
    <col collapsed="false" customWidth="true" hidden="false" outlineLevel="0" max="134" min="132" style="1" width="9.29"/>
    <col collapsed="false" customWidth="true" hidden="false" outlineLevel="0" max="135" min="135" style="1" width="7.71"/>
    <col collapsed="false" customWidth="true" hidden="false" outlineLevel="0" max="139" min="136" style="1" width="9.29"/>
    <col collapsed="false" customWidth="true" hidden="false" outlineLevel="0" max="140" min="140" style="1" width="7.71"/>
    <col collapsed="false" customWidth="true" hidden="false" outlineLevel="0" max="141" min="141" style="1" width="6.71"/>
    <col collapsed="false" customWidth="true" hidden="false" outlineLevel="0" max="142" min="142" style="1" width="9.29"/>
    <col collapsed="false" customWidth="true" hidden="false" outlineLevel="0" max="143" min="143" style="1" width="7.71"/>
    <col collapsed="false" customWidth="true" hidden="false" outlineLevel="0" max="144" min="144" style="1" width="9.29"/>
    <col collapsed="false" customWidth="true" hidden="false" outlineLevel="0" max="145" min="145" style="1" width="6.43"/>
    <col collapsed="false" customWidth="true" hidden="false" outlineLevel="0" max="147" min="146" style="1" width="7.71"/>
    <col collapsed="false" customWidth="true" hidden="false" outlineLevel="0" max="148" min="148" style="1" width="6.71"/>
    <col collapsed="false" customWidth="true" hidden="false" outlineLevel="0" max="150" min="149" style="1" width="7.71"/>
    <col collapsed="false" customWidth="true" hidden="false" outlineLevel="0" max="151" min="151" style="1" width="9.29"/>
    <col collapsed="false" customWidth="true" hidden="false" outlineLevel="0" max="153" min="152" style="1" width="7.71"/>
    <col collapsed="false" customWidth="true" hidden="false" outlineLevel="0" max="154" min="154" style="1" width="6.57"/>
    <col collapsed="false" customWidth="true" hidden="false" outlineLevel="0" max="157" min="155" style="1" width="7.71"/>
    <col collapsed="false" customWidth="true" hidden="false" outlineLevel="0" max="158" min="158" style="1" width="9.29"/>
    <col collapsed="false" customWidth="true" hidden="false" outlineLevel="0" max="164" min="159" style="1" width="7.71"/>
    <col collapsed="false" customWidth="true" hidden="false" outlineLevel="0" max="165" min="165" style="1" width="9.29"/>
    <col collapsed="false" customWidth="true" hidden="false" outlineLevel="0" max="166" min="166" style="1" width="6.43"/>
    <col collapsed="false" customWidth="true" hidden="false" outlineLevel="0" max="168" min="167" style="1" width="7.71"/>
    <col collapsed="false" customWidth="true" hidden="false" outlineLevel="0" max="169" min="169" style="1" width="9.29"/>
    <col collapsed="false" customWidth="true" hidden="false" outlineLevel="0" max="172" min="170" style="1" width="7.71"/>
    <col collapsed="false" customWidth="true" hidden="false" outlineLevel="0" max="173" min="173" style="1" width="9.29"/>
    <col collapsed="false" customWidth="true" hidden="false" outlineLevel="0" max="174" min="174" style="1" width="7.71"/>
    <col collapsed="false" customWidth="true" hidden="false" outlineLevel="0" max="175" min="175" style="1" width="6.71"/>
    <col collapsed="false" customWidth="true" hidden="false" outlineLevel="0" max="176" min="176" style="1" width="9.29"/>
    <col collapsed="false" customWidth="true" hidden="false" outlineLevel="0" max="177" min="177" style="1" width="7.71"/>
    <col collapsed="false" customWidth="true" hidden="false" outlineLevel="0" max="178" min="178" style="1" width="7.29"/>
    <col collapsed="false" customWidth="true" hidden="false" outlineLevel="0" max="185" min="179" style="1" width="7.71"/>
    <col collapsed="false" customWidth="true" hidden="false" outlineLevel="0" max="186" min="186" style="1" width="6.71"/>
    <col collapsed="false" customWidth="true" hidden="false" outlineLevel="0" max="188" min="187" style="1" width="7.71"/>
    <col collapsed="false" customWidth="true" hidden="false" outlineLevel="0" max="189" min="189" style="1" width="6.57"/>
    <col collapsed="false" customWidth="true" hidden="false" outlineLevel="0" max="191" min="190" style="1" width="7.71"/>
    <col collapsed="false" customWidth="true" hidden="false" outlineLevel="0" max="193" min="192" style="1" width="9.29"/>
    <col collapsed="false" customWidth="true" hidden="false" outlineLevel="0" max="195" min="194" style="1" width="7.71"/>
    <col collapsed="false" customWidth="true" hidden="false" outlineLevel="0" max="196" min="196" style="1" width="9.29"/>
    <col collapsed="false" customWidth="true" hidden="false" outlineLevel="0" max="199" min="197" style="1" width="7.71"/>
    <col collapsed="false" customWidth="true" hidden="false" outlineLevel="0" max="200" min="200" style="1" width="9.29"/>
    <col collapsed="false" customWidth="true" hidden="false" outlineLevel="0" max="206" min="201" style="1" width="7.71"/>
    <col collapsed="false" customWidth="true" hidden="false" outlineLevel="0" max="207" min="207" style="1" width="9.29"/>
    <col collapsed="false" customWidth="true" hidden="false" outlineLevel="0" max="208" min="208" style="1" width="7.71"/>
    <col collapsed="false" customWidth="true" hidden="false" outlineLevel="0" max="209" min="209" style="1" width="9.29"/>
    <col collapsed="false" customWidth="true" hidden="false" outlineLevel="0" max="212" min="210" style="1" width="7.71"/>
    <col collapsed="false" customWidth="true" hidden="false" outlineLevel="0" max="214" min="213" style="1" width="9.29"/>
    <col collapsed="false" customWidth="true" hidden="false" outlineLevel="0" max="215" min="215" style="1" width="6.71"/>
    <col collapsed="false" customWidth="true" hidden="false" outlineLevel="0" max="218" min="216" style="1" width="9.29"/>
    <col collapsed="false" customWidth="true" hidden="false" outlineLevel="0" max="219" min="219" style="1" width="6.57"/>
    <col collapsed="false" customWidth="true" hidden="false" outlineLevel="0" max="221" min="220" style="1" width="7.71"/>
    <col collapsed="false" customWidth="true" hidden="false" outlineLevel="0" max="222" min="222" style="1" width="6.71"/>
    <col collapsed="false" customWidth="true" hidden="false" outlineLevel="0" max="223" min="223" style="1" width="7.71"/>
    <col collapsed="false" customWidth="true" hidden="false" outlineLevel="0" max="224" min="224" style="1" width="6.29"/>
    <col collapsed="false" customWidth="true" hidden="false" outlineLevel="0" max="225" min="225" style="1" width="6.57"/>
    <col collapsed="false" customWidth="true" hidden="false" outlineLevel="0" max="228" min="226" style="1" width="7.71"/>
    <col collapsed="false" customWidth="true" hidden="false" outlineLevel="0" max="229" min="229" style="1" width="9.29"/>
    <col collapsed="false" customWidth="true" hidden="false" outlineLevel="0" max="230" min="230" style="1" width="6.29"/>
    <col collapsed="false" customWidth="true" hidden="false" outlineLevel="0" max="231" min="231" style="1" width="11.14"/>
    <col collapsed="false" customWidth="true" hidden="false" outlineLevel="0" max="232" min="232" style="1" width="7.29"/>
    <col collapsed="false" customWidth="true" hidden="false" outlineLevel="0" max="233" min="233" style="1" width="7.71"/>
    <col collapsed="false" customWidth="true" hidden="false" outlineLevel="0" max="234" min="234" style="1" width="6.43"/>
    <col collapsed="false" customWidth="true" hidden="false" outlineLevel="0" max="235" min="235" style="1" width="6.29"/>
    <col collapsed="false" customWidth="true" hidden="false" outlineLevel="0" max="237" min="236" style="1" width="7.71"/>
    <col collapsed="false" customWidth="true" hidden="false" outlineLevel="0" max="238" min="238" style="1" width="6.71"/>
    <col collapsed="false" customWidth="true" hidden="false" outlineLevel="0" max="239" min="239" style="1" width="6.43"/>
    <col collapsed="false" customWidth="true" hidden="false" outlineLevel="0" max="240" min="240" style="1" width="6.29"/>
    <col collapsed="false" customWidth="true" hidden="false" outlineLevel="0" max="241" min="241" style="1" width="6.57"/>
    <col collapsed="false" customWidth="true" hidden="false" outlineLevel="0" max="243" min="242" style="1" width="7.71"/>
    <col collapsed="false" customWidth="true" hidden="false" outlineLevel="0" max="244" min="244" style="1" width="7.29"/>
    <col collapsed="false" customWidth="true" hidden="false" outlineLevel="0" max="245" min="245" style="1" width="7.71"/>
    <col collapsed="false" customWidth="true" hidden="false" outlineLevel="0" max="246" min="246" style="1" width="6.71"/>
    <col collapsed="false" customWidth="true" hidden="false" outlineLevel="0" max="247" min="247" style="1" width="6.43"/>
    <col collapsed="false" customWidth="true" hidden="false" outlineLevel="0" max="248" min="248" style="1" width="6.57"/>
    <col collapsed="false" customWidth="true" hidden="false" outlineLevel="0" max="249" min="249" style="1" width="7.29"/>
    <col collapsed="false" customWidth="true" hidden="false" outlineLevel="0" max="250" min="250" style="1" width="9.29"/>
    <col collapsed="false" customWidth="true" hidden="false" outlineLevel="0" max="251" min="251" style="1" width="6.43"/>
    <col collapsed="false" customWidth="true" hidden="false" outlineLevel="0" max="252" min="252" style="1" width="6.29"/>
    <col collapsed="false" customWidth="true" hidden="false" outlineLevel="0" max="253" min="253" style="1" width="6.71"/>
    <col collapsed="false" customWidth="true" hidden="false" outlineLevel="0" max="254" min="254" style="1" width="7.71"/>
    <col collapsed="false" customWidth="true" hidden="false" outlineLevel="0" max="255" min="255" style="1" width="7.29"/>
    <col collapsed="false" customWidth="true" hidden="false" outlineLevel="0" max="258" min="256" style="1" width="7.71"/>
    <col collapsed="false" customWidth="true" hidden="false" outlineLevel="0" max="259" min="259" style="1" width="9.29"/>
    <col collapsed="false" customWidth="true" hidden="false" outlineLevel="0" max="260" min="260" style="1" width="6.29"/>
    <col collapsed="false" customWidth="true" hidden="false" outlineLevel="0" max="261" min="261" style="1" width="6.71"/>
    <col collapsed="false" customWidth="true" hidden="false" outlineLevel="0" max="263" min="262" style="1" width="9.29"/>
    <col collapsed="false" customWidth="true" hidden="false" outlineLevel="0" max="264" min="264" style="1" width="6.29"/>
    <col collapsed="false" customWidth="true" hidden="false" outlineLevel="0" max="265" min="265" style="1" width="6.71"/>
    <col collapsed="false" customWidth="true" hidden="false" outlineLevel="0" max="266" min="266" style="1" width="9.29"/>
    <col collapsed="false" customWidth="true" hidden="false" outlineLevel="0" max="274" min="267" style="1" width="7.71"/>
    <col collapsed="false" customWidth="true" hidden="false" outlineLevel="0" max="276" min="275" style="1" width="6.43"/>
    <col collapsed="false" customWidth="true" hidden="false" outlineLevel="0" max="277" min="277" style="1" width="7.71"/>
    <col collapsed="false" customWidth="true" hidden="false" outlineLevel="0" max="278" min="278" style="1" width="6.43"/>
    <col collapsed="false" customWidth="true" hidden="false" outlineLevel="0" max="279" min="279" style="1" width="6.29"/>
    <col collapsed="false" customWidth="true" hidden="false" outlineLevel="0" max="280" min="280" style="1" width="6.57"/>
    <col collapsed="false" customWidth="true" hidden="false" outlineLevel="0" max="282" min="281" style="1" width="6.71"/>
    <col collapsed="false" customWidth="true" hidden="false" outlineLevel="0" max="283" min="283" style="1" width="7.29"/>
    <col collapsed="false" customWidth="true" hidden="false" outlineLevel="0" max="284" min="284" style="1" width="6.29"/>
    <col collapsed="false" customWidth="true" hidden="false" outlineLevel="0" max="285" min="285" style="1" width="6.71"/>
    <col collapsed="false" customWidth="true" hidden="false" outlineLevel="0" max="286" min="286" style="1" width="7.71"/>
    <col collapsed="false" customWidth="true" hidden="false" outlineLevel="0" max="287" min="287" style="1" width="7.29"/>
    <col collapsed="false" customWidth="true" hidden="false" outlineLevel="0" max="288" min="288" style="1" width="9.29"/>
    <col collapsed="false" customWidth="true" hidden="false" outlineLevel="0" max="289" min="289" style="1" width="6.43"/>
    <col collapsed="false" customWidth="true" hidden="false" outlineLevel="0" max="292" min="290" style="1" width="7.71"/>
    <col collapsed="false" customWidth="true" hidden="false" outlineLevel="0" max="294" min="293" style="1" width="9.29"/>
    <col collapsed="false" customWidth="true" hidden="false" outlineLevel="0" max="295" min="295" style="1" width="10.29"/>
    <col collapsed="false" customWidth="true" hidden="false" outlineLevel="0" max="298" min="296" style="1" width="9.29"/>
    <col collapsed="false" customWidth="true" hidden="false" outlineLevel="0" max="299" min="299" style="1" width="7.71"/>
    <col collapsed="false" customWidth="true" hidden="false" outlineLevel="0" max="303" min="300" style="1" width="9.29"/>
    <col collapsed="false" customWidth="true" hidden="false" outlineLevel="0" max="304" min="304" style="1" width="7.29"/>
    <col collapsed="false" customWidth="true" hidden="false" outlineLevel="0" max="305" min="305" style="1" width="7.71"/>
    <col collapsed="false" customWidth="true" hidden="false" outlineLevel="0" max="306" min="306" style="1" width="6.57"/>
    <col collapsed="false" customWidth="true" hidden="false" outlineLevel="0" max="307" min="307" style="1" width="10.29"/>
    <col collapsed="false" customWidth="true" hidden="false" outlineLevel="0" max="310" min="308" style="1" width="9.29"/>
    <col collapsed="false" customWidth="true" hidden="false" outlineLevel="0" max="311" min="311" style="1" width="7.29"/>
    <col collapsed="false" customWidth="true" hidden="false" outlineLevel="0" max="313" min="312" style="1" width="9.29"/>
    <col collapsed="false" customWidth="true" hidden="false" outlineLevel="0" max="314" min="314" style="1" width="7.71"/>
    <col collapsed="false" customWidth="true" hidden="false" outlineLevel="0" max="316" min="315" style="1" width="9.29"/>
    <col collapsed="false" customWidth="true" hidden="false" outlineLevel="0" max="317" min="317" style="1" width="6.57"/>
    <col collapsed="false" customWidth="true" hidden="false" outlineLevel="0" max="318" min="318" style="1" width="9.29"/>
    <col collapsed="false" customWidth="true" hidden="false" outlineLevel="0" max="319" min="319" style="1" width="7.71"/>
    <col collapsed="false" customWidth="true" hidden="false" outlineLevel="0" max="337" min="320" style="1" width="9.29"/>
    <col collapsed="false" customWidth="true" hidden="false" outlineLevel="0" max="338" min="338" style="1" width="7.71"/>
    <col collapsed="false" customWidth="true" hidden="false" outlineLevel="0" max="339" min="339" style="1" width="9.29"/>
    <col collapsed="false" customWidth="true" hidden="false" outlineLevel="0" max="340" min="340" style="1" width="6.43"/>
    <col collapsed="false" customWidth="true" hidden="false" outlineLevel="0" max="344" min="341" style="1" width="7.71"/>
    <col collapsed="false" customWidth="true" hidden="false" outlineLevel="0" max="355" min="345" style="1" width="9.29"/>
    <col collapsed="false" customWidth="true" hidden="false" outlineLevel="0" max="356" min="356" style="1" width="7.71"/>
    <col collapsed="false" customWidth="true" hidden="false" outlineLevel="0" max="357" min="357" style="1" width="13.57"/>
  </cols>
  <sheetData>
    <row r="1" customFormat="false" ht="15" hidden="false" customHeight="false" outlineLevel="0" collapsed="false">
      <c r="D1" s="371" t="s">
        <v>415</v>
      </c>
    </row>
    <row r="2" customFormat="false" ht="15" hidden="false" customHeight="false" outlineLevel="0" collapsed="false">
      <c r="A2" s="301" t="s">
        <v>136</v>
      </c>
      <c r="B2" s="302" t="s">
        <v>347</v>
      </c>
    </row>
    <row r="3" customFormat="false" ht="15" hidden="false" customHeight="false" outlineLevel="0" collapsed="false">
      <c r="A3" s="301" t="s">
        <v>361</v>
      </c>
      <c r="B3" s="302" t="s">
        <v>362</v>
      </c>
    </row>
    <row r="4" customFormat="false" ht="15" hidden="false" customHeight="false" outlineLevel="0" collapsed="false">
      <c r="A4" s="0"/>
      <c r="B4" s="0"/>
      <c r="C4" s="401"/>
      <c r="D4" s="401"/>
    </row>
    <row r="5" customFormat="false" ht="15" hidden="false" customHeight="false" outlineLevel="0" collapsed="false">
      <c r="A5" s="303" t="s">
        <v>360</v>
      </c>
      <c r="B5" s="304" t="s">
        <v>412</v>
      </c>
    </row>
    <row r="6" customFormat="false" ht="15" hidden="false" customHeight="false" outlineLevel="0" collapsed="false">
      <c r="A6" s="305" t="s">
        <v>349</v>
      </c>
      <c r="B6" s="306" t="n">
        <v>8600</v>
      </c>
    </row>
    <row r="7" customFormat="false" ht="15" hidden="false" customHeight="false" outlineLevel="0" collapsed="false">
      <c r="A7" s="307" t="s">
        <v>416</v>
      </c>
      <c r="B7" s="402" t="n">
        <v>53550</v>
      </c>
    </row>
    <row r="8" customFormat="false" ht="15.75" hidden="false" customHeight="true" outlineLevel="0" collapsed="false">
      <c r="A8" s="310" t="s">
        <v>350</v>
      </c>
      <c r="B8" s="311" t="n">
        <v>62150</v>
      </c>
    </row>
    <row r="9" customFormat="false" ht="15" hidden="false" customHeight="false" outlineLevel="0" collapsed="false">
      <c r="A9" s="0"/>
      <c r="B9" s="0"/>
    </row>
    <row r="10" customFormat="false" ht="15" hidden="false" customHeight="false" outlineLevel="0" collapsed="false">
      <c r="A10" s="0"/>
      <c r="B10" s="0"/>
    </row>
    <row r="11" customFormat="false" ht="15" hidden="false" customHeight="false" outlineLevel="0" collapsed="false">
      <c r="A11" s="0"/>
      <c r="B11" s="0"/>
    </row>
    <row r="12" customFormat="false" ht="15" hidden="false" customHeight="false" outlineLevel="0" collapsed="false">
      <c r="A12" s="0"/>
      <c r="B12" s="0"/>
    </row>
    <row r="13" customFormat="false" ht="15" hidden="false" customHeight="false" outlineLevel="0" collapsed="false">
      <c r="A13" s="0"/>
      <c r="B13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L24" activeCellId="0" sqref="L24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23.86"/>
    <col collapsed="false" customWidth="true" hidden="false" outlineLevel="0" max="2" min="2" style="1" width="7.71"/>
    <col collapsed="false" customWidth="true" hidden="false" outlineLevel="0" max="3" min="3" style="1" width="9.14"/>
    <col collapsed="false" customWidth="true" hidden="false" outlineLevel="0" max="4" min="4" style="1" width="9.71"/>
    <col collapsed="false" customWidth="true" hidden="false" outlineLevel="0" max="5" min="5" style="1" width="9.14"/>
    <col collapsed="false" customWidth="true" hidden="false" outlineLevel="0" max="6" min="6" style="1" width="9.71"/>
    <col collapsed="false" customWidth="true" hidden="false" outlineLevel="0" max="8" min="8" style="1" width="9.14"/>
    <col collapsed="false" customWidth="true" hidden="false" outlineLevel="0" max="9" min="9" style="1" width="9.71"/>
    <col collapsed="false" customWidth="true" hidden="false" outlineLevel="0" max="13" min="11" style="1" width="7.71"/>
    <col collapsed="false" customWidth="true" hidden="false" outlineLevel="0" max="14" min="14" style="1" width="6.71"/>
    <col collapsed="false" customWidth="true" hidden="false" outlineLevel="0" max="16" min="15" style="1" width="7.71"/>
    <col collapsed="false" customWidth="true" hidden="false" outlineLevel="0" max="18" min="17" style="1" width="9.29"/>
    <col collapsed="false" customWidth="true" hidden="false" outlineLevel="0" max="23" min="19" style="1" width="7.71"/>
    <col collapsed="false" customWidth="true" hidden="false" outlineLevel="0" max="24" min="24" style="1" width="9.29"/>
    <col collapsed="false" customWidth="true" hidden="false" outlineLevel="0" max="28" min="25" style="1" width="7.71"/>
    <col collapsed="false" customWidth="true" hidden="false" outlineLevel="0" max="29" min="29" style="1" width="9.29"/>
    <col collapsed="false" customWidth="true" hidden="false" outlineLevel="0" max="30" min="30" style="1" width="7.71"/>
    <col collapsed="false" customWidth="true" hidden="false" outlineLevel="0" max="31" min="31" style="1" width="6.43"/>
    <col collapsed="false" customWidth="true" hidden="false" outlineLevel="0" max="33" min="32" style="1" width="7.71"/>
    <col collapsed="false" customWidth="true" hidden="false" outlineLevel="0" max="34" min="34" style="1" width="9.29"/>
    <col collapsed="false" customWidth="true" hidden="false" outlineLevel="0" max="38" min="35" style="1" width="7.71"/>
    <col collapsed="false" customWidth="true" hidden="false" outlineLevel="0" max="40" min="39" style="1" width="9.29"/>
    <col collapsed="false" customWidth="true" hidden="false" outlineLevel="0" max="41" min="41" style="1" width="7.71"/>
    <col collapsed="false" customWidth="true" hidden="false" outlineLevel="0" max="42" min="42" style="1" width="6.57"/>
    <col collapsed="false" customWidth="true" hidden="false" outlineLevel="0" max="43" min="43" style="1" width="7.71"/>
    <col collapsed="false" customWidth="true" hidden="false" outlineLevel="0" max="44" min="44" style="1" width="9.29"/>
    <col collapsed="false" customWidth="true" hidden="false" outlineLevel="0" max="47" min="45" style="1" width="7.71"/>
    <col collapsed="false" customWidth="true" hidden="false" outlineLevel="0" max="48" min="48" style="1" width="9.29"/>
    <col collapsed="false" customWidth="true" hidden="false" outlineLevel="0" max="49" min="49" style="1" width="7.71"/>
    <col collapsed="false" customWidth="true" hidden="false" outlineLevel="0" max="50" min="50" style="1" width="6.71"/>
    <col collapsed="false" customWidth="true" hidden="false" outlineLevel="0" max="56" min="51" style="1" width="9.29"/>
    <col collapsed="false" customWidth="true" hidden="false" outlineLevel="0" max="57" min="57" style="1" width="7.71"/>
    <col collapsed="false" customWidth="true" hidden="false" outlineLevel="0" max="59" min="58" style="1" width="9.29"/>
    <col collapsed="false" customWidth="true" hidden="false" outlineLevel="0" max="63" min="60" style="1" width="7.71"/>
    <col collapsed="false" customWidth="true" hidden="false" outlineLevel="0" max="65" min="64" style="1" width="9.29"/>
    <col collapsed="false" customWidth="true" hidden="false" outlineLevel="0" max="66" min="66" style="1" width="7.71"/>
    <col collapsed="false" customWidth="true" hidden="false" outlineLevel="0" max="68" min="67" style="1" width="9.29"/>
    <col collapsed="false" customWidth="true" hidden="false" outlineLevel="0" max="69" min="69" style="1" width="6.57"/>
    <col collapsed="false" customWidth="true" hidden="false" outlineLevel="0" max="70" min="70" style="1" width="6.71"/>
    <col collapsed="false" customWidth="true" hidden="false" outlineLevel="0" max="71" min="71" style="1" width="7.71"/>
    <col collapsed="false" customWidth="true" hidden="false" outlineLevel="0" max="73" min="72" style="1" width="9.29"/>
    <col collapsed="false" customWidth="true" hidden="false" outlineLevel="0" max="75" min="74" style="1" width="7.71"/>
    <col collapsed="false" customWidth="true" hidden="false" outlineLevel="0" max="77" min="76" style="1" width="9.29"/>
    <col collapsed="false" customWidth="true" hidden="false" outlineLevel="0" max="78" min="78" style="1" width="7.71"/>
    <col collapsed="false" customWidth="true" hidden="false" outlineLevel="0" max="80" min="79" style="1" width="9.29"/>
    <col collapsed="false" customWidth="true" hidden="false" outlineLevel="0" max="81" min="81" style="1" width="7.71"/>
    <col collapsed="false" customWidth="true" hidden="false" outlineLevel="0" max="83" min="82" style="1" width="9.29"/>
    <col collapsed="false" customWidth="true" hidden="false" outlineLevel="0" max="84" min="84" style="1" width="7.71"/>
    <col collapsed="false" customWidth="true" hidden="false" outlineLevel="0" max="87" min="85" style="1" width="9.29"/>
    <col collapsed="false" customWidth="true" hidden="false" outlineLevel="0" max="88" min="88" style="1" width="7.29"/>
    <col collapsed="false" customWidth="true" hidden="false" outlineLevel="0" max="89" min="89" style="1" width="6.43"/>
    <col collapsed="false" customWidth="true" hidden="false" outlineLevel="0" max="90" min="90" style="1" width="6.71"/>
    <col collapsed="false" customWidth="true" hidden="false" outlineLevel="0" max="91" min="91" style="1" width="6.43"/>
    <col collapsed="false" customWidth="true" hidden="false" outlineLevel="0" max="92" min="92" style="1" width="7.71"/>
    <col collapsed="false" customWidth="true" hidden="false" outlineLevel="0" max="95" min="93" style="1" width="9.29"/>
    <col collapsed="false" customWidth="true" hidden="false" outlineLevel="0" max="97" min="96" style="1" width="7.71"/>
    <col collapsed="false" customWidth="true" hidden="false" outlineLevel="0" max="98" min="98" style="1" width="5.57"/>
    <col collapsed="false" customWidth="true" hidden="false" outlineLevel="0" max="99" min="99" style="1" width="7.71"/>
    <col collapsed="false" customWidth="true" hidden="false" outlineLevel="0" max="100" min="100" style="1" width="9.29"/>
    <col collapsed="false" customWidth="true" hidden="false" outlineLevel="0" max="101" min="101" style="1" width="7.29"/>
    <col collapsed="false" customWidth="true" hidden="false" outlineLevel="0" max="102" min="102" style="1" width="9.29"/>
    <col collapsed="false" customWidth="true" hidden="false" outlineLevel="0" max="103" min="103" style="1" width="7.71"/>
    <col collapsed="false" customWidth="true" hidden="false" outlineLevel="0" max="104" min="104" style="1" width="9.29"/>
    <col collapsed="false" customWidth="true" hidden="false" outlineLevel="0" max="105" min="105" style="1" width="7.71"/>
    <col collapsed="false" customWidth="true" hidden="false" outlineLevel="0" max="106" min="106" style="1" width="9.29"/>
    <col collapsed="false" customWidth="true" hidden="false" outlineLevel="0" max="116" min="107" style="1" width="7.71"/>
    <col collapsed="false" customWidth="true" hidden="false" outlineLevel="0" max="117" min="117" style="1" width="9.29"/>
    <col collapsed="false" customWidth="true" hidden="false" outlineLevel="0" max="123" min="118" style="1" width="7.71"/>
    <col collapsed="false" customWidth="true" hidden="false" outlineLevel="0" max="124" min="124" style="1" width="9.29"/>
    <col collapsed="false" customWidth="true" hidden="false" outlineLevel="0" max="129" min="125" style="1" width="7.71"/>
    <col collapsed="false" customWidth="true" hidden="false" outlineLevel="0" max="130" min="130" style="1" width="9.29"/>
    <col collapsed="false" customWidth="true" hidden="false" outlineLevel="0" max="131" min="131" style="1" width="7.71"/>
    <col collapsed="false" customWidth="true" hidden="false" outlineLevel="0" max="134" min="132" style="1" width="9.29"/>
    <col collapsed="false" customWidth="true" hidden="false" outlineLevel="0" max="135" min="135" style="1" width="7.71"/>
    <col collapsed="false" customWidth="true" hidden="false" outlineLevel="0" max="139" min="136" style="1" width="9.29"/>
    <col collapsed="false" customWidth="true" hidden="false" outlineLevel="0" max="141" min="140" style="1" width="7.71"/>
    <col collapsed="false" customWidth="true" hidden="false" outlineLevel="0" max="142" min="142" style="1" width="9.29"/>
    <col collapsed="false" customWidth="true" hidden="false" outlineLevel="0" max="143" min="143" style="1" width="7.71"/>
    <col collapsed="false" customWidth="true" hidden="false" outlineLevel="0" max="144" min="144" style="1" width="9.29"/>
    <col collapsed="false" customWidth="true" hidden="false" outlineLevel="0" max="150" min="145" style="1" width="7.71"/>
    <col collapsed="false" customWidth="true" hidden="false" outlineLevel="0" max="151" min="151" style="1" width="9.29"/>
    <col collapsed="false" customWidth="true" hidden="false" outlineLevel="0" max="157" min="152" style="1" width="7.71"/>
    <col collapsed="false" customWidth="true" hidden="false" outlineLevel="0" max="158" min="158" style="1" width="9.29"/>
    <col collapsed="false" customWidth="true" hidden="false" outlineLevel="0" max="164" min="159" style="1" width="7.71"/>
    <col collapsed="false" customWidth="true" hidden="false" outlineLevel="0" max="165" min="165" style="1" width="9.29"/>
    <col collapsed="false" customWidth="true" hidden="false" outlineLevel="0" max="166" min="166" style="1" width="6.43"/>
    <col collapsed="false" customWidth="true" hidden="false" outlineLevel="0" max="168" min="167" style="1" width="7.71"/>
    <col collapsed="false" customWidth="true" hidden="false" outlineLevel="0" max="169" min="169" style="1" width="9.29"/>
    <col collapsed="false" customWidth="true" hidden="false" outlineLevel="0" max="172" min="170" style="1" width="7.71"/>
    <col collapsed="false" customWidth="true" hidden="false" outlineLevel="0" max="173" min="173" style="1" width="9.29"/>
    <col collapsed="false" customWidth="true" hidden="false" outlineLevel="0" max="174" min="174" style="1" width="7.71"/>
    <col collapsed="false" customWidth="true" hidden="false" outlineLevel="0" max="175" min="175" style="1" width="6.71"/>
    <col collapsed="false" customWidth="true" hidden="false" outlineLevel="0" max="176" min="176" style="1" width="9.29"/>
    <col collapsed="false" customWidth="true" hidden="false" outlineLevel="0" max="177" min="177" style="1" width="7.71"/>
    <col collapsed="false" customWidth="true" hidden="false" outlineLevel="0" max="178" min="178" style="1" width="7.29"/>
    <col collapsed="false" customWidth="true" hidden="false" outlineLevel="0" max="185" min="179" style="1" width="7.71"/>
    <col collapsed="false" customWidth="true" hidden="false" outlineLevel="0" max="186" min="186" style="1" width="6.71"/>
    <col collapsed="false" customWidth="true" hidden="false" outlineLevel="0" max="188" min="187" style="1" width="7.71"/>
    <col collapsed="false" customWidth="true" hidden="false" outlineLevel="0" max="189" min="189" style="1" width="6.57"/>
    <col collapsed="false" customWidth="true" hidden="false" outlineLevel="0" max="191" min="190" style="1" width="7.71"/>
    <col collapsed="false" customWidth="true" hidden="false" outlineLevel="0" max="193" min="192" style="1" width="9.29"/>
    <col collapsed="false" customWidth="true" hidden="false" outlineLevel="0" max="195" min="194" style="1" width="7.71"/>
    <col collapsed="false" customWidth="true" hidden="false" outlineLevel="0" max="196" min="196" style="1" width="9.29"/>
    <col collapsed="false" customWidth="true" hidden="false" outlineLevel="0" max="199" min="197" style="1" width="7.71"/>
    <col collapsed="false" customWidth="true" hidden="false" outlineLevel="0" max="200" min="200" style="1" width="9.29"/>
    <col collapsed="false" customWidth="true" hidden="false" outlineLevel="0" max="206" min="201" style="1" width="7.71"/>
    <col collapsed="false" customWidth="true" hidden="false" outlineLevel="0" max="207" min="207" style="1" width="9.29"/>
    <col collapsed="false" customWidth="true" hidden="false" outlineLevel="0" max="208" min="208" style="1" width="7.71"/>
    <col collapsed="false" customWidth="true" hidden="false" outlineLevel="0" max="209" min="209" style="1" width="9.29"/>
    <col collapsed="false" customWidth="true" hidden="false" outlineLevel="0" max="212" min="210" style="1" width="7.71"/>
    <col collapsed="false" customWidth="true" hidden="false" outlineLevel="0" max="214" min="213" style="1" width="9.29"/>
    <col collapsed="false" customWidth="true" hidden="false" outlineLevel="0" max="215" min="215" style="1" width="6.71"/>
    <col collapsed="false" customWidth="true" hidden="false" outlineLevel="0" max="218" min="216" style="1" width="9.29"/>
    <col collapsed="false" customWidth="true" hidden="false" outlineLevel="0" max="219" min="219" style="1" width="6.57"/>
    <col collapsed="false" customWidth="true" hidden="false" outlineLevel="0" max="221" min="220" style="1" width="7.71"/>
    <col collapsed="false" customWidth="true" hidden="false" outlineLevel="0" max="222" min="222" style="1" width="9.29"/>
    <col collapsed="false" customWidth="true" hidden="false" outlineLevel="0" max="224" min="223" style="1" width="7.71"/>
    <col collapsed="false" customWidth="true" hidden="false" outlineLevel="0" max="225" min="225" style="1" width="9.29"/>
    <col collapsed="false" customWidth="true" hidden="false" outlineLevel="0" max="228" min="226" style="1" width="7.71"/>
    <col collapsed="false" customWidth="true" hidden="false" outlineLevel="0" max="229" min="229" style="1" width="9.29"/>
    <col collapsed="false" customWidth="true" hidden="false" outlineLevel="0" max="230" min="230" style="1" width="7.71"/>
    <col collapsed="false" customWidth="true" hidden="false" outlineLevel="0" max="231" min="231" style="1" width="9.29"/>
    <col collapsed="false" customWidth="true" hidden="false" outlineLevel="0" max="232" min="232" style="1" width="7.71"/>
    <col collapsed="false" customWidth="true" hidden="false" outlineLevel="0" max="234" min="233" style="1" width="9.29"/>
    <col collapsed="false" customWidth="true" hidden="false" outlineLevel="0" max="236" min="235" style="1" width="7.71"/>
    <col collapsed="false" customWidth="true" hidden="false" outlineLevel="0" max="237" min="237" style="1" width="9.29"/>
    <col collapsed="false" customWidth="true" hidden="false" outlineLevel="0" max="238" min="238" style="1" width="7.71"/>
    <col collapsed="false" customWidth="true" hidden="false" outlineLevel="0" max="239" min="239" style="1" width="9.29"/>
    <col collapsed="false" customWidth="true" hidden="false" outlineLevel="0" max="242" min="240" style="1" width="7.71"/>
    <col collapsed="false" customWidth="true" hidden="false" outlineLevel="0" max="243" min="243" style="1" width="7.29"/>
    <col collapsed="false" customWidth="true" hidden="false" outlineLevel="0" max="244" min="244" style="1" width="7.71"/>
    <col collapsed="false" customWidth="true" hidden="false" outlineLevel="0" max="246" min="245" style="1" width="9.29"/>
    <col collapsed="false" customWidth="true" hidden="false" outlineLevel="0" max="247" min="247" style="1" width="7.71"/>
    <col collapsed="false" customWidth="true" hidden="false" outlineLevel="0" max="249" min="248" style="1" width="9.29"/>
    <col collapsed="false" customWidth="true" hidden="false" outlineLevel="0" max="250" min="250" style="1" width="7.71"/>
    <col collapsed="false" customWidth="true" hidden="false" outlineLevel="0" max="254" min="251" style="1" width="9.29"/>
    <col collapsed="false" customWidth="true" hidden="false" outlineLevel="0" max="257" min="255" style="1" width="7.71"/>
    <col collapsed="false" customWidth="true" hidden="false" outlineLevel="0" max="263" min="258" style="1" width="9.29"/>
    <col collapsed="false" customWidth="true" hidden="false" outlineLevel="0" max="264" min="264" style="1" width="6.71"/>
    <col collapsed="false" customWidth="true" hidden="false" outlineLevel="0" max="265" min="265" style="1" width="9.29"/>
    <col collapsed="false" customWidth="true" hidden="false" outlineLevel="0" max="273" min="266" style="1" width="7.71"/>
    <col collapsed="false" customWidth="true" hidden="false" outlineLevel="0" max="274" min="274" style="1" width="9.29"/>
    <col collapsed="false" customWidth="true" hidden="false" outlineLevel="0" max="275" min="275" style="1" width="6.43"/>
    <col collapsed="false" customWidth="true" hidden="false" outlineLevel="0" max="276" min="276" style="1" width="7.71"/>
    <col collapsed="false" customWidth="true" hidden="false" outlineLevel="0" max="278" min="277" style="1" width="9.29"/>
    <col collapsed="false" customWidth="true" hidden="false" outlineLevel="0" max="279" min="279" style="1" width="7.71"/>
    <col collapsed="false" customWidth="true" hidden="false" outlineLevel="0" max="281" min="280" style="1" width="9.29"/>
    <col collapsed="false" customWidth="true" hidden="false" outlineLevel="0" max="282" min="282" style="1" width="7.29"/>
    <col collapsed="false" customWidth="true" hidden="false" outlineLevel="0" max="283" min="283" style="1" width="6.29"/>
    <col collapsed="false" customWidth="true" hidden="false" outlineLevel="0" max="284" min="284" style="1" width="6.71"/>
    <col collapsed="false" customWidth="true" hidden="false" outlineLevel="0" max="285" min="285" style="1" width="7.71"/>
    <col collapsed="false" customWidth="true" hidden="false" outlineLevel="0" max="286" min="286" style="1" width="7.29"/>
    <col collapsed="false" customWidth="true" hidden="false" outlineLevel="0" max="287" min="287" style="1" width="9.29"/>
    <col collapsed="false" customWidth="true" hidden="false" outlineLevel="0" max="288" min="288" style="1" width="6.43"/>
    <col collapsed="false" customWidth="true" hidden="false" outlineLevel="0" max="291" min="289" style="1" width="7.71"/>
    <col collapsed="false" customWidth="true" hidden="false" outlineLevel="0" max="293" min="292" style="1" width="9.29"/>
    <col collapsed="false" customWidth="true" hidden="false" outlineLevel="0" max="294" min="294" style="1" width="10.29"/>
    <col collapsed="false" customWidth="true" hidden="false" outlineLevel="0" max="297" min="295" style="1" width="9.29"/>
    <col collapsed="false" customWidth="true" hidden="false" outlineLevel="0" max="298" min="298" style="1" width="7.71"/>
    <col collapsed="false" customWidth="true" hidden="false" outlineLevel="0" max="302" min="299" style="1" width="9.29"/>
    <col collapsed="false" customWidth="true" hidden="false" outlineLevel="0" max="303" min="303" style="1" width="7.29"/>
    <col collapsed="false" customWidth="true" hidden="false" outlineLevel="0" max="304" min="304" style="1" width="7.71"/>
    <col collapsed="false" customWidth="true" hidden="false" outlineLevel="0" max="305" min="305" style="1" width="6.57"/>
    <col collapsed="false" customWidth="true" hidden="false" outlineLevel="0" max="306" min="306" style="1" width="10.29"/>
    <col collapsed="false" customWidth="true" hidden="false" outlineLevel="0" max="309" min="307" style="1" width="9.29"/>
    <col collapsed="false" customWidth="true" hidden="false" outlineLevel="0" max="310" min="310" style="1" width="7.29"/>
    <col collapsed="false" customWidth="true" hidden="false" outlineLevel="0" max="312" min="311" style="1" width="9.29"/>
    <col collapsed="false" customWidth="true" hidden="false" outlineLevel="0" max="313" min="313" style="1" width="7.71"/>
    <col collapsed="false" customWidth="true" hidden="false" outlineLevel="0" max="315" min="314" style="1" width="9.29"/>
    <col collapsed="false" customWidth="true" hidden="false" outlineLevel="0" max="316" min="316" style="1" width="6.57"/>
    <col collapsed="false" customWidth="true" hidden="false" outlineLevel="0" max="317" min="317" style="1" width="9.29"/>
    <col collapsed="false" customWidth="true" hidden="false" outlineLevel="0" max="318" min="318" style="1" width="7.71"/>
    <col collapsed="false" customWidth="true" hidden="false" outlineLevel="0" max="336" min="319" style="1" width="9.29"/>
    <col collapsed="false" customWidth="true" hidden="false" outlineLevel="0" max="337" min="337" style="1" width="7.71"/>
    <col collapsed="false" customWidth="true" hidden="false" outlineLevel="0" max="338" min="338" style="1" width="9.29"/>
    <col collapsed="false" customWidth="true" hidden="false" outlineLevel="0" max="339" min="339" style="1" width="6.43"/>
    <col collapsed="false" customWidth="true" hidden="false" outlineLevel="0" max="343" min="340" style="1" width="7.71"/>
    <col collapsed="false" customWidth="true" hidden="false" outlineLevel="0" max="354" min="344" style="1" width="9.29"/>
    <col collapsed="false" customWidth="true" hidden="false" outlineLevel="0" max="356" min="355" style="1" width="7.71"/>
    <col collapsed="false" customWidth="true" hidden="false" outlineLevel="0" max="357" min="357" style="1" width="9.29"/>
    <col collapsed="false" customWidth="true" hidden="false" outlineLevel="0" max="359" min="358" style="1" width="7.71"/>
    <col collapsed="false" customWidth="true" hidden="false" outlineLevel="0" max="361" min="360" style="1" width="9.29"/>
    <col collapsed="false" customWidth="true" hidden="false" outlineLevel="0" max="362" min="362" style="1" width="10.29"/>
    <col collapsed="false" customWidth="true" hidden="false" outlineLevel="0" max="366" min="363" style="1" width="9.29"/>
    <col collapsed="false" customWidth="true" hidden="false" outlineLevel="0" max="367" min="367" style="1" width="10.29"/>
    <col collapsed="false" customWidth="true" hidden="false" outlineLevel="0" max="368" min="368" style="1" width="9.29"/>
    <col collapsed="false" customWidth="true" hidden="false" outlineLevel="0" max="369" min="369" style="1" width="7.71"/>
    <col collapsed="false" customWidth="true" hidden="false" outlineLevel="0" max="378" min="370" style="1" width="9.29"/>
    <col collapsed="false" customWidth="true" hidden="false" outlineLevel="0" max="379" min="379" style="1" width="7.71"/>
    <col collapsed="false" customWidth="true" hidden="false" outlineLevel="0" max="380" min="380" style="1" width="10.29"/>
    <col collapsed="false" customWidth="true" hidden="false" outlineLevel="0" max="381" min="381" style="1" width="7.71"/>
    <col collapsed="false" customWidth="true" hidden="false" outlineLevel="0" max="382" min="382" style="1" width="9.29"/>
    <col collapsed="false" customWidth="true" hidden="false" outlineLevel="0" max="383" min="383" style="1" width="10.29"/>
    <col collapsed="false" customWidth="true" hidden="false" outlineLevel="0" max="384" min="384" style="1" width="9.29"/>
    <col collapsed="false" customWidth="true" hidden="false" outlineLevel="0" max="385" min="385" style="1" width="7.71"/>
    <col collapsed="false" customWidth="true" hidden="false" outlineLevel="0" max="386" min="386" style="1" width="9.29"/>
    <col collapsed="false" customWidth="true" hidden="false" outlineLevel="0" max="387" min="387" style="1" width="6.43"/>
    <col collapsed="false" customWidth="true" hidden="false" outlineLevel="0" max="389" min="388" style="1" width="9.29"/>
    <col collapsed="false" customWidth="true" hidden="false" outlineLevel="0" max="390" min="390" style="1" width="6.43"/>
    <col collapsed="false" customWidth="true" hidden="false" outlineLevel="0" max="391" min="391" style="1" width="10.29"/>
    <col collapsed="false" customWidth="true" hidden="false" outlineLevel="0" max="392" min="392" style="1" width="6.43"/>
    <col collapsed="false" customWidth="true" hidden="false" outlineLevel="0" max="395" min="393" style="1" width="7.71"/>
    <col collapsed="false" customWidth="true" hidden="false" outlineLevel="0" max="396" min="396" style="1" width="9.29"/>
    <col collapsed="false" customWidth="true" hidden="false" outlineLevel="0" max="398" min="397" style="1" width="7.71"/>
    <col collapsed="false" customWidth="true" hidden="false" outlineLevel="0" max="399" min="399" style="1" width="7.29"/>
    <col collapsed="false" customWidth="true" hidden="false" outlineLevel="0" max="400" min="400" style="1" width="10.29"/>
    <col collapsed="false" customWidth="true" hidden="false" outlineLevel="0" max="401" min="401" style="1" width="7.71"/>
    <col collapsed="false" customWidth="true" hidden="false" outlineLevel="0" max="402" min="402" style="1" width="6.29"/>
    <col collapsed="false" customWidth="true" hidden="false" outlineLevel="0" max="403" min="403" style="1" width="7.71"/>
    <col collapsed="false" customWidth="true" hidden="false" outlineLevel="0" max="404" min="404" style="1" width="6.29"/>
    <col collapsed="false" customWidth="true" hidden="false" outlineLevel="0" max="405" min="405" style="1" width="6.71"/>
    <col collapsed="false" customWidth="true" hidden="false" outlineLevel="0" max="406" min="406" style="1" width="10.29"/>
    <col collapsed="false" customWidth="true" hidden="false" outlineLevel="0" max="407" min="407" style="1" width="9.29"/>
    <col collapsed="false" customWidth="true" hidden="false" outlineLevel="0" max="408" min="408" style="1" width="7.29"/>
    <col collapsed="false" customWidth="true" hidden="false" outlineLevel="0" max="409" min="409" style="1" width="6.29"/>
    <col collapsed="false" customWidth="true" hidden="false" outlineLevel="0" max="410" min="410" style="1" width="7.29"/>
    <col collapsed="false" customWidth="true" hidden="false" outlineLevel="0" max="411" min="411" style="1" width="6.57"/>
    <col collapsed="false" customWidth="true" hidden="false" outlineLevel="0" max="412" min="412" style="1" width="9.29"/>
    <col collapsed="false" customWidth="true" hidden="false" outlineLevel="0" max="413" min="413" style="1" width="7.71"/>
    <col collapsed="false" customWidth="true" hidden="false" outlineLevel="0" max="414" min="414" style="1" width="6.57"/>
    <col collapsed="false" customWidth="true" hidden="false" outlineLevel="0" max="415" min="415" style="1" width="10.29"/>
    <col collapsed="false" customWidth="true" hidden="false" outlineLevel="0" max="416" min="416" style="1" width="9.29"/>
    <col collapsed="false" customWidth="true" hidden="false" outlineLevel="0" max="417" min="417" style="1" width="10.29"/>
    <col collapsed="false" customWidth="true" hidden="false" outlineLevel="0" max="418" min="418" style="1" width="7.71"/>
    <col collapsed="false" customWidth="true" hidden="false" outlineLevel="0" max="419" min="419" style="1" width="9.29"/>
    <col collapsed="false" customWidth="true" hidden="false" outlineLevel="0" max="420" min="420" style="1" width="6.29"/>
    <col collapsed="false" customWidth="true" hidden="false" outlineLevel="0" max="421" min="421" style="1" width="13.57"/>
  </cols>
  <sheetData>
    <row r="1" customFormat="false" ht="15" hidden="false" customHeight="false" outlineLevel="0" collapsed="false">
      <c r="D1" s="371" t="s">
        <v>415</v>
      </c>
    </row>
    <row r="3" customFormat="false" ht="15" hidden="false" customHeight="false" outlineLevel="0" collapsed="false">
      <c r="A3" s="403" t="s">
        <v>412</v>
      </c>
      <c r="B3" s="331" t="s">
        <v>354</v>
      </c>
      <c r="C3" s="404"/>
      <c r="D3" s="404"/>
      <c r="E3" s="404"/>
      <c r="F3" s="404"/>
      <c r="G3" s="404"/>
      <c r="H3" s="404"/>
      <c r="I3" s="404"/>
      <c r="J3" s="404"/>
      <c r="K3" s="404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4"/>
      <c r="W3" s="404"/>
      <c r="X3" s="404"/>
      <c r="Y3" s="404"/>
      <c r="Z3" s="404"/>
      <c r="AA3" s="404"/>
      <c r="AB3" s="404"/>
      <c r="AC3" s="404"/>
      <c r="AD3" s="404"/>
      <c r="AE3" s="404"/>
      <c r="AF3" s="404"/>
      <c r="AG3" s="404"/>
      <c r="AH3" s="404"/>
      <c r="AI3" s="405"/>
    </row>
    <row r="4" customFormat="false" ht="15" hidden="false" customHeight="false" outlineLevel="0" collapsed="false">
      <c r="A4" s="406" t="s">
        <v>138</v>
      </c>
      <c r="B4" s="407" t="s">
        <v>349</v>
      </c>
      <c r="C4" s="408" t="n">
        <v>45690</v>
      </c>
      <c r="D4" s="408" t="n">
        <v>45692</v>
      </c>
      <c r="E4" s="408" t="n">
        <v>45698</v>
      </c>
      <c r="F4" s="408" t="n">
        <v>45699</v>
      </c>
      <c r="G4" s="408" t="n">
        <v>45704</v>
      </c>
      <c r="H4" s="408" t="n">
        <v>45731</v>
      </c>
      <c r="I4" s="408" t="n">
        <v>45767</v>
      </c>
      <c r="J4" s="408" t="n">
        <v>45770</v>
      </c>
      <c r="K4" s="408" t="n">
        <v>45774</v>
      </c>
      <c r="L4" s="408" t="n">
        <v>45781</v>
      </c>
      <c r="M4" s="408" t="n">
        <v>45796</v>
      </c>
      <c r="N4" s="408" t="n">
        <v>45813</v>
      </c>
      <c r="O4" s="408" t="n">
        <v>45814</v>
      </c>
      <c r="P4" s="408" t="n">
        <v>45815</v>
      </c>
      <c r="Q4" s="408" t="n">
        <v>45816</v>
      </c>
      <c r="R4" s="408" t="n">
        <v>45817</v>
      </c>
      <c r="S4" s="408" t="n">
        <v>45842</v>
      </c>
      <c r="T4" s="408" t="n">
        <v>45853</v>
      </c>
      <c r="U4" s="408" t="n">
        <v>45858</v>
      </c>
      <c r="V4" s="408" t="n">
        <v>45863</v>
      </c>
      <c r="W4" s="408" t="n">
        <v>45865</v>
      </c>
      <c r="X4" s="408" t="n">
        <v>45869</v>
      </c>
      <c r="Y4" s="408" t="n">
        <v>45870</v>
      </c>
      <c r="Z4" s="408" t="n">
        <v>45871</v>
      </c>
      <c r="AA4" s="408" t="n">
        <v>45872</v>
      </c>
      <c r="AB4" s="408" t="n">
        <v>45875</v>
      </c>
      <c r="AC4" s="408" t="n">
        <v>45876</v>
      </c>
      <c r="AD4" s="408" t="n">
        <v>45877</v>
      </c>
      <c r="AE4" s="408" t="n">
        <v>45879</v>
      </c>
      <c r="AF4" s="408" t="n">
        <v>45881</v>
      </c>
      <c r="AG4" s="408" t="n">
        <v>45882</v>
      </c>
      <c r="AH4" s="408" t="n">
        <v>45883</v>
      </c>
      <c r="AI4" s="409" t="s">
        <v>350</v>
      </c>
    </row>
    <row r="5" customFormat="false" ht="15" hidden="false" customHeight="false" outlineLevel="0" collapsed="false">
      <c r="A5" s="305" t="s">
        <v>122</v>
      </c>
      <c r="B5" s="410"/>
      <c r="C5" s="411"/>
      <c r="D5" s="411"/>
      <c r="E5" s="411"/>
      <c r="F5" s="411"/>
      <c r="G5" s="411"/>
      <c r="H5" s="411"/>
      <c r="I5" s="412" t="n">
        <v>2500</v>
      </c>
      <c r="J5" s="412" t="n">
        <v>2500</v>
      </c>
      <c r="K5" s="411"/>
      <c r="L5" s="411"/>
      <c r="M5" s="411"/>
      <c r="N5" s="411"/>
      <c r="O5" s="411"/>
      <c r="P5" s="411"/>
      <c r="Q5" s="412" t="n">
        <v>1000</v>
      </c>
      <c r="R5" s="411"/>
      <c r="S5" s="411"/>
      <c r="T5" s="411"/>
      <c r="U5" s="411"/>
      <c r="V5" s="411"/>
      <c r="W5" s="411"/>
      <c r="X5" s="411"/>
      <c r="Y5" s="411"/>
      <c r="Z5" s="411"/>
      <c r="AA5" s="412" t="n">
        <v>2500</v>
      </c>
      <c r="AB5" s="412" t="n">
        <v>750</v>
      </c>
      <c r="AC5" s="411"/>
      <c r="AD5" s="411"/>
      <c r="AE5" s="411"/>
      <c r="AF5" s="411"/>
      <c r="AG5" s="411"/>
      <c r="AH5" s="413"/>
      <c r="AI5" s="414" t="n">
        <v>9250</v>
      </c>
    </row>
    <row r="6" customFormat="false" ht="15" hidden="false" customHeight="false" outlineLevel="0" collapsed="false">
      <c r="A6" s="307" t="s">
        <v>100</v>
      </c>
      <c r="B6" s="415"/>
      <c r="C6" s="416" t="n">
        <v>2300</v>
      </c>
      <c r="D6" s="417"/>
      <c r="E6" s="417"/>
      <c r="F6" s="417"/>
      <c r="G6" s="416" t="n">
        <v>2300</v>
      </c>
      <c r="H6" s="417"/>
      <c r="I6" s="416" t="n">
        <v>2300</v>
      </c>
      <c r="J6" s="417"/>
      <c r="K6" s="416" t="n">
        <v>2300</v>
      </c>
      <c r="L6" s="417"/>
      <c r="M6" s="416" t="n">
        <v>2300</v>
      </c>
      <c r="N6" s="417"/>
      <c r="O6" s="417"/>
      <c r="P6" s="417"/>
      <c r="Q6" s="417"/>
      <c r="R6" s="417"/>
      <c r="S6" s="416" t="n">
        <v>0</v>
      </c>
      <c r="T6" s="416" t="n">
        <v>2300</v>
      </c>
      <c r="U6" s="416" t="n">
        <v>2300</v>
      </c>
      <c r="V6" s="416" t="n">
        <v>0</v>
      </c>
      <c r="W6" s="416" t="n">
        <v>2300</v>
      </c>
      <c r="X6" s="416" t="n">
        <v>920</v>
      </c>
      <c r="Y6" s="416" t="n">
        <v>460</v>
      </c>
      <c r="Z6" s="416" t="n">
        <v>460</v>
      </c>
      <c r="AA6" s="416" t="n">
        <v>2300</v>
      </c>
      <c r="AB6" s="417"/>
      <c r="AC6" s="417"/>
      <c r="AD6" s="417"/>
      <c r="AE6" s="416" t="n">
        <v>2300</v>
      </c>
      <c r="AF6" s="417"/>
      <c r="AG6" s="417"/>
      <c r="AH6" s="418"/>
      <c r="AI6" s="419" t="n">
        <v>24840</v>
      </c>
    </row>
    <row r="7" customFormat="false" ht="15" hidden="false" customHeight="false" outlineLevel="0" collapsed="false">
      <c r="A7" s="307" t="s">
        <v>85</v>
      </c>
      <c r="B7" s="415"/>
      <c r="C7" s="417"/>
      <c r="D7" s="416" t="n">
        <v>400</v>
      </c>
      <c r="E7" s="416" t="n">
        <v>460</v>
      </c>
      <c r="F7" s="417"/>
      <c r="G7" s="416" t="n">
        <v>2300</v>
      </c>
      <c r="H7" s="416" t="n">
        <v>8600</v>
      </c>
      <c r="I7" s="417"/>
      <c r="J7" s="416" t="n">
        <v>2300</v>
      </c>
      <c r="K7" s="417"/>
      <c r="L7" s="417"/>
      <c r="M7" s="417"/>
      <c r="N7" s="417"/>
      <c r="O7" s="417"/>
      <c r="P7" s="417"/>
      <c r="Q7" s="416" t="n">
        <v>1000</v>
      </c>
      <c r="R7" s="416" t="n">
        <v>1000</v>
      </c>
      <c r="S7" s="417"/>
      <c r="T7" s="417"/>
      <c r="U7" s="417"/>
      <c r="V7" s="417"/>
      <c r="W7" s="417"/>
      <c r="X7" s="417"/>
      <c r="Y7" s="417"/>
      <c r="Z7" s="417"/>
      <c r="AA7" s="416" t="n">
        <v>2300</v>
      </c>
      <c r="AB7" s="417"/>
      <c r="AC7" s="416" t="n">
        <v>690</v>
      </c>
      <c r="AD7" s="417"/>
      <c r="AE7" s="417"/>
      <c r="AF7" s="416" t="n">
        <v>690</v>
      </c>
      <c r="AG7" s="417"/>
      <c r="AH7" s="418"/>
      <c r="AI7" s="419" t="n">
        <v>19740</v>
      </c>
    </row>
    <row r="8" customFormat="false" ht="15" hidden="false" customHeight="false" outlineLevel="0" collapsed="false">
      <c r="A8" s="307" t="s">
        <v>87</v>
      </c>
      <c r="B8" s="415"/>
      <c r="C8" s="416" t="n">
        <v>2500</v>
      </c>
      <c r="D8" s="417"/>
      <c r="E8" s="417"/>
      <c r="F8" s="416" t="n">
        <v>500</v>
      </c>
      <c r="G8" s="417"/>
      <c r="H8" s="417"/>
      <c r="I8" s="416" t="n">
        <v>2500</v>
      </c>
      <c r="J8" s="417"/>
      <c r="K8" s="417"/>
      <c r="L8" s="416" t="n">
        <v>2500</v>
      </c>
      <c r="M8" s="417"/>
      <c r="N8" s="417"/>
      <c r="O8" s="417"/>
      <c r="P8" s="417"/>
      <c r="Q8" s="417"/>
      <c r="R8" s="417"/>
      <c r="S8" s="417"/>
      <c r="T8" s="417"/>
      <c r="U8" s="417"/>
      <c r="V8" s="417"/>
      <c r="W8" s="417"/>
      <c r="X8" s="417"/>
      <c r="Y8" s="417"/>
      <c r="Z8" s="417"/>
      <c r="AA8" s="417"/>
      <c r="AB8" s="416" t="n">
        <v>750</v>
      </c>
      <c r="AC8" s="417"/>
      <c r="AD8" s="416" t="n">
        <v>750</v>
      </c>
      <c r="AE8" s="416" t="n">
        <v>2500</v>
      </c>
      <c r="AF8" s="417"/>
      <c r="AG8" s="416" t="n">
        <v>750</v>
      </c>
      <c r="AH8" s="418"/>
      <c r="AI8" s="419" t="n">
        <v>12750</v>
      </c>
    </row>
    <row r="9" customFormat="false" ht="15" hidden="false" customHeight="false" outlineLevel="0" collapsed="false">
      <c r="A9" s="307" t="s">
        <v>93</v>
      </c>
      <c r="B9" s="415"/>
      <c r="C9" s="417"/>
      <c r="D9" s="417"/>
      <c r="E9" s="417"/>
      <c r="F9" s="417"/>
      <c r="G9" s="416" t="n">
        <v>2300</v>
      </c>
      <c r="H9" s="417"/>
      <c r="I9" s="417"/>
      <c r="J9" s="417"/>
      <c r="K9" s="417"/>
      <c r="L9" s="417"/>
      <c r="M9" s="417"/>
      <c r="N9" s="417"/>
      <c r="O9" s="417"/>
      <c r="P9" s="417"/>
      <c r="Q9" s="417"/>
      <c r="R9" s="417"/>
      <c r="S9" s="417"/>
      <c r="T9" s="417"/>
      <c r="U9" s="417"/>
      <c r="V9" s="417"/>
      <c r="W9" s="417"/>
      <c r="X9" s="417"/>
      <c r="Y9" s="416" t="n">
        <v>500</v>
      </c>
      <c r="Z9" s="417"/>
      <c r="AA9" s="416" t="n">
        <v>2500</v>
      </c>
      <c r="AB9" s="417"/>
      <c r="AC9" s="417"/>
      <c r="AD9" s="417"/>
      <c r="AE9" s="416" t="n">
        <v>2500</v>
      </c>
      <c r="AF9" s="417"/>
      <c r="AG9" s="416" t="n">
        <v>750</v>
      </c>
      <c r="AH9" s="418"/>
      <c r="AI9" s="419" t="n">
        <v>8550</v>
      </c>
    </row>
    <row r="10" customFormat="false" ht="15" hidden="false" customHeight="false" outlineLevel="0" collapsed="false">
      <c r="A10" s="307" t="s">
        <v>48</v>
      </c>
      <c r="B10" s="415"/>
      <c r="C10" s="417"/>
      <c r="D10" s="416" t="n">
        <v>460</v>
      </c>
      <c r="E10" s="417"/>
      <c r="F10" s="416" t="n">
        <v>460</v>
      </c>
      <c r="G10" s="417"/>
      <c r="H10" s="417"/>
      <c r="I10" s="417"/>
      <c r="J10" s="417"/>
      <c r="K10" s="417"/>
      <c r="L10" s="416" t="n">
        <v>2300</v>
      </c>
      <c r="M10" s="417"/>
      <c r="N10" s="417"/>
      <c r="O10" s="417"/>
      <c r="P10" s="417"/>
      <c r="Q10" s="417"/>
      <c r="R10" s="417"/>
      <c r="S10" s="417"/>
      <c r="T10" s="417"/>
      <c r="U10" s="417"/>
      <c r="V10" s="417"/>
      <c r="W10" s="417"/>
      <c r="X10" s="417"/>
      <c r="Y10" s="417"/>
      <c r="Z10" s="417"/>
      <c r="AA10" s="417"/>
      <c r="AB10" s="417"/>
      <c r="AC10" s="417"/>
      <c r="AD10" s="417"/>
      <c r="AE10" s="417"/>
      <c r="AF10" s="417"/>
      <c r="AG10" s="417"/>
      <c r="AH10" s="418"/>
      <c r="AI10" s="419" t="n">
        <v>3220</v>
      </c>
    </row>
    <row r="11" customFormat="false" ht="15" hidden="false" customHeight="false" outlineLevel="0" collapsed="false">
      <c r="A11" s="307" t="s">
        <v>349</v>
      </c>
      <c r="B11" s="415" t="e">
        <f aca="false">#VALUE!</f>
        <v>#VALUE!</v>
      </c>
      <c r="C11" s="417"/>
      <c r="D11" s="417"/>
      <c r="E11" s="417"/>
      <c r="F11" s="417"/>
      <c r="G11" s="417"/>
      <c r="H11" s="417"/>
      <c r="I11" s="417"/>
      <c r="J11" s="417"/>
      <c r="K11" s="417"/>
      <c r="L11" s="417"/>
      <c r="M11" s="417"/>
      <c r="N11" s="417"/>
      <c r="O11" s="417"/>
      <c r="P11" s="417"/>
      <c r="Q11" s="417"/>
      <c r="R11" s="417"/>
      <c r="S11" s="417"/>
      <c r="T11" s="417"/>
      <c r="U11" s="417"/>
      <c r="V11" s="417"/>
      <c r="W11" s="417"/>
      <c r="X11" s="417"/>
      <c r="Y11" s="417"/>
      <c r="Z11" s="417"/>
      <c r="AA11" s="417"/>
      <c r="AB11" s="417"/>
      <c r="AC11" s="417"/>
      <c r="AD11" s="417"/>
      <c r="AE11" s="417"/>
      <c r="AF11" s="417"/>
      <c r="AG11" s="417"/>
      <c r="AH11" s="418"/>
      <c r="AI11" s="420" t="e">
        <f aca="false">#VALUE!</f>
        <v>#VALUE!</v>
      </c>
    </row>
    <row r="12" customFormat="false" ht="15" hidden="false" customHeight="false" outlineLevel="0" collapsed="false">
      <c r="A12" s="307" t="s">
        <v>102</v>
      </c>
      <c r="B12" s="415"/>
      <c r="C12" s="416" t="n">
        <v>2300</v>
      </c>
      <c r="D12" s="417"/>
      <c r="E12" s="416" t="n">
        <v>460</v>
      </c>
      <c r="F12" s="417"/>
      <c r="G12" s="417"/>
      <c r="H12" s="417"/>
      <c r="I12" s="416" t="n">
        <v>2300</v>
      </c>
      <c r="J12" s="417"/>
      <c r="K12" s="417"/>
      <c r="L12" s="416" t="n">
        <v>2300</v>
      </c>
      <c r="M12" s="417"/>
      <c r="N12" s="417"/>
      <c r="O12" s="417"/>
      <c r="P12" s="417"/>
      <c r="Q12" s="417"/>
      <c r="R12" s="416" t="n">
        <v>1000</v>
      </c>
      <c r="S12" s="417"/>
      <c r="T12" s="417"/>
      <c r="U12" s="417"/>
      <c r="V12" s="417"/>
      <c r="W12" s="417"/>
      <c r="X12" s="417"/>
      <c r="Y12" s="417"/>
      <c r="Z12" s="417"/>
      <c r="AA12" s="416" t="n">
        <v>2300</v>
      </c>
      <c r="AB12" s="416" t="n">
        <v>690</v>
      </c>
      <c r="AC12" s="417"/>
      <c r="AD12" s="416" t="n">
        <v>690</v>
      </c>
      <c r="AE12" s="416" t="n">
        <v>2300</v>
      </c>
      <c r="AF12" s="417"/>
      <c r="AG12" s="416" t="n">
        <v>690</v>
      </c>
      <c r="AH12" s="418"/>
      <c r="AI12" s="419" t="n">
        <v>15030</v>
      </c>
    </row>
    <row r="13" customFormat="false" ht="15" hidden="false" customHeight="false" outlineLevel="0" collapsed="false">
      <c r="A13" s="307" t="s">
        <v>95</v>
      </c>
      <c r="B13" s="415"/>
      <c r="C13" s="416" t="n">
        <v>2300</v>
      </c>
      <c r="D13" s="417"/>
      <c r="E13" s="416" t="n">
        <v>460</v>
      </c>
      <c r="F13" s="417"/>
      <c r="G13" s="416" t="n">
        <v>2300</v>
      </c>
      <c r="H13" s="417"/>
      <c r="I13" s="417"/>
      <c r="J13" s="416" t="n">
        <v>2300</v>
      </c>
      <c r="K13" s="417"/>
      <c r="L13" s="417"/>
      <c r="M13" s="417"/>
      <c r="N13" s="417"/>
      <c r="O13" s="417"/>
      <c r="P13" s="417"/>
      <c r="Q13" s="417"/>
      <c r="R13" s="417"/>
      <c r="S13" s="417"/>
      <c r="T13" s="417"/>
      <c r="U13" s="417"/>
      <c r="V13" s="417"/>
      <c r="W13" s="417"/>
      <c r="X13" s="417"/>
      <c r="Y13" s="417"/>
      <c r="Z13" s="417"/>
      <c r="AA13" s="416" t="n">
        <v>2300</v>
      </c>
      <c r="AB13" s="417"/>
      <c r="AC13" s="416" t="n">
        <v>690</v>
      </c>
      <c r="AD13" s="416" t="n">
        <v>690</v>
      </c>
      <c r="AE13" s="417"/>
      <c r="AF13" s="416" t="n">
        <v>690</v>
      </c>
      <c r="AG13" s="416" t="n">
        <v>690</v>
      </c>
      <c r="AH13" s="421" t="n">
        <v>0</v>
      </c>
      <c r="AI13" s="419" t="n">
        <v>12420</v>
      </c>
    </row>
    <row r="14" customFormat="false" ht="15" hidden="false" customHeight="false" outlineLevel="0" collapsed="false">
      <c r="A14" s="307" t="s">
        <v>109</v>
      </c>
      <c r="B14" s="415"/>
      <c r="C14" s="416" t="n">
        <v>2500</v>
      </c>
      <c r="D14" s="417"/>
      <c r="E14" s="416" t="n">
        <v>500</v>
      </c>
      <c r="F14" s="417"/>
      <c r="G14" s="416" t="n">
        <v>2500</v>
      </c>
      <c r="H14" s="417"/>
      <c r="I14" s="417"/>
      <c r="J14" s="417"/>
      <c r="K14" s="417"/>
      <c r="L14" s="417"/>
      <c r="M14" s="417"/>
      <c r="N14" s="417"/>
      <c r="O14" s="417"/>
      <c r="P14" s="417"/>
      <c r="Q14" s="417"/>
      <c r="R14" s="417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7"/>
      <c r="AD14" s="417"/>
      <c r="AE14" s="417"/>
      <c r="AF14" s="417"/>
      <c r="AG14" s="417"/>
      <c r="AH14" s="418"/>
      <c r="AI14" s="419" t="n">
        <v>5500</v>
      </c>
    </row>
    <row r="15" customFormat="false" ht="15" hidden="false" customHeight="false" outlineLevel="0" collapsed="false">
      <c r="A15" s="307" t="s">
        <v>107</v>
      </c>
      <c r="B15" s="415"/>
      <c r="C15" s="417"/>
      <c r="D15" s="417"/>
      <c r="E15" s="417"/>
      <c r="F15" s="417"/>
      <c r="G15" s="417"/>
      <c r="H15" s="417"/>
      <c r="I15" s="416" t="n">
        <v>2500</v>
      </c>
      <c r="J15" s="417"/>
      <c r="K15" s="416" t="n">
        <v>2500</v>
      </c>
      <c r="L15" s="417"/>
      <c r="M15" s="416" t="n">
        <v>2500</v>
      </c>
      <c r="N15" s="417"/>
      <c r="O15" s="417"/>
      <c r="P15" s="417"/>
      <c r="Q15" s="417"/>
      <c r="R15" s="417"/>
      <c r="S15" s="417"/>
      <c r="T15" s="416" t="n">
        <v>5000</v>
      </c>
      <c r="U15" s="417"/>
      <c r="V15" s="417"/>
      <c r="W15" s="417"/>
      <c r="X15" s="417"/>
      <c r="Y15" s="417"/>
      <c r="Z15" s="416" t="n">
        <v>500</v>
      </c>
      <c r="AA15" s="417"/>
      <c r="AB15" s="417"/>
      <c r="AC15" s="417"/>
      <c r="AD15" s="417"/>
      <c r="AE15" s="417"/>
      <c r="AF15" s="417"/>
      <c r="AG15" s="417"/>
      <c r="AH15" s="418"/>
      <c r="AI15" s="419" t="n">
        <v>13000</v>
      </c>
    </row>
    <row r="16" customFormat="false" ht="15" hidden="false" customHeight="false" outlineLevel="0" collapsed="false">
      <c r="A16" s="307" t="s">
        <v>89</v>
      </c>
      <c r="B16" s="415"/>
      <c r="C16" s="416" t="n">
        <v>1500</v>
      </c>
      <c r="D16" s="416" t="n">
        <v>300</v>
      </c>
      <c r="E16" s="417"/>
      <c r="F16" s="416" t="n">
        <v>300</v>
      </c>
      <c r="G16" s="417"/>
      <c r="H16" s="417"/>
      <c r="I16" s="416" t="n">
        <v>1500</v>
      </c>
      <c r="J16" s="417"/>
      <c r="K16" s="417"/>
      <c r="L16" s="416" t="n">
        <v>1500</v>
      </c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  <c r="AF16" s="417"/>
      <c r="AG16" s="417"/>
      <c r="AH16" s="418"/>
      <c r="AI16" s="419" t="n">
        <v>5100</v>
      </c>
    </row>
    <row r="17" customFormat="false" ht="15" hidden="false" customHeight="false" outlineLevel="0" collapsed="false">
      <c r="A17" s="307" t="s">
        <v>91</v>
      </c>
      <c r="B17" s="415"/>
      <c r="C17" s="417"/>
      <c r="D17" s="417"/>
      <c r="E17" s="416" t="n">
        <v>300</v>
      </c>
      <c r="F17" s="417"/>
      <c r="G17" s="416" t="n">
        <v>1500</v>
      </c>
      <c r="H17" s="417"/>
      <c r="I17" s="417"/>
      <c r="J17" s="416" t="n">
        <v>1500</v>
      </c>
      <c r="K17" s="417"/>
      <c r="L17" s="417"/>
      <c r="M17" s="417"/>
      <c r="N17" s="417"/>
      <c r="O17" s="417"/>
      <c r="P17" s="417"/>
      <c r="Q17" s="417"/>
      <c r="R17" s="417"/>
      <c r="S17" s="417"/>
      <c r="T17" s="417"/>
      <c r="U17" s="417"/>
      <c r="V17" s="417"/>
      <c r="W17" s="417"/>
      <c r="X17" s="417"/>
      <c r="Y17" s="417"/>
      <c r="Z17" s="417"/>
      <c r="AA17" s="416" t="n">
        <v>1500</v>
      </c>
      <c r="AB17" s="416" t="n">
        <v>450</v>
      </c>
      <c r="AC17" s="416" t="n">
        <v>450</v>
      </c>
      <c r="AD17" s="416" t="n">
        <v>450</v>
      </c>
      <c r="AE17" s="416" t="n">
        <v>4500</v>
      </c>
      <c r="AF17" s="416" t="n">
        <v>450</v>
      </c>
      <c r="AG17" s="417"/>
      <c r="AH17" s="418"/>
      <c r="AI17" s="419" t="n">
        <v>11100</v>
      </c>
    </row>
    <row r="18" customFormat="false" ht="15" hidden="false" customHeight="false" outlineLevel="0" collapsed="false">
      <c r="A18" s="307" t="s">
        <v>115</v>
      </c>
      <c r="B18" s="415"/>
      <c r="C18" s="417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6" t="n">
        <v>0</v>
      </c>
      <c r="O18" s="416" t="n">
        <v>0</v>
      </c>
      <c r="P18" s="416" t="n">
        <v>0</v>
      </c>
      <c r="Q18" s="417"/>
      <c r="R18" s="417"/>
      <c r="S18" s="417"/>
      <c r="T18" s="417"/>
      <c r="U18" s="417"/>
      <c r="V18" s="417"/>
      <c r="W18" s="417"/>
      <c r="X18" s="417"/>
      <c r="Y18" s="417"/>
      <c r="Z18" s="417"/>
      <c r="AA18" s="417"/>
      <c r="AB18" s="417"/>
      <c r="AC18" s="417"/>
      <c r="AD18" s="417"/>
      <c r="AE18" s="417"/>
      <c r="AF18" s="417"/>
      <c r="AG18" s="417"/>
      <c r="AH18" s="418"/>
      <c r="AI18" s="419" t="n">
        <v>0</v>
      </c>
    </row>
    <row r="19" customFormat="false" ht="15" hidden="false" customHeight="false" outlineLevel="0" collapsed="false">
      <c r="A19" s="307" t="s">
        <v>117</v>
      </c>
      <c r="B19" s="415"/>
      <c r="C19" s="417"/>
      <c r="D19" s="416" t="n">
        <v>500</v>
      </c>
      <c r="E19" s="417"/>
      <c r="F19" s="416" t="n">
        <v>500</v>
      </c>
      <c r="G19" s="417"/>
      <c r="H19" s="417"/>
      <c r="I19" s="417"/>
      <c r="J19" s="417"/>
      <c r="K19" s="417"/>
      <c r="L19" s="417"/>
      <c r="M19" s="417"/>
      <c r="N19" s="417"/>
      <c r="O19" s="417"/>
      <c r="P19" s="417"/>
      <c r="Q19" s="417"/>
      <c r="R19" s="417"/>
      <c r="S19" s="417"/>
      <c r="T19" s="417"/>
      <c r="U19" s="417"/>
      <c r="V19" s="417"/>
      <c r="W19" s="417"/>
      <c r="X19" s="417"/>
      <c r="Y19" s="417"/>
      <c r="Z19" s="417"/>
      <c r="AA19" s="417"/>
      <c r="AB19" s="417"/>
      <c r="AC19" s="417"/>
      <c r="AD19" s="417"/>
      <c r="AE19" s="417"/>
      <c r="AF19" s="417"/>
      <c r="AG19" s="417"/>
      <c r="AH19" s="418"/>
      <c r="AI19" s="419" t="n">
        <v>1000</v>
      </c>
    </row>
    <row r="20" customFormat="false" ht="15" hidden="false" customHeight="false" outlineLevel="0" collapsed="false">
      <c r="A20" s="307" t="s">
        <v>103</v>
      </c>
      <c r="B20" s="415"/>
      <c r="C20" s="416" t="n">
        <v>2500</v>
      </c>
      <c r="D20" s="417"/>
      <c r="E20" s="417"/>
      <c r="F20" s="417"/>
      <c r="G20" s="417"/>
      <c r="H20" s="417"/>
      <c r="I20" s="417"/>
      <c r="J20" s="417"/>
      <c r="K20" s="417"/>
      <c r="L20" s="416" t="n">
        <v>2500</v>
      </c>
      <c r="M20" s="417"/>
      <c r="N20" s="417"/>
      <c r="O20" s="417"/>
      <c r="P20" s="417"/>
      <c r="Q20" s="417"/>
      <c r="R20" s="417"/>
      <c r="S20" s="417"/>
      <c r="T20" s="417"/>
      <c r="U20" s="417"/>
      <c r="V20" s="417"/>
      <c r="W20" s="417"/>
      <c r="X20" s="417"/>
      <c r="Y20" s="417"/>
      <c r="Z20" s="417"/>
      <c r="AA20" s="417"/>
      <c r="AB20" s="417"/>
      <c r="AC20" s="417"/>
      <c r="AD20" s="417"/>
      <c r="AE20" s="417"/>
      <c r="AF20" s="417"/>
      <c r="AG20" s="417"/>
      <c r="AH20" s="418"/>
      <c r="AI20" s="419" t="n">
        <v>5000</v>
      </c>
    </row>
    <row r="21" customFormat="false" ht="15" hidden="false" customHeight="false" outlineLevel="0" collapsed="false">
      <c r="A21" s="307" t="s">
        <v>119</v>
      </c>
      <c r="B21" s="415"/>
      <c r="C21" s="417"/>
      <c r="D21" s="417"/>
      <c r="E21" s="417"/>
      <c r="F21" s="417"/>
      <c r="G21" s="417"/>
      <c r="H21" s="417"/>
      <c r="I21" s="417"/>
      <c r="J21" s="417"/>
      <c r="K21" s="417"/>
      <c r="L21" s="416" t="n">
        <v>5000</v>
      </c>
      <c r="M21" s="417"/>
      <c r="N21" s="417"/>
      <c r="O21" s="417"/>
      <c r="P21" s="417"/>
      <c r="Q21" s="417"/>
      <c r="R21" s="417"/>
      <c r="S21" s="417"/>
      <c r="T21" s="417"/>
      <c r="U21" s="417"/>
      <c r="V21" s="417"/>
      <c r="W21" s="417"/>
      <c r="X21" s="417"/>
      <c r="Y21" s="417"/>
      <c r="Z21" s="417"/>
      <c r="AA21" s="417"/>
      <c r="AB21" s="417"/>
      <c r="AC21" s="417"/>
      <c r="AD21" s="417"/>
      <c r="AE21" s="417"/>
      <c r="AF21" s="417"/>
      <c r="AG21" s="417"/>
      <c r="AH21" s="418"/>
      <c r="AI21" s="419" t="n">
        <v>5000</v>
      </c>
    </row>
    <row r="22" customFormat="false" ht="15" hidden="false" customHeight="false" outlineLevel="0" collapsed="false">
      <c r="A22" s="307" t="s">
        <v>121</v>
      </c>
      <c r="B22" s="415"/>
      <c r="C22" s="417"/>
      <c r="D22" s="417"/>
      <c r="E22" s="417"/>
      <c r="F22" s="417"/>
      <c r="G22" s="417"/>
      <c r="H22" s="417"/>
      <c r="I22" s="417"/>
      <c r="J22" s="417"/>
      <c r="K22" s="417"/>
      <c r="L22" s="417"/>
      <c r="M22" s="417"/>
      <c r="N22" s="417"/>
      <c r="O22" s="417"/>
      <c r="P22" s="417"/>
      <c r="Q22" s="417"/>
      <c r="R22" s="417"/>
      <c r="S22" s="417"/>
      <c r="T22" s="417"/>
      <c r="U22" s="417"/>
      <c r="V22" s="417"/>
      <c r="W22" s="417"/>
      <c r="X22" s="417"/>
      <c r="Y22" s="417"/>
      <c r="Z22" s="417"/>
      <c r="AA22" s="417"/>
      <c r="AB22" s="417"/>
      <c r="AC22" s="416" t="n">
        <v>750</v>
      </c>
      <c r="AD22" s="416" t="n">
        <v>750</v>
      </c>
      <c r="AE22" s="416" t="n">
        <v>2500</v>
      </c>
      <c r="AF22" s="416" t="n">
        <v>750</v>
      </c>
      <c r="AG22" s="416" t="n">
        <v>750</v>
      </c>
      <c r="AH22" s="421" t="n">
        <v>750</v>
      </c>
      <c r="AI22" s="419" t="n">
        <v>6250</v>
      </c>
    </row>
    <row r="23" customFormat="false" ht="15" hidden="false" customHeight="false" outlineLevel="0" collapsed="false">
      <c r="A23" s="307" t="s">
        <v>116</v>
      </c>
      <c r="B23" s="422"/>
      <c r="C23" s="423"/>
      <c r="D23" s="424" t="n">
        <v>460</v>
      </c>
      <c r="E23" s="423"/>
      <c r="F23" s="424" t="n">
        <v>460</v>
      </c>
      <c r="G23" s="424" t="n">
        <v>2300</v>
      </c>
      <c r="H23" s="423"/>
      <c r="I23" s="423"/>
      <c r="J23" s="424" t="n">
        <v>2300</v>
      </c>
      <c r="K23" s="423"/>
      <c r="L23" s="424" t="n">
        <v>2300</v>
      </c>
      <c r="M23" s="423"/>
      <c r="N23" s="423"/>
      <c r="O23" s="423"/>
      <c r="P23" s="423"/>
      <c r="Q23" s="423"/>
      <c r="R23" s="423"/>
      <c r="S23" s="423"/>
      <c r="T23" s="423"/>
      <c r="U23" s="423"/>
      <c r="V23" s="423"/>
      <c r="W23" s="423"/>
      <c r="X23" s="423"/>
      <c r="Y23" s="423"/>
      <c r="Z23" s="423"/>
      <c r="AA23" s="423"/>
      <c r="AB23" s="424" t="n">
        <v>690</v>
      </c>
      <c r="AC23" s="424" t="n">
        <v>690</v>
      </c>
      <c r="AD23" s="423"/>
      <c r="AE23" s="424" t="n">
        <v>2300</v>
      </c>
      <c r="AF23" s="424" t="n">
        <v>690</v>
      </c>
      <c r="AG23" s="424" t="n">
        <v>690</v>
      </c>
      <c r="AH23" s="425"/>
      <c r="AI23" s="426" t="n">
        <v>12880</v>
      </c>
    </row>
    <row r="24" customFormat="false" ht="15" hidden="false" customHeight="false" outlineLevel="0" collapsed="false">
      <c r="A24" s="310" t="s">
        <v>350</v>
      </c>
      <c r="B24" s="427" t="e">
        <f aca="false">#VALUE!</f>
        <v>#VALUE!</v>
      </c>
      <c r="C24" s="428" t="n">
        <v>15900</v>
      </c>
      <c r="D24" s="428" t="n">
        <v>2120</v>
      </c>
      <c r="E24" s="428" t="n">
        <v>2180</v>
      </c>
      <c r="F24" s="428" t="n">
        <v>2220</v>
      </c>
      <c r="G24" s="428" t="n">
        <v>15500</v>
      </c>
      <c r="H24" s="428" t="n">
        <v>8600</v>
      </c>
      <c r="I24" s="428" t="n">
        <v>13600</v>
      </c>
      <c r="J24" s="428" t="n">
        <v>10900</v>
      </c>
      <c r="K24" s="428" t="n">
        <v>4800</v>
      </c>
      <c r="L24" s="428" t="n">
        <v>18400</v>
      </c>
      <c r="M24" s="428" t="n">
        <v>4800</v>
      </c>
      <c r="N24" s="428" t="n">
        <v>0</v>
      </c>
      <c r="O24" s="428" t="n">
        <v>0</v>
      </c>
      <c r="P24" s="428" t="n">
        <v>0</v>
      </c>
      <c r="Q24" s="428" t="n">
        <v>2000</v>
      </c>
      <c r="R24" s="428" t="n">
        <v>2000</v>
      </c>
      <c r="S24" s="428" t="n">
        <v>0</v>
      </c>
      <c r="T24" s="428" t="n">
        <v>7300</v>
      </c>
      <c r="U24" s="428" t="n">
        <v>2300</v>
      </c>
      <c r="V24" s="428" t="n">
        <v>0</v>
      </c>
      <c r="W24" s="428" t="n">
        <v>2300</v>
      </c>
      <c r="X24" s="428" t="n">
        <v>920</v>
      </c>
      <c r="Y24" s="428" t="n">
        <v>960</v>
      </c>
      <c r="Z24" s="428" t="n">
        <v>960</v>
      </c>
      <c r="AA24" s="428" t="n">
        <v>15700</v>
      </c>
      <c r="AB24" s="428" t="n">
        <v>3330</v>
      </c>
      <c r="AC24" s="428" t="n">
        <v>3270</v>
      </c>
      <c r="AD24" s="428" t="n">
        <v>3330</v>
      </c>
      <c r="AE24" s="428" t="n">
        <v>18900</v>
      </c>
      <c r="AF24" s="428" t="n">
        <v>3270</v>
      </c>
      <c r="AG24" s="428" t="n">
        <v>4320</v>
      </c>
      <c r="AH24" s="429" t="n">
        <v>750</v>
      </c>
      <c r="AI24" s="430" t="e">
        <f aca="false">#VALUE!</f>
        <v>#VALUE!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E19" activeCellId="0" sqref="E19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4.57"/>
    <col collapsed="false" customWidth="true" hidden="false" outlineLevel="0" max="3" min="3" style="1" width="23.57"/>
    <col collapsed="false" customWidth="true" hidden="false" outlineLevel="0" max="4" min="4" style="1" width="7.86"/>
    <col collapsed="false" customWidth="true" hidden="false" outlineLevel="0" max="5" min="5" style="1" width="9.57"/>
    <col collapsed="false" customWidth="true" hidden="false" outlineLevel="0" max="6" min="6" style="1" width="9.14"/>
  </cols>
  <sheetData>
    <row r="1" customFormat="false" ht="15" hidden="false" customHeight="false" outlineLevel="0" collapsed="false">
      <c r="A1" s="431" t="s">
        <v>417</v>
      </c>
      <c r="B1" s="431" t="s">
        <v>418</v>
      </c>
      <c r="C1" s="431" t="s">
        <v>419</v>
      </c>
      <c r="D1" s="432" t="s">
        <v>420</v>
      </c>
      <c r="E1" s="432" t="s">
        <v>421</v>
      </c>
      <c r="F1" s="432" t="s">
        <v>422</v>
      </c>
      <c r="G1" s="432" t="s">
        <v>423</v>
      </c>
    </row>
    <row r="2" customFormat="false" ht="15" hidden="false" customHeight="false" outlineLevel="0" collapsed="false">
      <c r="A2" s="371" t="s">
        <v>424</v>
      </c>
      <c r="B2" s="371" t="s">
        <v>425</v>
      </c>
      <c r="C2" s="433" t="s">
        <v>93</v>
      </c>
      <c r="D2" s="434" t="n">
        <v>35000</v>
      </c>
      <c r="E2" s="434" t="n">
        <v>40000</v>
      </c>
      <c r="F2" s="435" t="s">
        <v>426</v>
      </c>
      <c r="G2" s="266"/>
    </row>
    <row r="3" customFormat="false" ht="15" hidden="false" customHeight="false" outlineLevel="0" collapsed="false">
      <c r="A3" s="371" t="s">
        <v>427</v>
      </c>
      <c r="B3" s="371" t="s">
        <v>425</v>
      </c>
      <c r="C3" s="436" t="s">
        <v>103</v>
      </c>
      <c r="D3" s="434" t="n">
        <v>35000</v>
      </c>
      <c r="E3" s="434" t="n">
        <v>42500</v>
      </c>
      <c r="F3" s="435" t="s">
        <v>426</v>
      </c>
      <c r="G3" s="266"/>
    </row>
    <row r="4" customFormat="false" ht="15" hidden="true" customHeight="false" outlineLevel="0" collapsed="false">
      <c r="A4" s="371" t="s">
        <v>428</v>
      </c>
      <c r="B4" s="371" t="s">
        <v>429</v>
      </c>
      <c r="C4" s="436" t="s">
        <v>117</v>
      </c>
      <c r="D4" s="435" t="s">
        <v>426</v>
      </c>
      <c r="E4" s="434" t="n">
        <v>42500</v>
      </c>
      <c r="F4" s="435" t="s">
        <v>426</v>
      </c>
      <c r="G4" s="266"/>
    </row>
    <row r="5" customFormat="false" ht="15" hidden="true" customHeight="false" outlineLevel="0" collapsed="false">
      <c r="A5" s="371" t="s">
        <v>430</v>
      </c>
      <c r="B5" s="371" t="s">
        <v>429</v>
      </c>
      <c r="C5" s="437" t="s">
        <v>109</v>
      </c>
      <c r="D5" s="434" t="n">
        <v>37500</v>
      </c>
      <c r="E5" s="434" t="n">
        <v>42500</v>
      </c>
      <c r="F5" s="435" t="s">
        <v>426</v>
      </c>
      <c r="G5" s="266"/>
    </row>
    <row r="6" customFormat="false" ht="15" hidden="true" customHeight="false" outlineLevel="0" collapsed="false">
      <c r="A6" s="371" t="s">
        <v>431</v>
      </c>
      <c r="B6" s="371" t="s">
        <v>432</v>
      </c>
      <c r="C6" s="437" t="s">
        <v>104</v>
      </c>
      <c r="D6" s="434" t="n">
        <v>35000</v>
      </c>
      <c r="E6" s="434" t="n">
        <v>40000</v>
      </c>
      <c r="F6" s="434" t="n">
        <v>42500</v>
      </c>
      <c r="G6" s="266"/>
    </row>
    <row r="7" customFormat="false" ht="15" hidden="false" customHeight="false" outlineLevel="0" collapsed="false">
      <c r="A7" s="371" t="s">
        <v>433</v>
      </c>
      <c r="B7" s="371" t="s">
        <v>434</v>
      </c>
      <c r="C7" s="433" t="s">
        <v>100</v>
      </c>
      <c r="D7" s="434" t="n">
        <v>30000</v>
      </c>
      <c r="E7" s="434" t="n">
        <v>33000</v>
      </c>
      <c r="F7" s="435" t="s">
        <v>426</v>
      </c>
      <c r="G7" s="266"/>
    </row>
    <row r="8" customFormat="false" ht="15" hidden="false" customHeight="false" outlineLevel="0" collapsed="false">
      <c r="A8" s="371" t="s">
        <v>435</v>
      </c>
      <c r="B8" s="371" t="s">
        <v>436</v>
      </c>
      <c r="C8" s="433" t="s">
        <v>102</v>
      </c>
      <c r="D8" s="434" t="n">
        <v>30000</v>
      </c>
      <c r="E8" s="434" t="n">
        <v>33000</v>
      </c>
      <c r="F8" s="435" t="s">
        <v>426</v>
      </c>
      <c r="G8" s="266"/>
    </row>
    <row r="9" customFormat="false" ht="15" hidden="true" customHeight="false" outlineLevel="0" collapsed="false">
      <c r="A9" s="371" t="s">
        <v>437</v>
      </c>
      <c r="B9" s="371" t="s">
        <v>436</v>
      </c>
      <c r="C9" s="436" t="s">
        <v>48</v>
      </c>
      <c r="D9" s="434" t="n">
        <v>30000</v>
      </c>
      <c r="E9" s="434" t="n">
        <v>33000</v>
      </c>
      <c r="F9" s="435" t="s">
        <v>426</v>
      </c>
      <c r="G9" s="266"/>
    </row>
    <row r="10" customFormat="false" ht="15" hidden="false" customHeight="false" outlineLevel="0" collapsed="false">
      <c r="A10" s="371" t="s">
        <v>438</v>
      </c>
      <c r="B10" s="371" t="s">
        <v>436</v>
      </c>
      <c r="C10" s="436" t="s">
        <v>116</v>
      </c>
      <c r="D10" s="435" t="s">
        <v>426</v>
      </c>
      <c r="E10" s="434" t="n">
        <v>35000</v>
      </c>
      <c r="F10" s="435" t="s">
        <v>426</v>
      </c>
      <c r="G10" s="266"/>
    </row>
    <row r="11" customFormat="false" ht="15" hidden="false" customHeight="false" outlineLevel="0" collapsed="false">
      <c r="A11" s="371" t="s">
        <v>439</v>
      </c>
      <c r="B11" s="371" t="s">
        <v>436</v>
      </c>
      <c r="C11" s="433" t="s">
        <v>95</v>
      </c>
      <c r="D11" s="434" t="n">
        <v>30000</v>
      </c>
      <c r="E11" s="434" t="n">
        <v>37500</v>
      </c>
      <c r="F11" s="435" t="s">
        <v>426</v>
      </c>
      <c r="G11" s="266"/>
    </row>
    <row r="12" customFormat="false" ht="15" hidden="false" customHeight="false" outlineLevel="0" collapsed="false">
      <c r="A12" s="371" t="s">
        <v>440</v>
      </c>
      <c r="B12" s="371" t="s">
        <v>441</v>
      </c>
      <c r="C12" s="371" t="s">
        <v>111</v>
      </c>
      <c r="D12" s="434" t="n">
        <v>23000</v>
      </c>
      <c r="E12" s="434" t="n">
        <v>25000</v>
      </c>
      <c r="F12" s="435" t="s">
        <v>426</v>
      </c>
      <c r="G12" s="266"/>
    </row>
    <row r="13" customFormat="false" ht="15" hidden="false" customHeight="false" outlineLevel="0" collapsed="false">
      <c r="A13" s="371" t="s">
        <v>442</v>
      </c>
      <c r="B13" s="371" t="s">
        <v>443</v>
      </c>
      <c r="C13" s="371" t="s">
        <v>115</v>
      </c>
      <c r="D13" s="435" t="s">
        <v>426</v>
      </c>
      <c r="E13" s="434" t="n">
        <v>25000</v>
      </c>
      <c r="F13" s="435" t="s">
        <v>426</v>
      </c>
      <c r="G13" s="266"/>
    </row>
  </sheetData>
  <dataValidations count="1">
    <dataValidation allowBlank="true" errorStyle="stop" operator="between" showDropDown="false" showErrorMessage="true" showInputMessage="true" sqref="C2:C11" type="list">
      <formula1>$C$2:$C$31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7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T164" activeCellId="0" sqref="T164"/>
    </sheetView>
  </sheetViews>
  <sheetFormatPr defaultColWidth="9.1484375" defaultRowHeight="16.5" customHeight="true" zeroHeight="false" outlineLevelRow="0" outlineLevelCol="0"/>
  <cols>
    <col collapsed="false" customWidth="true" hidden="false" outlineLevel="0" max="1" min="1" style="71" width="2.71"/>
    <col collapsed="false" customWidth="true" hidden="false" outlineLevel="0" max="2" min="2" style="162" width="6.43"/>
    <col collapsed="false" customWidth="true" hidden="false" outlineLevel="0" max="3" min="3" style="163" width="5.86"/>
    <col collapsed="false" customWidth="true" hidden="false" outlineLevel="0" max="4" min="4" style="163" width="12"/>
    <col collapsed="false" customWidth="true" hidden="false" outlineLevel="0" max="5" min="5" style="163" width="14.14"/>
    <col collapsed="false" customWidth="true" hidden="false" outlineLevel="0" max="6" min="6" style="164" width="11"/>
    <col collapsed="false" customWidth="true" hidden="false" outlineLevel="0" max="7" min="7" style="165" width="9.86"/>
    <col collapsed="false" customWidth="true" hidden="false" outlineLevel="0" max="8" min="8" style="166" width="21"/>
    <col collapsed="false" customWidth="true" hidden="false" outlineLevel="0" max="9" min="9" style="166" width="10.14"/>
    <col collapsed="false" customWidth="true" hidden="false" outlineLevel="0" max="10" min="10" style="166" width="11.85"/>
    <col collapsed="false" customWidth="true" hidden="false" outlineLevel="0" max="11" min="11" style="167" width="11.71"/>
    <col collapsed="false" customWidth="true" hidden="false" outlineLevel="0" max="12" min="12" style="168" width="11.71"/>
    <col collapsed="false" customWidth="true" hidden="false" outlineLevel="0" max="13" min="13" style="167" width="10.57"/>
    <col collapsed="false" customWidth="true" hidden="false" outlineLevel="0" max="14" min="14" style="169" width="22.86"/>
    <col collapsed="false" customWidth="true" hidden="false" outlineLevel="0" max="15" min="15" style="170" width="5.42"/>
    <col collapsed="false" customWidth="true" hidden="false" outlineLevel="0" max="16" min="16" style="71" width="2.57"/>
    <col collapsed="false" customWidth="false" hidden="false" outlineLevel="0" max="19" min="17" style="71" width="9.14"/>
    <col collapsed="false" customWidth="true" hidden="false" outlineLevel="0" max="20" min="20" style="71" width="21.71"/>
    <col collapsed="false" customWidth="true" hidden="false" outlineLevel="0" max="21" min="21" style="71" width="8.86"/>
    <col collapsed="false" customWidth="false" hidden="false" outlineLevel="0" max="16384" min="22" style="71" width="9.14"/>
  </cols>
  <sheetData>
    <row r="1" customFormat="false" ht="16.5" hidden="false" customHeight="false" outlineLevel="0" collapsed="false">
      <c r="B1" s="171" t="s">
        <v>136</v>
      </c>
      <c r="C1" s="172" t="s">
        <v>137</v>
      </c>
      <c r="D1" s="173" t="s">
        <v>28</v>
      </c>
      <c r="E1" s="174" t="s">
        <v>29</v>
      </c>
      <c r="F1" s="174" t="s">
        <v>30</v>
      </c>
      <c r="G1" s="175" t="s">
        <v>26</v>
      </c>
      <c r="H1" s="176" t="s">
        <v>138</v>
      </c>
      <c r="I1" s="177" t="s">
        <v>139</v>
      </c>
      <c r="J1" s="167" t="s">
        <v>140</v>
      </c>
      <c r="K1" s="177" t="s">
        <v>141</v>
      </c>
      <c r="L1" s="168" t="s">
        <v>142</v>
      </c>
      <c r="M1" s="167" t="s">
        <v>143</v>
      </c>
      <c r="N1" s="178" t="s">
        <v>144</v>
      </c>
      <c r="O1" s="179" t="s">
        <v>145</v>
      </c>
    </row>
    <row r="2" customFormat="false" ht="16.5" hidden="true" customHeight="false" outlineLevel="0" collapsed="false">
      <c r="B2" s="162" t="n">
        <v>2025</v>
      </c>
      <c r="C2" s="163" t="n">
        <v>1</v>
      </c>
      <c r="D2" s="180" t="s">
        <v>56</v>
      </c>
      <c r="E2" s="175" t="s">
        <v>80</v>
      </c>
      <c r="F2" s="175" t="n">
        <v>96358353</v>
      </c>
      <c r="G2" s="175" t="s">
        <v>146</v>
      </c>
      <c r="H2" s="166" t="s">
        <v>79</v>
      </c>
      <c r="I2" s="181" t="n">
        <v>57500</v>
      </c>
      <c r="J2" s="181" t="n">
        <v>40000</v>
      </c>
      <c r="K2" s="168" t="n">
        <v>5000</v>
      </c>
      <c r="L2" s="181" t="n">
        <v>45000</v>
      </c>
      <c r="M2" s="181"/>
      <c r="N2" s="182"/>
      <c r="O2" s="166"/>
    </row>
    <row r="3" customFormat="false" ht="16.5" hidden="true" customHeight="false" outlineLevel="0" collapsed="false">
      <c r="B3" s="162" t="n">
        <v>2025</v>
      </c>
      <c r="C3" s="163" t="n">
        <v>1</v>
      </c>
      <c r="D3" s="180" t="s">
        <v>82</v>
      </c>
      <c r="E3" s="175" t="s">
        <v>83</v>
      </c>
      <c r="F3" s="175" t="n">
        <v>95529415</v>
      </c>
      <c r="G3" s="175" t="s">
        <v>146</v>
      </c>
      <c r="H3" s="166" t="s">
        <v>81</v>
      </c>
      <c r="I3" s="181" t="n">
        <v>75000</v>
      </c>
      <c r="J3" s="181" t="n">
        <v>2670</v>
      </c>
      <c r="K3" s="168" t="n">
        <v>62330</v>
      </c>
      <c r="L3" s="181" t="n">
        <v>65000</v>
      </c>
      <c r="M3" s="181"/>
      <c r="N3" s="182"/>
      <c r="O3" s="166"/>
    </row>
    <row r="4" customFormat="false" ht="16.5" hidden="true" customHeight="false" outlineLevel="0" collapsed="false">
      <c r="B4" s="162" t="n">
        <v>2025</v>
      </c>
      <c r="C4" s="163" t="n">
        <v>1</v>
      </c>
      <c r="D4" s="180" t="s">
        <v>56</v>
      </c>
      <c r="E4" s="175" t="s">
        <v>84</v>
      </c>
      <c r="F4" s="175" t="n">
        <v>95787183</v>
      </c>
      <c r="G4" s="175" t="s">
        <v>146</v>
      </c>
      <c r="H4" s="166" t="s">
        <v>73</v>
      </c>
      <c r="I4" s="181" t="n">
        <v>22104</v>
      </c>
      <c r="J4" s="181" t="n">
        <v>22104</v>
      </c>
      <c r="K4" s="168" t="n">
        <v>0</v>
      </c>
      <c r="L4" s="181" t="n">
        <v>22104</v>
      </c>
      <c r="M4" s="181"/>
      <c r="N4" s="182"/>
      <c r="O4" s="166"/>
    </row>
    <row r="5" customFormat="false" ht="15" hidden="true" customHeight="true" outlineLevel="0" collapsed="false">
      <c r="B5" s="162" t="n">
        <v>2025</v>
      </c>
      <c r="C5" s="163" t="n">
        <v>1</v>
      </c>
      <c r="D5" s="180" t="s">
        <v>82</v>
      </c>
      <c r="E5" s="175" t="s">
        <v>86</v>
      </c>
      <c r="F5" s="175" t="n">
        <v>95532064</v>
      </c>
      <c r="G5" s="175" t="s">
        <v>147</v>
      </c>
      <c r="H5" s="166" t="s">
        <v>85</v>
      </c>
      <c r="I5" s="181" t="n">
        <v>48000</v>
      </c>
      <c r="J5" s="181" t="n">
        <v>1670</v>
      </c>
      <c r="K5" s="168" t="n">
        <v>38330</v>
      </c>
      <c r="L5" s="181" t="n">
        <v>40000</v>
      </c>
      <c r="M5" s="181"/>
      <c r="N5" s="182"/>
      <c r="O5" s="166"/>
    </row>
    <row r="6" customFormat="false" ht="15" hidden="true" customHeight="true" outlineLevel="0" collapsed="false">
      <c r="B6" s="162" t="n">
        <v>2025</v>
      </c>
      <c r="C6" s="163" t="n">
        <v>1</v>
      </c>
      <c r="D6" s="180" t="s">
        <v>82</v>
      </c>
      <c r="E6" s="175" t="s">
        <v>88</v>
      </c>
      <c r="F6" s="175" t="n">
        <v>95532066</v>
      </c>
      <c r="G6" s="175" t="s">
        <v>147</v>
      </c>
      <c r="H6" s="166" t="s">
        <v>87</v>
      </c>
      <c r="I6" s="181" t="n">
        <v>52000</v>
      </c>
      <c r="J6" s="181" t="n">
        <v>40000</v>
      </c>
      <c r="K6" s="168" t="n">
        <v>5000</v>
      </c>
      <c r="L6" s="181" t="n">
        <v>45000</v>
      </c>
      <c r="M6" s="181"/>
      <c r="N6" s="182"/>
      <c r="O6" s="166"/>
    </row>
    <row r="7" customFormat="false" ht="15" hidden="true" customHeight="true" outlineLevel="0" collapsed="false">
      <c r="B7" s="162" t="n">
        <v>2025</v>
      </c>
      <c r="C7" s="163" t="n">
        <v>1</v>
      </c>
      <c r="D7" s="180" t="s">
        <v>82</v>
      </c>
      <c r="E7" s="175" t="s">
        <v>90</v>
      </c>
      <c r="F7" s="175" t="n">
        <v>0</v>
      </c>
      <c r="G7" s="175" t="s">
        <v>147</v>
      </c>
      <c r="H7" s="166" t="s">
        <v>89</v>
      </c>
      <c r="I7" s="181" t="n">
        <v>34500</v>
      </c>
      <c r="J7" s="181" t="n">
        <v>22104</v>
      </c>
      <c r="K7" s="168" t="n">
        <v>12998</v>
      </c>
      <c r="L7" s="181" t="n">
        <v>35102</v>
      </c>
      <c r="M7" s="181"/>
      <c r="N7" s="182"/>
      <c r="O7" s="166"/>
    </row>
    <row r="8" customFormat="false" ht="15" hidden="true" customHeight="true" outlineLevel="0" collapsed="false">
      <c r="B8" s="162" t="n">
        <v>2025</v>
      </c>
      <c r="C8" s="163" t="n">
        <v>1</v>
      </c>
      <c r="D8" s="180" t="s">
        <v>82</v>
      </c>
      <c r="E8" s="175" t="s">
        <v>92</v>
      </c>
      <c r="F8" s="175" t="n">
        <v>0</v>
      </c>
      <c r="G8" s="175" t="s">
        <v>147</v>
      </c>
      <c r="H8" s="166" t="s">
        <v>91</v>
      </c>
      <c r="I8" s="181" t="n">
        <v>34500</v>
      </c>
      <c r="J8" s="181" t="n">
        <v>1603</v>
      </c>
      <c r="K8" s="168" t="n">
        <v>12998</v>
      </c>
      <c r="L8" s="181" t="n">
        <v>14601</v>
      </c>
      <c r="M8" s="181"/>
      <c r="N8" s="182"/>
      <c r="O8" s="166"/>
    </row>
    <row r="9" customFormat="false" ht="16.5" hidden="true" customHeight="false" outlineLevel="0" collapsed="false">
      <c r="B9" s="162" t="n">
        <v>2025</v>
      </c>
      <c r="C9" s="163" t="n">
        <v>1</v>
      </c>
      <c r="D9" s="180" t="s">
        <v>69</v>
      </c>
      <c r="E9" s="175" t="s">
        <v>94</v>
      </c>
      <c r="F9" s="175" t="n">
        <v>95532077</v>
      </c>
      <c r="G9" s="175" t="s">
        <v>146</v>
      </c>
      <c r="H9" s="166" t="s">
        <v>93</v>
      </c>
      <c r="I9" s="181" t="n">
        <v>46000</v>
      </c>
      <c r="J9" s="181" t="n">
        <v>2335</v>
      </c>
      <c r="K9" s="168" t="n">
        <v>37665</v>
      </c>
      <c r="L9" s="181" t="n">
        <v>40000</v>
      </c>
      <c r="M9" s="181"/>
      <c r="N9" s="182"/>
      <c r="O9" s="166"/>
    </row>
    <row r="10" customFormat="false" ht="15" hidden="true" customHeight="true" outlineLevel="0" collapsed="false">
      <c r="B10" s="162" t="n">
        <v>2025</v>
      </c>
      <c r="C10" s="163" t="n">
        <v>1</v>
      </c>
      <c r="D10" s="180" t="s">
        <v>34</v>
      </c>
      <c r="E10" s="175" t="s">
        <v>96</v>
      </c>
      <c r="F10" s="175" t="n">
        <v>95693810</v>
      </c>
      <c r="G10" s="175" t="s">
        <v>147</v>
      </c>
      <c r="H10" s="166" t="s">
        <v>95</v>
      </c>
      <c r="I10" s="181" t="n">
        <v>43000</v>
      </c>
      <c r="J10" s="181" t="n">
        <v>2000</v>
      </c>
      <c r="K10" s="168" t="n">
        <v>35499.9</v>
      </c>
      <c r="L10" s="181" t="n">
        <v>37499.9</v>
      </c>
      <c r="M10" s="181"/>
      <c r="N10" s="182"/>
      <c r="O10" s="166"/>
    </row>
    <row r="11" customFormat="false" ht="16.5" hidden="true" customHeight="false" outlineLevel="0" collapsed="false">
      <c r="B11" s="162" t="n">
        <v>2025</v>
      </c>
      <c r="C11" s="163" t="n">
        <v>1</v>
      </c>
      <c r="D11" s="180" t="s">
        <v>98</v>
      </c>
      <c r="E11" s="175" t="s">
        <v>99</v>
      </c>
      <c r="F11" s="175" t="s">
        <v>148</v>
      </c>
      <c r="G11" s="175" t="s">
        <v>146</v>
      </c>
      <c r="H11" s="166" t="s">
        <v>97</v>
      </c>
      <c r="I11" s="181" t="n">
        <v>57500</v>
      </c>
      <c r="J11" s="181" t="n">
        <v>35000</v>
      </c>
      <c r="K11" s="168" t="n">
        <v>13000</v>
      </c>
      <c r="L11" s="181" t="n">
        <v>48000</v>
      </c>
      <c r="M11" s="181"/>
      <c r="N11" s="182"/>
      <c r="O11" s="166"/>
    </row>
    <row r="12" customFormat="false" ht="15" hidden="true" customHeight="true" outlineLevel="0" collapsed="false">
      <c r="B12" s="162" t="n">
        <v>2025</v>
      </c>
      <c r="C12" s="163" t="n">
        <v>1</v>
      </c>
      <c r="D12" s="180" t="s">
        <v>51</v>
      </c>
      <c r="E12" s="175" t="s">
        <v>101</v>
      </c>
      <c r="F12" s="175" t="n">
        <v>97189681</v>
      </c>
      <c r="G12" s="175" t="s">
        <v>147</v>
      </c>
      <c r="H12" s="166" t="s">
        <v>100</v>
      </c>
      <c r="I12" s="181" t="n">
        <v>40000</v>
      </c>
      <c r="J12" s="181" t="n">
        <v>38000</v>
      </c>
      <c r="K12" s="168" t="n">
        <v>0</v>
      </c>
      <c r="L12" s="181" t="n">
        <v>38000</v>
      </c>
      <c r="M12" s="181"/>
      <c r="N12" s="182"/>
      <c r="O12" s="166"/>
    </row>
    <row r="13" customFormat="false" ht="15" hidden="true" customHeight="true" outlineLevel="0" collapsed="false">
      <c r="B13" s="162" t="n">
        <v>2025</v>
      </c>
      <c r="C13" s="163" t="n">
        <v>1</v>
      </c>
      <c r="D13" s="180" t="s">
        <v>34</v>
      </c>
      <c r="E13" s="175" t="n">
        <v>0</v>
      </c>
      <c r="F13" s="175" t="n">
        <v>0</v>
      </c>
      <c r="G13" s="175" t="s">
        <v>147</v>
      </c>
      <c r="H13" s="166" t="s">
        <v>102</v>
      </c>
      <c r="I13" s="181" t="n">
        <v>40000</v>
      </c>
      <c r="J13" s="181" t="n">
        <v>0</v>
      </c>
      <c r="K13" s="168" t="n">
        <v>33000</v>
      </c>
      <c r="L13" s="181" t="n">
        <v>33000</v>
      </c>
      <c r="M13" s="181"/>
      <c r="N13" s="182"/>
      <c r="O13" s="166"/>
    </row>
    <row r="14" customFormat="false" ht="15" hidden="true" customHeight="true" outlineLevel="0" collapsed="false">
      <c r="B14" s="162" t="n">
        <v>2025</v>
      </c>
      <c r="C14" s="163" t="n">
        <v>1</v>
      </c>
      <c r="D14" s="180" t="s">
        <v>105</v>
      </c>
      <c r="E14" s="175" t="s">
        <v>106</v>
      </c>
      <c r="F14" s="175" t="n">
        <v>0</v>
      </c>
      <c r="G14" s="175" t="s">
        <v>147</v>
      </c>
      <c r="H14" s="183" t="s">
        <v>104</v>
      </c>
      <c r="I14" s="181" t="n">
        <v>48000</v>
      </c>
      <c r="J14" s="181" t="n">
        <v>48000</v>
      </c>
      <c r="K14" s="168" t="n">
        <v>0</v>
      </c>
      <c r="L14" s="181" t="n">
        <v>48000</v>
      </c>
      <c r="M14" s="181"/>
      <c r="N14" s="182"/>
      <c r="O14" s="166"/>
    </row>
    <row r="15" customFormat="false" ht="15" hidden="true" customHeight="true" outlineLevel="0" collapsed="false">
      <c r="B15" s="162" t="n">
        <v>2025</v>
      </c>
      <c r="C15" s="163" t="n">
        <v>1</v>
      </c>
      <c r="D15" s="180" t="s">
        <v>69</v>
      </c>
      <c r="E15" s="175" t="n">
        <v>0</v>
      </c>
      <c r="F15" s="175" t="n">
        <v>0</v>
      </c>
      <c r="G15" s="175" t="s">
        <v>147</v>
      </c>
      <c r="H15" s="184" t="s">
        <v>103</v>
      </c>
      <c r="I15" s="181" t="n">
        <v>50000</v>
      </c>
      <c r="J15" s="181" t="n">
        <v>2335</v>
      </c>
      <c r="K15" s="168" t="n">
        <v>40165</v>
      </c>
      <c r="L15" s="181" t="n">
        <v>42500</v>
      </c>
      <c r="M15" s="181"/>
      <c r="N15" s="182"/>
      <c r="O15" s="166"/>
    </row>
    <row r="16" customFormat="false" ht="15" hidden="true" customHeight="true" outlineLevel="0" collapsed="false">
      <c r="B16" s="162" t="n">
        <v>2025</v>
      </c>
      <c r="C16" s="163" t="n">
        <v>1</v>
      </c>
      <c r="D16" s="180" t="s">
        <v>69</v>
      </c>
      <c r="E16" s="175" t="s">
        <v>110</v>
      </c>
      <c r="F16" s="175" t="s">
        <v>149</v>
      </c>
      <c r="G16" s="175" t="s">
        <v>147</v>
      </c>
      <c r="H16" s="183" t="s">
        <v>109</v>
      </c>
      <c r="I16" s="181" t="n">
        <v>50000</v>
      </c>
      <c r="J16" s="181" t="n">
        <v>11333</v>
      </c>
      <c r="K16" s="168" t="n">
        <v>0</v>
      </c>
      <c r="L16" s="181" t="n">
        <v>11333</v>
      </c>
      <c r="M16" s="181"/>
      <c r="N16" s="182"/>
      <c r="O16" s="166"/>
    </row>
    <row r="17" customFormat="false" ht="15" hidden="true" customHeight="true" outlineLevel="0" collapsed="false">
      <c r="B17" s="162" t="n">
        <v>2025</v>
      </c>
      <c r="C17" s="163" t="n">
        <v>1</v>
      </c>
      <c r="D17" s="180" t="s">
        <v>112</v>
      </c>
      <c r="E17" s="175" t="s">
        <v>113</v>
      </c>
      <c r="F17" s="175" t="n">
        <v>0</v>
      </c>
      <c r="G17" s="175" t="s">
        <v>147</v>
      </c>
      <c r="H17" s="183" t="s">
        <v>111</v>
      </c>
      <c r="I17" s="181" t="n">
        <v>30000</v>
      </c>
      <c r="J17" s="181" t="n">
        <v>25000</v>
      </c>
      <c r="K17" s="168" t="n">
        <v>0</v>
      </c>
      <c r="L17" s="181" t="n">
        <v>25000</v>
      </c>
      <c r="M17" s="181"/>
      <c r="N17" s="182"/>
      <c r="O17" s="166"/>
    </row>
    <row r="18" customFormat="false" ht="15" hidden="true" customHeight="true" outlineLevel="0" collapsed="false">
      <c r="B18" s="162" t="n">
        <v>2025</v>
      </c>
      <c r="C18" s="163" t="n">
        <v>1</v>
      </c>
      <c r="D18" s="180" t="s">
        <v>82</v>
      </c>
      <c r="E18" s="175" t="n">
        <v>0</v>
      </c>
      <c r="F18" s="175" t="n">
        <v>0</v>
      </c>
      <c r="G18" s="175" t="s">
        <v>147</v>
      </c>
      <c r="H18" s="183" t="s">
        <v>114</v>
      </c>
      <c r="I18" s="181" t="n">
        <v>0</v>
      </c>
      <c r="J18" s="181" t="n">
        <v>0</v>
      </c>
      <c r="K18" s="168" t="n">
        <v>6000</v>
      </c>
      <c r="L18" s="181" t="n">
        <v>6000</v>
      </c>
      <c r="M18" s="181"/>
      <c r="N18" s="182"/>
      <c r="O18" s="166"/>
    </row>
    <row r="19" customFormat="false" ht="15" hidden="true" customHeight="true" outlineLevel="0" collapsed="false">
      <c r="B19" s="162" t="n">
        <v>2025</v>
      </c>
      <c r="C19" s="163" t="n">
        <v>1</v>
      </c>
      <c r="D19" s="180" t="s">
        <v>43</v>
      </c>
      <c r="E19" s="175" t="n">
        <v>0</v>
      </c>
      <c r="F19" s="175" t="n">
        <v>0</v>
      </c>
      <c r="G19" s="175" t="s">
        <v>147</v>
      </c>
      <c r="H19" s="183" t="s">
        <v>115</v>
      </c>
      <c r="I19" s="181" t="n">
        <v>30000</v>
      </c>
      <c r="J19" s="181" t="n">
        <v>0</v>
      </c>
      <c r="K19" s="168" t="n">
        <v>25000</v>
      </c>
      <c r="L19" s="181" t="n">
        <v>25000</v>
      </c>
      <c r="M19" s="181"/>
      <c r="N19" s="182"/>
      <c r="O19" s="166"/>
    </row>
    <row r="20" customFormat="false" ht="15" hidden="true" customHeight="true" outlineLevel="0" collapsed="false">
      <c r="B20" s="162" t="n">
        <v>2025</v>
      </c>
      <c r="C20" s="163" t="n">
        <v>1</v>
      </c>
      <c r="D20" s="180" t="s">
        <v>34</v>
      </c>
      <c r="E20" s="175" t="n">
        <v>0</v>
      </c>
      <c r="F20" s="175" t="n">
        <v>0</v>
      </c>
      <c r="G20" s="175" t="s">
        <v>147</v>
      </c>
      <c r="H20" s="184" t="s">
        <v>48</v>
      </c>
      <c r="I20" s="181" t="n">
        <v>11920</v>
      </c>
      <c r="J20" s="181" t="n">
        <v>0</v>
      </c>
      <c r="K20" s="168" t="n">
        <v>30999.9</v>
      </c>
      <c r="L20" s="181" t="n">
        <v>30999.9</v>
      </c>
      <c r="M20" s="181"/>
      <c r="N20" s="182"/>
      <c r="O20" s="166"/>
    </row>
    <row r="21" customFormat="false" ht="15" hidden="true" customHeight="true" outlineLevel="0" collapsed="false">
      <c r="B21" s="162" t="n">
        <v>2025</v>
      </c>
      <c r="C21" s="163" t="n">
        <v>1</v>
      </c>
      <c r="D21" s="180" t="s">
        <v>34</v>
      </c>
      <c r="E21" s="175" t="n">
        <v>0</v>
      </c>
      <c r="F21" s="175" t="n">
        <v>0</v>
      </c>
      <c r="G21" s="175" t="s">
        <v>147</v>
      </c>
      <c r="H21" s="184" t="s">
        <v>116</v>
      </c>
      <c r="I21" s="181" t="n">
        <v>43000</v>
      </c>
      <c r="J21" s="181" t="n">
        <v>1603</v>
      </c>
      <c r="K21" s="168" t="n">
        <v>33000</v>
      </c>
      <c r="L21" s="181" t="n">
        <v>34603</v>
      </c>
      <c r="M21" s="181"/>
      <c r="N21" s="182"/>
      <c r="O21" s="166"/>
    </row>
    <row r="22" customFormat="false" ht="15" hidden="true" customHeight="true" outlineLevel="0" collapsed="false">
      <c r="B22" s="162" t="n">
        <v>2025</v>
      </c>
      <c r="C22" s="163" t="n">
        <v>1</v>
      </c>
      <c r="D22" s="180" t="n">
        <v>0</v>
      </c>
      <c r="E22" s="175" t="n">
        <v>0</v>
      </c>
      <c r="F22" s="175" t="n">
        <v>0</v>
      </c>
      <c r="G22" s="175" t="s">
        <v>146</v>
      </c>
      <c r="H22" s="184" t="s">
        <v>150</v>
      </c>
      <c r="I22" s="181" t="n">
        <v>15000</v>
      </c>
      <c r="J22" s="181" t="n">
        <v>0</v>
      </c>
      <c r="K22" s="168" t="n">
        <v>15000</v>
      </c>
      <c r="L22" s="181" t="n">
        <v>15000</v>
      </c>
      <c r="M22" s="181"/>
      <c r="N22" s="182"/>
      <c r="O22" s="166"/>
    </row>
    <row r="23" customFormat="false" ht="15" hidden="true" customHeight="true" outlineLevel="0" collapsed="false">
      <c r="B23" s="162" t="n">
        <v>2025</v>
      </c>
      <c r="C23" s="163" t="n">
        <v>1</v>
      </c>
      <c r="D23" s="180" t="s">
        <v>69</v>
      </c>
      <c r="E23" s="175" t="s">
        <v>118</v>
      </c>
      <c r="F23" s="175" t="n">
        <v>0</v>
      </c>
      <c r="G23" s="175" t="s">
        <v>147</v>
      </c>
      <c r="H23" s="184" t="s">
        <v>117</v>
      </c>
      <c r="I23" s="181" t="n">
        <v>50000</v>
      </c>
      <c r="J23" s="181" t="n">
        <v>30000</v>
      </c>
      <c r="K23" s="168" t="n">
        <v>2833.33</v>
      </c>
      <c r="L23" s="181" t="n">
        <v>32833.33</v>
      </c>
      <c r="M23" s="181"/>
      <c r="N23" s="182"/>
      <c r="O23" s="166"/>
    </row>
    <row r="24" customFormat="false" ht="15" hidden="true" customHeight="true" outlineLevel="0" collapsed="false">
      <c r="B24" s="162" t="n">
        <v>2025</v>
      </c>
      <c r="C24" s="163" t="n">
        <v>1</v>
      </c>
      <c r="D24" s="180" t="s">
        <v>59</v>
      </c>
      <c r="E24" s="175" t="s">
        <v>132</v>
      </c>
      <c r="F24" s="175" t="s">
        <v>151</v>
      </c>
      <c r="G24" s="175" t="s">
        <v>146</v>
      </c>
      <c r="H24" s="184" t="s">
        <v>131</v>
      </c>
      <c r="I24" s="181" t="n">
        <v>30000</v>
      </c>
      <c r="J24" s="181" t="n">
        <v>22104</v>
      </c>
      <c r="K24" s="168" t="n">
        <v>12998</v>
      </c>
      <c r="L24" s="181" t="n">
        <v>35102</v>
      </c>
      <c r="M24" s="181"/>
      <c r="N24" s="182"/>
      <c r="O24" s="166"/>
    </row>
    <row r="25" customFormat="false" ht="15" hidden="true" customHeight="true" outlineLevel="0" collapsed="false">
      <c r="B25" s="162" t="n">
        <v>2025</v>
      </c>
      <c r="C25" s="163" t="n">
        <v>1</v>
      </c>
      <c r="D25" s="180" t="s">
        <v>59</v>
      </c>
      <c r="E25" s="175" t="s">
        <v>130</v>
      </c>
      <c r="F25" s="175" t="s">
        <v>152</v>
      </c>
      <c r="G25" s="175" t="s">
        <v>146</v>
      </c>
      <c r="H25" s="183" t="s">
        <v>129</v>
      </c>
      <c r="I25" s="181" t="n">
        <v>40000</v>
      </c>
      <c r="J25" s="181" t="n">
        <v>22104</v>
      </c>
      <c r="K25" s="168" t="n">
        <v>-2</v>
      </c>
      <c r="L25" s="181" t="n">
        <v>22102</v>
      </c>
      <c r="M25" s="181"/>
      <c r="N25" s="182"/>
      <c r="O25" s="166"/>
    </row>
    <row r="26" customFormat="false" ht="15" hidden="true" customHeight="true" outlineLevel="0" collapsed="false">
      <c r="B26" s="162" t="n">
        <v>2025</v>
      </c>
      <c r="C26" s="163" t="n">
        <v>1</v>
      </c>
      <c r="D26" s="180" t="s">
        <v>59</v>
      </c>
      <c r="E26" s="175" t="n">
        <v>0</v>
      </c>
      <c r="F26" s="175" t="n">
        <v>0</v>
      </c>
      <c r="G26" s="175" t="s">
        <v>146</v>
      </c>
      <c r="H26" s="183" t="s">
        <v>134</v>
      </c>
      <c r="I26" s="181" t="n">
        <v>30000</v>
      </c>
      <c r="J26" s="181" t="n">
        <v>0</v>
      </c>
      <c r="K26" s="168" t="n">
        <v>30000</v>
      </c>
      <c r="L26" s="181" t="n">
        <v>30000</v>
      </c>
      <c r="M26" s="181"/>
      <c r="O26" s="166"/>
    </row>
    <row r="27" customFormat="false" ht="15" hidden="true" customHeight="true" outlineLevel="0" collapsed="false">
      <c r="B27" s="162" t="n">
        <v>2025</v>
      </c>
      <c r="C27" s="163" t="n">
        <v>1</v>
      </c>
      <c r="D27" s="180" t="s">
        <v>59</v>
      </c>
      <c r="E27" s="175" t="s">
        <v>60</v>
      </c>
      <c r="F27" s="175" t="s">
        <v>61</v>
      </c>
      <c r="G27" s="175" t="s">
        <v>146</v>
      </c>
      <c r="H27" s="183" t="s">
        <v>133</v>
      </c>
      <c r="I27" s="181" t="n">
        <v>50000</v>
      </c>
      <c r="J27" s="181" t="n">
        <v>30000</v>
      </c>
      <c r="K27" s="168" t="n">
        <v>50000</v>
      </c>
      <c r="L27" s="181" t="n">
        <v>80000</v>
      </c>
      <c r="M27" s="181"/>
      <c r="O27" s="166"/>
    </row>
    <row r="28" customFormat="false" ht="15" hidden="true" customHeight="true" outlineLevel="0" collapsed="false">
      <c r="B28" s="162" t="n">
        <v>2025</v>
      </c>
      <c r="C28" s="163" t="n">
        <v>1</v>
      </c>
      <c r="D28" s="180" t="s">
        <v>59</v>
      </c>
      <c r="E28" s="175" t="s">
        <v>57</v>
      </c>
      <c r="F28" s="175" t="s">
        <v>153</v>
      </c>
      <c r="G28" s="175" t="s">
        <v>146</v>
      </c>
      <c r="H28" s="183" t="s">
        <v>55</v>
      </c>
      <c r="I28" s="181" t="n">
        <v>50000</v>
      </c>
      <c r="J28" s="181" t="n">
        <v>30000</v>
      </c>
      <c r="K28" s="168" t="n">
        <v>50000</v>
      </c>
      <c r="L28" s="181" t="n">
        <v>80000</v>
      </c>
      <c r="M28" s="181"/>
      <c r="O28" s="166"/>
    </row>
    <row r="29" customFormat="false" ht="16.5" hidden="true" customHeight="false" outlineLevel="0" collapsed="false">
      <c r="B29" s="162" t="n">
        <v>2025</v>
      </c>
      <c r="C29" s="163" t="n">
        <v>2</v>
      </c>
      <c r="D29" s="180" t="s">
        <v>56</v>
      </c>
      <c r="E29" s="175" t="s">
        <v>80</v>
      </c>
      <c r="F29" s="175" t="n">
        <v>96358353</v>
      </c>
      <c r="G29" s="175" t="s">
        <v>154</v>
      </c>
      <c r="H29" s="166" t="s">
        <v>79</v>
      </c>
      <c r="I29" s="181" t="n">
        <v>57500</v>
      </c>
      <c r="J29" s="181" t="n">
        <v>40000</v>
      </c>
      <c r="K29" s="168" t="n">
        <v>17500</v>
      </c>
      <c r="L29" s="185" t="n">
        <v>57500</v>
      </c>
      <c r="M29" s="181"/>
      <c r="N29" s="182"/>
      <c r="O29" s="166"/>
    </row>
    <row r="30" customFormat="false" ht="16.5" hidden="true" customHeight="false" outlineLevel="0" collapsed="false">
      <c r="B30" s="162" t="n">
        <v>2025</v>
      </c>
      <c r="C30" s="163" t="n">
        <v>2</v>
      </c>
      <c r="D30" s="180" t="s">
        <v>82</v>
      </c>
      <c r="E30" s="175" t="s">
        <v>83</v>
      </c>
      <c r="F30" s="175" t="n">
        <v>95529415</v>
      </c>
      <c r="G30" s="175" t="s">
        <v>155</v>
      </c>
      <c r="H30" s="166" t="s">
        <v>81</v>
      </c>
      <c r="I30" s="181" t="n">
        <v>75000</v>
      </c>
      <c r="J30" s="181" t="n">
        <v>2670</v>
      </c>
      <c r="K30" s="168" t="n">
        <v>72330</v>
      </c>
      <c r="L30" s="185" t="n">
        <v>75000</v>
      </c>
      <c r="M30" s="181"/>
      <c r="N30" s="182"/>
      <c r="O30" s="166"/>
    </row>
    <row r="31" customFormat="false" ht="16.5" hidden="true" customHeight="false" outlineLevel="0" collapsed="false">
      <c r="B31" s="162" t="n">
        <v>2025</v>
      </c>
      <c r="C31" s="163" t="n">
        <v>2</v>
      </c>
      <c r="D31" s="180" t="s">
        <v>56</v>
      </c>
      <c r="E31" s="175" t="s">
        <v>84</v>
      </c>
      <c r="F31" s="175" t="n">
        <v>95787183</v>
      </c>
      <c r="G31" s="175" t="s">
        <v>155</v>
      </c>
      <c r="H31" s="166" t="s">
        <v>73</v>
      </c>
      <c r="I31" s="181" t="n">
        <v>22104</v>
      </c>
      <c r="J31" s="181" t="n">
        <v>22104</v>
      </c>
      <c r="K31" s="168" t="n">
        <v>0</v>
      </c>
      <c r="L31" s="185" t="n">
        <v>22104</v>
      </c>
      <c r="M31" s="181"/>
      <c r="N31" s="182"/>
      <c r="O31" s="166"/>
    </row>
    <row r="32" customFormat="false" ht="15" hidden="true" customHeight="true" outlineLevel="0" collapsed="false">
      <c r="B32" s="162" t="n">
        <v>2025</v>
      </c>
      <c r="C32" s="163" t="n">
        <v>2</v>
      </c>
      <c r="D32" s="180" t="s">
        <v>82</v>
      </c>
      <c r="E32" s="175" t="s">
        <v>86</v>
      </c>
      <c r="F32" s="175" t="n">
        <v>95532064</v>
      </c>
      <c r="G32" s="175" t="s">
        <v>155</v>
      </c>
      <c r="H32" s="166" t="s">
        <v>85</v>
      </c>
      <c r="I32" s="181" t="n">
        <v>48000</v>
      </c>
      <c r="J32" s="181" t="n">
        <v>1670</v>
      </c>
      <c r="K32" s="168" t="n">
        <v>46330</v>
      </c>
      <c r="L32" s="185" t="n">
        <v>48000</v>
      </c>
      <c r="M32" s="181"/>
      <c r="N32" s="182"/>
      <c r="O32" s="166"/>
    </row>
    <row r="33" customFormat="false" ht="15" hidden="true" customHeight="true" outlineLevel="0" collapsed="false">
      <c r="B33" s="162" t="n">
        <v>2025</v>
      </c>
      <c r="C33" s="163" t="n">
        <v>2</v>
      </c>
      <c r="D33" s="180" t="s">
        <v>82</v>
      </c>
      <c r="E33" s="175" t="s">
        <v>88</v>
      </c>
      <c r="F33" s="175" t="n">
        <v>95532066</v>
      </c>
      <c r="G33" s="175" t="s">
        <v>155</v>
      </c>
      <c r="H33" s="166" t="s">
        <v>87</v>
      </c>
      <c r="I33" s="181" t="n">
        <v>52000</v>
      </c>
      <c r="J33" s="181" t="n">
        <v>40000</v>
      </c>
      <c r="K33" s="168" t="n">
        <v>12000</v>
      </c>
      <c r="L33" s="185" t="n">
        <v>52000</v>
      </c>
      <c r="M33" s="181"/>
      <c r="N33" s="182"/>
      <c r="O33" s="166"/>
    </row>
    <row r="34" customFormat="false" ht="15" hidden="true" customHeight="true" outlineLevel="0" collapsed="false">
      <c r="B34" s="162" t="n">
        <v>2025</v>
      </c>
      <c r="C34" s="163" t="n">
        <v>2</v>
      </c>
      <c r="D34" s="180" t="s">
        <v>82</v>
      </c>
      <c r="E34" s="175" t="s">
        <v>90</v>
      </c>
      <c r="F34" s="175" t="n">
        <v>0</v>
      </c>
      <c r="G34" s="175" t="s">
        <v>155</v>
      </c>
      <c r="H34" s="166" t="s">
        <v>89</v>
      </c>
      <c r="I34" s="181" t="n">
        <v>34500</v>
      </c>
      <c r="J34" s="181" t="n">
        <v>22104</v>
      </c>
      <c r="K34" s="168" t="n">
        <v>12396</v>
      </c>
      <c r="L34" s="185" t="n">
        <v>34500</v>
      </c>
      <c r="M34" s="181"/>
      <c r="N34" s="182"/>
      <c r="O34" s="166"/>
    </row>
    <row r="35" customFormat="false" ht="15" hidden="true" customHeight="true" outlineLevel="0" collapsed="false">
      <c r="B35" s="162" t="n">
        <v>2025</v>
      </c>
      <c r="C35" s="163" t="n">
        <v>2</v>
      </c>
      <c r="D35" s="180" t="s">
        <v>82</v>
      </c>
      <c r="E35" s="175" t="s">
        <v>92</v>
      </c>
      <c r="F35" s="175" t="n">
        <v>0</v>
      </c>
      <c r="G35" s="175" t="s">
        <v>155</v>
      </c>
      <c r="H35" s="166" t="s">
        <v>91</v>
      </c>
      <c r="I35" s="181" t="n">
        <v>34500</v>
      </c>
      <c r="J35" s="181" t="n">
        <v>1603</v>
      </c>
      <c r="K35" s="168" t="n">
        <v>32897</v>
      </c>
      <c r="L35" s="185" t="n">
        <v>34500</v>
      </c>
      <c r="M35" s="181"/>
      <c r="N35" s="182"/>
      <c r="O35" s="166"/>
    </row>
    <row r="36" customFormat="false" ht="16.5" hidden="true" customHeight="false" outlineLevel="0" collapsed="false">
      <c r="B36" s="162" t="n">
        <v>2025</v>
      </c>
      <c r="C36" s="163" t="n">
        <v>2</v>
      </c>
      <c r="D36" s="180" t="s">
        <v>69</v>
      </c>
      <c r="E36" s="175" t="s">
        <v>94</v>
      </c>
      <c r="F36" s="175" t="n">
        <v>95532077</v>
      </c>
      <c r="G36" s="175" t="s">
        <v>155</v>
      </c>
      <c r="H36" s="166" t="s">
        <v>93</v>
      </c>
      <c r="I36" s="181" t="n">
        <v>46000</v>
      </c>
      <c r="J36" s="181" t="n">
        <v>2335</v>
      </c>
      <c r="K36" s="168" t="n">
        <v>43665</v>
      </c>
      <c r="L36" s="185" t="n">
        <v>46000</v>
      </c>
      <c r="M36" s="181"/>
      <c r="N36" s="182"/>
      <c r="O36" s="166"/>
    </row>
    <row r="37" customFormat="false" ht="15" hidden="true" customHeight="true" outlineLevel="0" collapsed="false">
      <c r="B37" s="162" t="n">
        <v>2025</v>
      </c>
      <c r="C37" s="163" t="n">
        <v>2</v>
      </c>
      <c r="D37" s="180" t="s">
        <v>34</v>
      </c>
      <c r="E37" s="175" t="s">
        <v>96</v>
      </c>
      <c r="F37" s="175" t="n">
        <v>95693810</v>
      </c>
      <c r="G37" s="175" t="s">
        <v>155</v>
      </c>
      <c r="H37" s="166" t="s">
        <v>95</v>
      </c>
      <c r="I37" s="181" t="n">
        <v>43000</v>
      </c>
      <c r="J37" s="181" t="n">
        <v>2000</v>
      </c>
      <c r="K37" s="168" t="n">
        <v>41000</v>
      </c>
      <c r="L37" s="185" t="n">
        <v>43000</v>
      </c>
      <c r="M37" s="181"/>
      <c r="N37" s="182"/>
      <c r="O37" s="166"/>
    </row>
    <row r="38" customFormat="false" ht="16.5" hidden="true" customHeight="false" outlineLevel="0" collapsed="false">
      <c r="B38" s="162" t="n">
        <v>2025</v>
      </c>
      <c r="C38" s="163" t="n">
        <v>2</v>
      </c>
      <c r="D38" s="180" t="s">
        <v>98</v>
      </c>
      <c r="E38" s="175" t="s">
        <v>99</v>
      </c>
      <c r="F38" s="175" t="s">
        <v>148</v>
      </c>
      <c r="G38" s="175" t="s">
        <v>155</v>
      </c>
      <c r="H38" s="166" t="s">
        <v>97</v>
      </c>
      <c r="I38" s="181" t="n">
        <v>57500</v>
      </c>
      <c r="J38" s="181" t="n">
        <v>35000</v>
      </c>
      <c r="K38" s="168" t="n">
        <v>22500</v>
      </c>
      <c r="L38" s="185" t="n">
        <v>57500</v>
      </c>
      <c r="M38" s="181"/>
      <c r="N38" s="182"/>
      <c r="O38" s="166"/>
    </row>
    <row r="39" customFormat="false" ht="15" hidden="true" customHeight="true" outlineLevel="0" collapsed="false">
      <c r="B39" s="162" t="n">
        <v>2025</v>
      </c>
      <c r="C39" s="163" t="n">
        <v>2</v>
      </c>
      <c r="D39" s="180" t="s">
        <v>51</v>
      </c>
      <c r="E39" s="175" t="s">
        <v>101</v>
      </c>
      <c r="F39" s="175" t="n">
        <v>97189681</v>
      </c>
      <c r="G39" s="175" t="s">
        <v>155</v>
      </c>
      <c r="H39" s="166" t="s">
        <v>100</v>
      </c>
      <c r="I39" s="181" t="n">
        <v>40000</v>
      </c>
      <c r="J39" s="181" t="n">
        <v>38000</v>
      </c>
      <c r="K39" s="168" t="n">
        <v>2000</v>
      </c>
      <c r="L39" s="185" t="n">
        <v>40000</v>
      </c>
      <c r="M39" s="181"/>
      <c r="N39" s="182"/>
      <c r="O39" s="166"/>
    </row>
    <row r="40" customFormat="false" ht="15" hidden="true" customHeight="true" outlineLevel="0" collapsed="false">
      <c r="B40" s="162" t="n">
        <v>2025</v>
      </c>
      <c r="C40" s="163" t="n">
        <v>2</v>
      </c>
      <c r="D40" s="180" t="s">
        <v>34</v>
      </c>
      <c r="E40" s="175" t="n">
        <v>0</v>
      </c>
      <c r="F40" s="175" t="n">
        <v>0</v>
      </c>
      <c r="G40" s="175" t="s">
        <v>154</v>
      </c>
      <c r="H40" s="166" t="s">
        <v>102</v>
      </c>
      <c r="I40" s="181" t="n">
        <v>40000</v>
      </c>
      <c r="J40" s="181" t="n">
        <v>0</v>
      </c>
      <c r="K40" s="168" t="n">
        <v>40000</v>
      </c>
      <c r="L40" s="185" t="n">
        <v>40000</v>
      </c>
      <c r="M40" s="181"/>
      <c r="N40" s="182"/>
      <c r="O40" s="166"/>
    </row>
    <row r="41" customFormat="false" ht="15" hidden="true" customHeight="true" outlineLevel="0" collapsed="false">
      <c r="B41" s="162" t="n">
        <v>2025</v>
      </c>
      <c r="C41" s="163" t="n">
        <v>2</v>
      </c>
      <c r="D41" s="180" t="s">
        <v>105</v>
      </c>
      <c r="E41" s="175" t="s">
        <v>106</v>
      </c>
      <c r="F41" s="175" t="n">
        <v>0</v>
      </c>
      <c r="G41" s="175" t="s">
        <v>155</v>
      </c>
      <c r="H41" s="183" t="s">
        <v>104</v>
      </c>
      <c r="I41" s="181" t="n">
        <v>48000</v>
      </c>
      <c r="J41" s="181" t="n">
        <v>48000</v>
      </c>
      <c r="K41" s="168" t="n">
        <v>0</v>
      </c>
      <c r="L41" s="185" t="n">
        <v>48000</v>
      </c>
      <c r="M41" s="181"/>
      <c r="N41" s="182"/>
      <c r="O41" s="166"/>
    </row>
    <row r="42" customFormat="false" ht="15" hidden="true" customHeight="true" outlineLevel="0" collapsed="false">
      <c r="B42" s="162" t="n">
        <v>2025</v>
      </c>
      <c r="C42" s="163" t="n">
        <v>2</v>
      </c>
      <c r="D42" s="180" t="s">
        <v>69</v>
      </c>
      <c r="E42" s="175" t="n">
        <v>0</v>
      </c>
      <c r="F42" s="175" t="n">
        <v>0</v>
      </c>
      <c r="G42" s="175" t="s">
        <v>155</v>
      </c>
      <c r="H42" s="184" t="s">
        <v>103</v>
      </c>
      <c r="I42" s="181" t="n">
        <v>50000</v>
      </c>
      <c r="J42" s="181" t="n">
        <v>2335</v>
      </c>
      <c r="K42" s="168" t="n">
        <v>47665</v>
      </c>
      <c r="L42" s="185" t="n">
        <v>50000</v>
      </c>
      <c r="M42" s="181"/>
      <c r="N42" s="182"/>
      <c r="O42" s="166"/>
    </row>
    <row r="43" customFormat="false" ht="15" hidden="true" customHeight="true" outlineLevel="0" collapsed="false">
      <c r="B43" s="162" t="n">
        <v>2025</v>
      </c>
      <c r="C43" s="163" t="n">
        <v>2</v>
      </c>
      <c r="D43" s="180" t="s">
        <v>69</v>
      </c>
      <c r="E43" s="175" t="s">
        <v>110</v>
      </c>
      <c r="F43" s="175" t="s">
        <v>149</v>
      </c>
      <c r="G43" s="175" t="s">
        <v>155</v>
      </c>
      <c r="H43" s="183" t="s">
        <v>109</v>
      </c>
      <c r="I43" s="181" t="n">
        <v>50000</v>
      </c>
      <c r="J43" s="181" t="n">
        <v>11333</v>
      </c>
      <c r="K43" s="168" t="n">
        <v>38667</v>
      </c>
      <c r="L43" s="185" t="n">
        <v>50000</v>
      </c>
      <c r="M43" s="181"/>
      <c r="N43" s="182"/>
      <c r="O43" s="166"/>
    </row>
    <row r="44" customFormat="false" ht="15" hidden="true" customHeight="true" outlineLevel="0" collapsed="false">
      <c r="B44" s="162" t="n">
        <v>2025</v>
      </c>
      <c r="C44" s="163" t="n">
        <v>2</v>
      </c>
      <c r="D44" s="180" t="s">
        <v>112</v>
      </c>
      <c r="E44" s="175" t="s">
        <v>113</v>
      </c>
      <c r="F44" s="175" t="n">
        <v>0</v>
      </c>
      <c r="G44" s="175" t="s">
        <v>155</v>
      </c>
      <c r="H44" s="183" t="s">
        <v>111</v>
      </c>
      <c r="I44" s="181" t="n">
        <v>30000</v>
      </c>
      <c r="J44" s="181" t="n">
        <v>25000</v>
      </c>
      <c r="K44" s="168" t="n">
        <v>5000</v>
      </c>
      <c r="L44" s="181" t="n">
        <v>30000</v>
      </c>
      <c r="M44" s="181"/>
      <c r="N44" s="182"/>
      <c r="O44" s="166"/>
    </row>
    <row r="45" customFormat="false" ht="15" hidden="true" customHeight="true" outlineLevel="0" collapsed="false">
      <c r="B45" s="162" t="n">
        <v>2025</v>
      </c>
      <c r="C45" s="163" t="n">
        <v>2</v>
      </c>
      <c r="D45" s="180" t="s">
        <v>43</v>
      </c>
      <c r="E45" s="175" t="n">
        <v>0</v>
      </c>
      <c r="F45" s="175" t="n">
        <v>0</v>
      </c>
      <c r="G45" s="175" t="s">
        <v>154</v>
      </c>
      <c r="H45" s="183" t="s">
        <v>115</v>
      </c>
      <c r="I45" s="181" t="n">
        <v>30000</v>
      </c>
      <c r="J45" s="181" t="n">
        <v>0</v>
      </c>
      <c r="K45" s="168" t="n">
        <v>30000</v>
      </c>
      <c r="L45" s="185" t="n">
        <v>30000</v>
      </c>
      <c r="M45" s="181"/>
      <c r="N45" s="182"/>
      <c r="O45" s="166"/>
    </row>
    <row r="46" customFormat="false" ht="15" hidden="true" customHeight="true" outlineLevel="0" collapsed="false">
      <c r="B46" s="162" t="n">
        <v>2025</v>
      </c>
      <c r="C46" s="163" t="n">
        <v>2</v>
      </c>
      <c r="D46" s="180" t="s">
        <v>34</v>
      </c>
      <c r="E46" s="175" t="n">
        <v>0</v>
      </c>
      <c r="F46" s="175" t="n">
        <v>0</v>
      </c>
      <c r="G46" s="175" t="s">
        <v>155</v>
      </c>
      <c r="H46" s="184" t="s">
        <v>48</v>
      </c>
      <c r="I46" s="181" t="n">
        <v>11920</v>
      </c>
      <c r="J46" s="181" t="n">
        <v>0</v>
      </c>
      <c r="K46" s="168" t="n">
        <v>21920</v>
      </c>
      <c r="L46" s="185" t="n">
        <v>21920</v>
      </c>
      <c r="M46" s="181" t="n">
        <v>10000</v>
      </c>
      <c r="N46" s="182" t="s">
        <v>156</v>
      </c>
      <c r="O46" s="166"/>
    </row>
    <row r="47" customFormat="false" ht="15" hidden="true" customHeight="true" outlineLevel="0" collapsed="false">
      <c r="B47" s="162" t="n">
        <v>2025</v>
      </c>
      <c r="C47" s="163" t="n">
        <v>2</v>
      </c>
      <c r="D47" s="180" t="s">
        <v>34</v>
      </c>
      <c r="E47" s="175" t="n">
        <v>0</v>
      </c>
      <c r="F47" s="175" t="n">
        <v>0</v>
      </c>
      <c r="G47" s="175" t="s">
        <v>155</v>
      </c>
      <c r="H47" s="184" t="s">
        <v>116</v>
      </c>
      <c r="I47" s="181" t="n">
        <v>43000</v>
      </c>
      <c r="J47" s="181" t="n">
        <v>1603</v>
      </c>
      <c r="K47" s="168" t="n">
        <v>43397</v>
      </c>
      <c r="L47" s="185" t="n">
        <v>45000</v>
      </c>
      <c r="M47" s="181" t="n">
        <v>2000</v>
      </c>
      <c r="N47" s="182" t="s">
        <v>157</v>
      </c>
      <c r="O47" s="166"/>
    </row>
    <row r="48" customFormat="false" ht="15" hidden="true" customHeight="true" outlineLevel="0" collapsed="false">
      <c r="B48" s="162" t="n">
        <v>2025</v>
      </c>
      <c r="C48" s="163" t="n">
        <v>2</v>
      </c>
      <c r="D48" s="180" t="n">
        <v>0</v>
      </c>
      <c r="E48" s="175" t="n">
        <v>0</v>
      </c>
      <c r="F48" s="175" t="n">
        <v>0</v>
      </c>
      <c r="G48" s="175" t="s">
        <v>154</v>
      </c>
      <c r="H48" s="184" t="s">
        <v>150</v>
      </c>
      <c r="I48" s="181" t="n">
        <v>15000</v>
      </c>
      <c r="J48" s="181" t="n">
        <v>0</v>
      </c>
      <c r="K48" s="168" t="n">
        <v>15000</v>
      </c>
      <c r="L48" s="181" t="n">
        <v>15000</v>
      </c>
      <c r="M48" s="181"/>
      <c r="N48" s="182"/>
      <c r="O48" s="166"/>
    </row>
    <row r="49" customFormat="false" ht="15" hidden="true" customHeight="true" outlineLevel="0" collapsed="false">
      <c r="B49" s="162" t="n">
        <v>2025</v>
      </c>
      <c r="C49" s="163" t="n">
        <v>2</v>
      </c>
      <c r="D49" s="180" t="s">
        <v>69</v>
      </c>
      <c r="E49" s="175" t="s">
        <v>118</v>
      </c>
      <c r="F49" s="175" t="n">
        <v>0</v>
      </c>
      <c r="G49" s="175" t="s">
        <v>155</v>
      </c>
      <c r="H49" s="184" t="s">
        <v>117</v>
      </c>
      <c r="I49" s="181" t="n">
        <v>50000</v>
      </c>
      <c r="J49" s="181" t="n">
        <v>50000</v>
      </c>
      <c r="K49" s="168" t="n">
        <v>0</v>
      </c>
      <c r="L49" s="185" t="n">
        <v>50000</v>
      </c>
      <c r="M49" s="181"/>
      <c r="N49" s="182"/>
      <c r="O49" s="166"/>
    </row>
    <row r="50" customFormat="false" ht="15" hidden="true" customHeight="true" outlineLevel="0" collapsed="false">
      <c r="B50" s="162" t="n">
        <v>2025</v>
      </c>
      <c r="C50" s="163" t="n">
        <v>2</v>
      </c>
      <c r="D50" s="180" t="s">
        <v>59</v>
      </c>
      <c r="E50" s="175" t="s">
        <v>132</v>
      </c>
      <c r="F50" s="175" t="s">
        <v>151</v>
      </c>
      <c r="G50" s="175" t="s">
        <v>155</v>
      </c>
      <c r="H50" s="184" t="s">
        <v>131</v>
      </c>
      <c r="I50" s="181" t="n">
        <v>30000</v>
      </c>
      <c r="J50" s="181" t="n">
        <v>22104</v>
      </c>
      <c r="K50" s="168" t="n">
        <v>7896</v>
      </c>
      <c r="L50" s="185" t="n">
        <v>30000</v>
      </c>
      <c r="M50" s="181"/>
      <c r="N50" s="182"/>
      <c r="O50" s="166"/>
    </row>
    <row r="51" customFormat="false" ht="15" hidden="true" customHeight="true" outlineLevel="0" collapsed="false">
      <c r="B51" s="162" t="n">
        <v>2025</v>
      </c>
      <c r="C51" s="163" t="n">
        <v>2</v>
      </c>
      <c r="D51" s="180" t="s">
        <v>59</v>
      </c>
      <c r="E51" s="175" t="n">
        <v>0</v>
      </c>
      <c r="F51" s="175" t="n">
        <v>0</v>
      </c>
      <c r="G51" s="175" t="s">
        <v>154</v>
      </c>
      <c r="H51" s="186" t="s">
        <v>127</v>
      </c>
      <c r="I51" s="181" t="n">
        <v>30000</v>
      </c>
      <c r="J51" s="181" t="n">
        <v>0</v>
      </c>
      <c r="K51" s="168" t="n">
        <v>30000</v>
      </c>
      <c r="L51" s="185" t="n">
        <v>30000</v>
      </c>
      <c r="M51" s="181"/>
      <c r="N51" s="182"/>
      <c r="O51" s="166"/>
    </row>
    <row r="52" customFormat="false" ht="15" hidden="true" customHeight="true" outlineLevel="0" collapsed="false">
      <c r="B52" s="162" t="n">
        <v>2025</v>
      </c>
      <c r="C52" s="187" t="n">
        <v>2</v>
      </c>
      <c r="D52" s="180" t="s">
        <v>59</v>
      </c>
      <c r="E52" s="175" t="n">
        <v>0</v>
      </c>
      <c r="F52" s="175" t="n">
        <v>0</v>
      </c>
      <c r="G52" s="175" t="s">
        <v>154</v>
      </c>
      <c r="H52" s="186" t="s">
        <v>128</v>
      </c>
      <c r="I52" s="181" t="n">
        <v>50000</v>
      </c>
      <c r="J52" s="181" t="n">
        <v>0</v>
      </c>
      <c r="K52" s="168" t="n">
        <v>50000</v>
      </c>
      <c r="L52" s="185" t="n">
        <v>50000</v>
      </c>
      <c r="M52" s="181"/>
      <c r="N52" s="188" t="s">
        <v>158</v>
      </c>
      <c r="O52" s="189"/>
    </row>
    <row r="53" customFormat="false" ht="15" hidden="true" customHeight="true" outlineLevel="0" collapsed="false">
      <c r="B53" s="162" t="n">
        <v>2025</v>
      </c>
      <c r="C53" s="187" t="n">
        <v>2</v>
      </c>
      <c r="D53" s="190" t="s">
        <v>59</v>
      </c>
      <c r="E53" s="191" t="n">
        <v>0</v>
      </c>
      <c r="F53" s="191"/>
      <c r="G53" s="175" t="s">
        <v>154</v>
      </c>
      <c r="H53" s="186" t="s">
        <v>62</v>
      </c>
      <c r="I53" s="192" t="n">
        <v>30000</v>
      </c>
      <c r="J53" s="192" t="n">
        <v>0</v>
      </c>
      <c r="K53" s="193" t="n">
        <v>30000</v>
      </c>
      <c r="L53" s="194" t="n">
        <v>30000</v>
      </c>
      <c r="M53" s="181"/>
      <c r="N53" s="188"/>
      <c r="O53" s="189"/>
    </row>
    <row r="54" customFormat="false" ht="15" hidden="true" customHeight="true" outlineLevel="0" collapsed="false">
      <c r="B54" s="162" t="n">
        <v>2025</v>
      </c>
      <c r="C54" s="163" t="n">
        <v>2</v>
      </c>
      <c r="D54" s="180" t="s">
        <v>59</v>
      </c>
      <c r="E54" s="175" t="s">
        <v>130</v>
      </c>
      <c r="F54" s="175" t="s">
        <v>152</v>
      </c>
      <c r="G54" s="175" t="s">
        <v>155</v>
      </c>
      <c r="H54" s="183" t="s">
        <v>129</v>
      </c>
      <c r="I54" s="181" t="n">
        <v>40000</v>
      </c>
      <c r="J54" s="181" t="n">
        <v>22104</v>
      </c>
      <c r="K54" s="168" t="n">
        <v>17896</v>
      </c>
      <c r="L54" s="185" t="n">
        <v>40000</v>
      </c>
      <c r="M54" s="181"/>
      <c r="N54" s="182"/>
      <c r="O54" s="166"/>
    </row>
    <row r="55" customFormat="false" ht="15" hidden="true" customHeight="true" outlineLevel="0" collapsed="false">
      <c r="B55" s="162" t="n">
        <v>2025</v>
      </c>
      <c r="C55" s="163" t="n">
        <v>2</v>
      </c>
      <c r="D55" s="180" t="s">
        <v>59</v>
      </c>
      <c r="E55" s="175" t="n">
        <v>0</v>
      </c>
      <c r="F55" s="175" t="n">
        <v>0</v>
      </c>
      <c r="G55" s="175" t="s">
        <v>154</v>
      </c>
      <c r="H55" s="183" t="s">
        <v>134</v>
      </c>
      <c r="I55" s="181" t="n">
        <v>30000</v>
      </c>
      <c r="J55" s="181" t="n">
        <v>0</v>
      </c>
      <c r="K55" s="168" t="n">
        <v>30000</v>
      </c>
      <c r="L55" s="181" t="n">
        <v>30000</v>
      </c>
      <c r="M55" s="181"/>
      <c r="O55" s="166"/>
    </row>
    <row r="56" customFormat="false" ht="15" hidden="true" customHeight="true" outlineLevel="0" collapsed="false">
      <c r="B56" s="162" t="n">
        <v>2025</v>
      </c>
      <c r="C56" s="163" t="n">
        <v>2</v>
      </c>
      <c r="D56" s="180" t="s">
        <v>59</v>
      </c>
      <c r="E56" s="175" t="s">
        <v>60</v>
      </c>
      <c r="F56" s="175" t="s">
        <v>61</v>
      </c>
      <c r="G56" s="175" t="s">
        <v>154</v>
      </c>
      <c r="H56" s="183" t="s">
        <v>133</v>
      </c>
      <c r="I56" s="181" t="n">
        <v>50000</v>
      </c>
      <c r="J56" s="181" t="n">
        <v>30000</v>
      </c>
      <c r="K56" s="168" t="n">
        <v>20000</v>
      </c>
      <c r="L56" s="185" t="n">
        <v>50000</v>
      </c>
      <c r="M56" s="181"/>
      <c r="O56" s="166"/>
    </row>
    <row r="57" customFormat="false" ht="15" hidden="true" customHeight="true" outlineLevel="0" collapsed="false">
      <c r="B57" s="162" t="n">
        <v>2025</v>
      </c>
      <c r="C57" s="163" t="n">
        <v>2</v>
      </c>
      <c r="D57" s="180" t="s">
        <v>59</v>
      </c>
      <c r="E57" s="175" t="s">
        <v>57</v>
      </c>
      <c r="F57" s="175" t="s">
        <v>153</v>
      </c>
      <c r="G57" s="175" t="s">
        <v>155</v>
      </c>
      <c r="H57" s="183" t="s">
        <v>55</v>
      </c>
      <c r="I57" s="181" t="n">
        <v>50000</v>
      </c>
      <c r="J57" s="181" t="n">
        <v>30000</v>
      </c>
      <c r="K57" s="168" t="n">
        <v>20000</v>
      </c>
      <c r="L57" s="185" t="n">
        <v>50000</v>
      </c>
      <c r="M57" s="181"/>
      <c r="O57" s="166"/>
    </row>
    <row r="58" customFormat="false" ht="16.5" hidden="true" customHeight="false" outlineLevel="0" collapsed="false">
      <c r="B58" s="162" t="n">
        <v>2025</v>
      </c>
      <c r="C58" s="163" t="n">
        <v>3</v>
      </c>
      <c r="D58" s="180" t="s">
        <v>56</v>
      </c>
      <c r="E58" s="175" t="s">
        <v>80</v>
      </c>
      <c r="F58" s="175" t="n">
        <v>96358353</v>
      </c>
      <c r="G58" s="175" t="s">
        <v>154</v>
      </c>
      <c r="H58" s="166" t="s">
        <v>79</v>
      </c>
      <c r="I58" s="181" t="n">
        <v>57500</v>
      </c>
      <c r="J58" s="181" t="n">
        <v>40000</v>
      </c>
      <c r="K58" s="168" t="n">
        <v>-7500</v>
      </c>
      <c r="L58" s="185" t="n">
        <v>32500</v>
      </c>
      <c r="M58" s="181" t="n">
        <v>-25000</v>
      </c>
      <c r="N58" s="182" t="s">
        <v>159</v>
      </c>
      <c r="O58" s="166"/>
    </row>
    <row r="59" customFormat="false" ht="16.5" hidden="true" customHeight="false" outlineLevel="0" collapsed="false">
      <c r="B59" s="162" t="n">
        <v>2025</v>
      </c>
      <c r="C59" s="163" t="n">
        <v>3</v>
      </c>
      <c r="D59" s="180" t="s">
        <v>82</v>
      </c>
      <c r="E59" s="175" t="s">
        <v>83</v>
      </c>
      <c r="F59" s="175" t="n">
        <v>95529415</v>
      </c>
      <c r="G59" s="175" t="s">
        <v>155</v>
      </c>
      <c r="H59" s="166" t="s">
        <v>81</v>
      </c>
      <c r="I59" s="181" t="n">
        <v>75000</v>
      </c>
      <c r="J59" s="181" t="n">
        <v>2670</v>
      </c>
      <c r="K59" s="168" t="n">
        <v>47330</v>
      </c>
      <c r="L59" s="185" t="n">
        <v>50000</v>
      </c>
      <c r="M59" s="181" t="n">
        <v>-25000</v>
      </c>
      <c r="N59" s="182" t="s">
        <v>159</v>
      </c>
      <c r="O59" s="166"/>
    </row>
    <row r="60" customFormat="false" ht="16.5" hidden="true" customHeight="false" outlineLevel="0" collapsed="false">
      <c r="B60" s="162" t="n">
        <v>2025</v>
      </c>
      <c r="C60" s="163" t="n">
        <v>3</v>
      </c>
      <c r="D60" s="180" t="s">
        <v>56</v>
      </c>
      <c r="E60" s="175" t="s">
        <v>84</v>
      </c>
      <c r="F60" s="175" t="n">
        <v>95787183</v>
      </c>
      <c r="G60" s="175" t="s">
        <v>155</v>
      </c>
      <c r="H60" s="166" t="s">
        <v>73</v>
      </c>
      <c r="I60" s="181" t="n">
        <v>22104</v>
      </c>
      <c r="J60" s="181" t="n">
        <v>22104</v>
      </c>
      <c r="K60" s="168" t="n">
        <v>0</v>
      </c>
      <c r="L60" s="185" t="n">
        <v>22104</v>
      </c>
      <c r="M60" s="181"/>
      <c r="N60" s="182"/>
      <c r="O60" s="166"/>
    </row>
    <row r="61" customFormat="false" ht="15" hidden="true" customHeight="true" outlineLevel="0" collapsed="false">
      <c r="B61" s="162" t="n">
        <v>2025</v>
      </c>
      <c r="C61" s="163" t="n">
        <v>3</v>
      </c>
      <c r="D61" s="180" t="s">
        <v>82</v>
      </c>
      <c r="E61" s="175" t="s">
        <v>86</v>
      </c>
      <c r="F61" s="175" t="n">
        <v>95532064</v>
      </c>
      <c r="G61" s="175" t="s">
        <v>155</v>
      </c>
      <c r="H61" s="166" t="s">
        <v>85</v>
      </c>
      <c r="I61" s="181" t="n">
        <v>48000</v>
      </c>
      <c r="J61" s="181" t="n">
        <v>1670</v>
      </c>
      <c r="K61" s="168" t="n">
        <v>21330</v>
      </c>
      <c r="L61" s="185" t="n">
        <v>23000</v>
      </c>
      <c r="M61" s="181" t="n">
        <v>-25000</v>
      </c>
      <c r="N61" s="182" t="s">
        <v>159</v>
      </c>
      <c r="O61" s="166"/>
    </row>
    <row r="62" customFormat="false" ht="15" hidden="true" customHeight="true" outlineLevel="0" collapsed="false">
      <c r="B62" s="162" t="n">
        <v>2025</v>
      </c>
      <c r="C62" s="163" t="n">
        <v>3</v>
      </c>
      <c r="D62" s="180" t="s">
        <v>82</v>
      </c>
      <c r="E62" s="175" t="s">
        <v>88</v>
      </c>
      <c r="F62" s="175" t="n">
        <v>95532066</v>
      </c>
      <c r="G62" s="175" t="s">
        <v>155</v>
      </c>
      <c r="H62" s="166" t="s">
        <v>87</v>
      </c>
      <c r="I62" s="181" t="n">
        <v>52000</v>
      </c>
      <c r="J62" s="181" t="n">
        <v>40000</v>
      </c>
      <c r="K62" s="168" t="n">
        <v>-13000</v>
      </c>
      <c r="L62" s="185" t="n">
        <v>27000</v>
      </c>
      <c r="M62" s="181" t="n">
        <v>-25000</v>
      </c>
      <c r="N62" s="182" t="s">
        <v>159</v>
      </c>
      <c r="O62" s="166"/>
    </row>
    <row r="63" customFormat="false" ht="15" hidden="true" customHeight="true" outlineLevel="0" collapsed="false">
      <c r="B63" s="162" t="n">
        <v>2025</v>
      </c>
      <c r="C63" s="163" t="n">
        <v>3</v>
      </c>
      <c r="D63" s="180" t="s">
        <v>82</v>
      </c>
      <c r="E63" s="175" t="s">
        <v>90</v>
      </c>
      <c r="F63" s="175" t="n">
        <v>0</v>
      </c>
      <c r="G63" s="175" t="s">
        <v>155</v>
      </c>
      <c r="H63" s="166" t="s">
        <v>89</v>
      </c>
      <c r="I63" s="181" t="n">
        <v>34500</v>
      </c>
      <c r="J63" s="181" t="n">
        <v>22104</v>
      </c>
      <c r="K63" s="168" t="n">
        <v>-12604</v>
      </c>
      <c r="L63" s="185" t="n">
        <v>9500</v>
      </c>
      <c r="M63" s="181" t="n">
        <v>-25000</v>
      </c>
      <c r="N63" s="182" t="s">
        <v>159</v>
      </c>
      <c r="O63" s="166"/>
    </row>
    <row r="64" customFormat="false" ht="15" hidden="true" customHeight="true" outlineLevel="0" collapsed="false">
      <c r="B64" s="162" t="n">
        <v>2025</v>
      </c>
      <c r="C64" s="163" t="n">
        <v>3</v>
      </c>
      <c r="D64" s="180" t="s">
        <v>82</v>
      </c>
      <c r="E64" s="175" t="s">
        <v>92</v>
      </c>
      <c r="F64" s="175" t="n">
        <v>0</v>
      </c>
      <c r="G64" s="175" t="s">
        <v>155</v>
      </c>
      <c r="H64" s="166" t="s">
        <v>91</v>
      </c>
      <c r="I64" s="181" t="n">
        <v>34500</v>
      </c>
      <c r="J64" s="181" t="n">
        <v>1603</v>
      </c>
      <c r="K64" s="168" t="n">
        <v>7897</v>
      </c>
      <c r="L64" s="185" t="n">
        <v>9500</v>
      </c>
      <c r="M64" s="181" t="n">
        <v>-25000</v>
      </c>
      <c r="N64" s="182" t="s">
        <v>159</v>
      </c>
      <c r="O64" s="166"/>
    </row>
    <row r="65" customFormat="false" ht="16.5" hidden="true" customHeight="false" outlineLevel="0" collapsed="false">
      <c r="B65" s="162" t="n">
        <v>2025</v>
      </c>
      <c r="C65" s="163" t="n">
        <v>3</v>
      </c>
      <c r="D65" s="180" t="s">
        <v>69</v>
      </c>
      <c r="E65" s="175" t="s">
        <v>94</v>
      </c>
      <c r="F65" s="175" t="n">
        <v>95532077</v>
      </c>
      <c r="G65" s="175" t="s">
        <v>155</v>
      </c>
      <c r="H65" s="166" t="s">
        <v>93</v>
      </c>
      <c r="I65" s="181" t="n">
        <v>46000</v>
      </c>
      <c r="J65" s="181" t="n">
        <v>2335</v>
      </c>
      <c r="K65" s="168" t="n">
        <v>18665</v>
      </c>
      <c r="L65" s="185" t="n">
        <v>21000</v>
      </c>
      <c r="M65" s="181" t="n">
        <v>-25000</v>
      </c>
      <c r="N65" s="182" t="s">
        <v>159</v>
      </c>
      <c r="O65" s="166"/>
    </row>
    <row r="66" customFormat="false" ht="15" hidden="true" customHeight="true" outlineLevel="0" collapsed="false">
      <c r="B66" s="162" t="n">
        <v>2025</v>
      </c>
      <c r="C66" s="163" t="n">
        <v>3</v>
      </c>
      <c r="D66" s="180" t="s">
        <v>34</v>
      </c>
      <c r="E66" s="175" t="s">
        <v>96</v>
      </c>
      <c r="F66" s="175" t="n">
        <v>95693810</v>
      </c>
      <c r="G66" s="175" t="s">
        <v>155</v>
      </c>
      <c r="H66" s="166" t="s">
        <v>95</v>
      </c>
      <c r="I66" s="181" t="n">
        <v>43000</v>
      </c>
      <c r="J66" s="181" t="n">
        <v>2000</v>
      </c>
      <c r="K66" s="168" t="n">
        <v>16000</v>
      </c>
      <c r="L66" s="185" t="n">
        <v>18000</v>
      </c>
      <c r="M66" s="181" t="n">
        <v>-25000</v>
      </c>
      <c r="N66" s="182" t="s">
        <v>159</v>
      </c>
      <c r="O66" s="166"/>
    </row>
    <row r="67" customFormat="false" ht="16.5" hidden="true" customHeight="false" outlineLevel="0" collapsed="false">
      <c r="B67" s="162" t="n">
        <v>2025</v>
      </c>
      <c r="C67" s="163" t="n">
        <v>3</v>
      </c>
      <c r="D67" s="180" t="s">
        <v>98</v>
      </c>
      <c r="E67" s="175" t="s">
        <v>99</v>
      </c>
      <c r="F67" s="175" t="s">
        <v>148</v>
      </c>
      <c r="G67" s="175" t="s">
        <v>155</v>
      </c>
      <c r="H67" s="166" t="s">
        <v>97</v>
      </c>
      <c r="I67" s="181" t="n">
        <v>57500</v>
      </c>
      <c r="J67" s="181" t="n">
        <v>35000</v>
      </c>
      <c r="K67" s="168" t="n">
        <v>-2500</v>
      </c>
      <c r="L67" s="185" t="n">
        <v>32500</v>
      </c>
      <c r="M67" s="181" t="n">
        <v>-25000</v>
      </c>
      <c r="N67" s="182" t="s">
        <v>159</v>
      </c>
      <c r="O67" s="166"/>
    </row>
    <row r="68" customFormat="false" ht="15" hidden="true" customHeight="true" outlineLevel="0" collapsed="false">
      <c r="B68" s="162" t="n">
        <v>2025</v>
      </c>
      <c r="C68" s="163" t="n">
        <v>3</v>
      </c>
      <c r="D68" s="180" t="s">
        <v>51</v>
      </c>
      <c r="E68" s="175" t="s">
        <v>101</v>
      </c>
      <c r="F68" s="175" t="n">
        <v>97189681</v>
      </c>
      <c r="G68" s="175" t="s">
        <v>155</v>
      </c>
      <c r="H68" s="166" t="s">
        <v>100</v>
      </c>
      <c r="I68" s="181" t="n">
        <v>40000</v>
      </c>
      <c r="J68" s="181" t="n">
        <v>38000</v>
      </c>
      <c r="K68" s="168" t="n">
        <v>-23000</v>
      </c>
      <c r="L68" s="185" t="n">
        <v>15000</v>
      </c>
      <c r="M68" s="181" t="n">
        <v>-25000</v>
      </c>
      <c r="N68" s="182" t="s">
        <v>159</v>
      </c>
      <c r="O68" s="166"/>
    </row>
    <row r="69" customFormat="false" ht="15" hidden="true" customHeight="true" outlineLevel="0" collapsed="false">
      <c r="B69" s="162" t="n">
        <v>2025</v>
      </c>
      <c r="C69" s="163" t="n">
        <v>3</v>
      </c>
      <c r="D69" s="180" t="s">
        <v>34</v>
      </c>
      <c r="E69" s="175" t="n">
        <v>0</v>
      </c>
      <c r="F69" s="175" t="n">
        <v>0</v>
      </c>
      <c r="G69" s="175" t="s">
        <v>154</v>
      </c>
      <c r="H69" s="166" t="s">
        <v>102</v>
      </c>
      <c r="I69" s="181" t="n">
        <v>40000</v>
      </c>
      <c r="J69" s="181" t="n">
        <v>0</v>
      </c>
      <c r="K69" s="168" t="n">
        <v>15000</v>
      </c>
      <c r="L69" s="185" t="n">
        <v>15000</v>
      </c>
      <c r="M69" s="181" t="n">
        <v>-25000</v>
      </c>
      <c r="N69" s="182" t="s">
        <v>159</v>
      </c>
      <c r="O69" s="166"/>
    </row>
    <row r="70" customFormat="false" ht="15" hidden="true" customHeight="true" outlineLevel="0" collapsed="false">
      <c r="B70" s="162" t="n">
        <v>2025</v>
      </c>
      <c r="C70" s="163" t="n">
        <v>3</v>
      </c>
      <c r="D70" s="180" t="s">
        <v>105</v>
      </c>
      <c r="E70" s="175" t="s">
        <v>106</v>
      </c>
      <c r="F70" s="175" t="n">
        <v>0</v>
      </c>
      <c r="G70" s="175" t="s">
        <v>155</v>
      </c>
      <c r="H70" s="183" t="s">
        <v>104</v>
      </c>
      <c r="I70" s="181" t="n">
        <v>48000</v>
      </c>
      <c r="J70" s="181" t="n">
        <v>48000</v>
      </c>
      <c r="K70" s="168" t="n">
        <v>0</v>
      </c>
      <c r="L70" s="185" t="n">
        <v>48000</v>
      </c>
      <c r="M70" s="181"/>
      <c r="N70" s="182"/>
      <c r="O70" s="166"/>
    </row>
    <row r="71" customFormat="false" ht="15" hidden="true" customHeight="true" outlineLevel="0" collapsed="false">
      <c r="B71" s="162" t="n">
        <v>2025</v>
      </c>
      <c r="C71" s="163" t="n">
        <v>3</v>
      </c>
      <c r="D71" s="180" t="s">
        <v>69</v>
      </c>
      <c r="E71" s="175" t="n">
        <v>0</v>
      </c>
      <c r="F71" s="175" t="n">
        <v>0</v>
      </c>
      <c r="G71" s="175" t="s">
        <v>155</v>
      </c>
      <c r="H71" s="184" t="s">
        <v>103</v>
      </c>
      <c r="I71" s="181" t="n">
        <v>50000</v>
      </c>
      <c r="J71" s="181" t="n">
        <v>2335</v>
      </c>
      <c r="K71" s="168" t="n">
        <v>22665</v>
      </c>
      <c r="L71" s="185" t="n">
        <v>25000</v>
      </c>
      <c r="M71" s="181" t="n">
        <v>-25000</v>
      </c>
      <c r="N71" s="182" t="s">
        <v>159</v>
      </c>
      <c r="O71" s="166"/>
    </row>
    <row r="72" customFormat="false" ht="15" hidden="true" customHeight="true" outlineLevel="0" collapsed="false">
      <c r="B72" s="162" t="n">
        <v>2025</v>
      </c>
      <c r="C72" s="163" t="n">
        <v>3</v>
      </c>
      <c r="D72" s="180" t="s">
        <v>69</v>
      </c>
      <c r="E72" s="175" t="s">
        <v>110</v>
      </c>
      <c r="F72" s="175" t="s">
        <v>149</v>
      </c>
      <c r="G72" s="175" t="s">
        <v>155</v>
      </c>
      <c r="H72" s="183" t="s">
        <v>109</v>
      </c>
      <c r="I72" s="181" t="n">
        <v>50000</v>
      </c>
      <c r="J72" s="181" t="n">
        <v>11333</v>
      </c>
      <c r="K72" s="168" t="n">
        <v>3667</v>
      </c>
      <c r="L72" s="185" t="n">
        <v>15000</v>
      </c>
      <c r="M72" s="181" t="n">
        <v>-35000</v>
      </c>
      <c r="N72" s="182" t="s">
        <v>159</v>
      </c>
      <c r="O72" s="166"/>
    </row>
    <row r="73" customFormat="false" ht="15" hidden="true" customHeight="true" outlineLevel="0" collapsed="false">
      <c r="B73" s="162" t="n">
        <v>2025</v>
      </c>
      <c r="C73" s="163" t="n">
        <v>3</v>
      </c>
      <c r="D73" s="180" t="s">
        <v>112</v>
      </c>
      <c r="E73" s="175" t="s">
        <v>113</v>
      </c>
      <c r="F73" s="175" t="n">
        <v>0</v>
      </c>
      <c r="G73" s="175" t="s">
        <v>155</v>
      </c>
      <c r="H73" s="183" t="s">
        <v>111</v>
      </c>
      <c r="I73" s="181" t="n">
        <v>30000</v>
      </c>
      <c r="J73" s="181" t="n">
        <v>25000</v>
      </c>
      <c r="K73" s="168" t="n">
        <v>-20000</v>
      </c>
      <c r="L73" s="181" t="n">
        <v>5000</v>
      </c>
      <c r="M73" s="181" t="n">
        <v>-25000</v>
      </c>
      <c r="N73" s="182" t="s">
        <v>159</v>
      </c>
      <c r="O73" s="166"/>
    </row>
    <row r="74" customFormat="false" ht="15" hidden="true" customHeight="true" outlineLevel="0" collapsed="false">
      <c r="B74" s="162" t="n">
        <v>2025</v>
      </c>
      <c r="C74" s="163" t="n">
        <v>3</v>
      </c>
      <c r="D74" s="180" t="s">
        <v>43</v>
      </c>
      <c r="E74" s="175" t="n">
        <v>0</v>
      </c>
      <c r="F74" s="175" t="n">
        <v>0</v>
      </c>
      <c r="G74" s="175" t="s">
        <v>154</v>
      </c>
      <c r="H74" s="183" t="s">
        <v>115</v>
      </c>
      <c r="I74" s="181" t="n">
        <v>30000</v>
      </c>
      <c r="J74" s="181" t="n">
        <v>0</v>
      </c>
      <c r="K74" s="168" t="n">
        <v>5000</v>
      </c>
      <c r="L74" s="185" t="n">
        <v>5000</v>
      </c>
      <c r="M74" s="181" t="n">
        <v>-25000</v>
      </c>
      <c r="N74" s="182" t="s">
        <v>159</v>
      </c>
      <c r="O74" s="166"/>
    </row>
    <row r="75" customFormat="false" ht="15" hidden="true" customHeight="true" outlineLevel="0" collapsed="false">
      <c r="B75" s="162" t="n">
        <v>2025</v>
      </c>
      <c r="C75" s="163" t="n">
        <v>3</v>
      </c>
      <c r="D75" s="180" t="s">
        <v>34</v>
      </c>
      <c r="E75" s="175" t="n">
        <v>0</v>
      </c>
      <c r="F75" s="175" t="n">
        <v>0</v>
      </c>
      <c r="G75" s="175" t="s">
        <v>155</v>
      </c>
      <c r="H75" s="184" t="s">
        <v>48</v>
      </c>
      <c r="I75" s="181" t="n">
        <v>11920</v>
      </c>
      <c r="J75" s="181" t="n">
        <v>0</v>
      </c>
      <c r="K75" s="168" t="n">
        <v>11920</v>
      </c>
      <c r="L75" s="185" t="n">
        <v>11920</v>
      </c>
      <c r="M75" s="181"/>
      <c r="N75" s="182"/>
      <c r="O75" s="166"/>
    </row>
    <row r="76" customFormat="false" ht="15" hidden="true" customHeight="true" outlineLevel="0" collapsed="false">
      <c r="B76" s="162" t="n">
        <v>2025</v>
      </c>
      <c r="C76" s="163" t="n">
        <v>3</v>
      </c>
      <c r="D76" s="180" t="s">
        <v>34</v>
      </c>
      <c r="E76" s="175" t="n">
        <v>0</v>
      </c>
      <c r="F76" s="175" t="n">
        <v>0</v>
      </c>
      <c r="G76" s="175" t="s">
        <v>155</v>
      </c>
      <c r="H76" s="184" t="s">
        <v>116</v>
      </c>
      <c r="I76" s="181" t="n">
        <v>43000</v>
      </c>
      <c r="J76" s="181" t="n">
        <v>1603</v>
      </c>
      <c r="K76" s="168" t="n">
        <v>16397</v>
      </c>
      <c r="L76" s="185" t="n">
        <v>18000</v>
      </c>
      <c r="M76" s="181" t="n">
        <v>-25000</v>
      </c>
      <c r="N76" s="182" t="s">
        <v>159</v>
      </c>
      <c r="O76" s="166"/>
    </row>
    <row r="77" customFormat="false" ht="15" hidden="true" customHeight="true" outlineLevel="0" collapsed="false">
      <c r="B77" s="162" t="n">
        <v>2025</v>
      </c>
      <c r="C77" s="163" t="n">
        <v>3</v>
      </c>
      <c r="D77" s="180" t="n">
        <v>0</v>
      </c>
      <c r="E77" s="175" t="n">
        <v>0</v>
      </c>
      <c r="F77" s="175" t="n">
        <v>0</v>
      </c>
      <c r="G77" s="175" t="s">
        <v>154</v>
      </c>
      <c r="H77" s="184" t="s">
        <v>150</v>
      </c>
      <c r="I77" s="181" t="n">
        <v>15000</v>
      </c>
      <c r="J77" s="181" t="n">
        <v>0</v>
      </c>
      <c r="K77" s="168" t="n">
        <v>15000</v>
      </c>
      <c r="L77" s="181" t="n">
        <v>15000</v>
      </c>
      <c r="M77" s="181"/>
      <c r="N77" s="182"/>
      <c r="O77" s="166"/>
    </row>
    <row r="78" customFormat="false" ht="15" hidden="true" customHeight="true" outlineLevel="0" collapsed="false">
      <c r="B78" s="162" t="n">
        <v>2025</v>
      </c>
      <c r="C78" s="163" t="n">
        <v>3</v>
      </c>
      <c r="D78" s="180" t="s">
        <v>69</v>
      </c>
      <c r="E78" s="175" t="s">
        <v>118</v>
      </c>
      <c r="F78" s="175" t="n">
        <v>0</v>
      </c>
      <c r="G78" s="175" t="s">
        <v>155</v>
      </c>
      <c r="H78" s="184" t="s">
        <v>117</v>
      </c>
      <c r="I78" s="181" t="n">
        <v>50000</v>
      </c>
      <c r="J78" s="181" t="n">
        <v>50000</v>
      </c>
      <c r="K78" s="168" t="n">
        <v>-36667</v>
      </c>
      <c r="L78" s="185" t="n">
        <v>13333</v>
      </c>
      <c r="M78" s="181" t="n">
        <v>-36667</v>
      </c>
      <c r="N78" s="182" t="s">
        <v>159</v>
      </c>
      <c r="O78" s="166"/>
    </row>
    <row r="79" customFormat="false" ht="15" hidden="true" customHeight="true" outlineLevel="0" collapsed="false">
      <c r="B79" s="162" t="n">
        <v>2025</v>
      </c>
      <c r="C79" s="163" t="n">
        <v>3</v>
      </c>
      <c r="D79" s="180" t="s">
        <v>69</v>
      </c>
      <c r="E79" s="175" t="s">
        <v>108</v>
      </c>
      <c r="F79" s="175" t="n">
        <v>0</v>
      </c>
      <c r="G79" s="175" t="s">
        <v>155</v>
      </c>
      <c r="H79" s="186" t="s">
        <v>107</v>
      </c>
      <c r="I79" s="181" t="n">
        <v>50000</v>
      </c>
      <c r="J79" s="181" t="n">
        <v>1603</v>
      </c>
      <c r="K79" s="168" t="n">
        <v>23397</v>
      </c>
      <c r="L79" s="185" t="n">
        <v>25000</v>
      </c>
      <c r="M79" s="181" t="n">
        <v>-25000</v>
      </c>
      <c r="N79" s="182" t="s">
        <v>159</v>
      </c>
      <c r="O79" s="189"/>
    </row>
    <row r="80" customFormat="false" ht="15" hidden="true" customHeight="true" outlineLevel="0" collapsed="false">
      <c r="B80" s="162" t="n">
        <v>2025</v>
      </c>
      <c r="C80" s="163" t="n">
        <v>3</v>
      </c>
      <c r="D80" s="180" t="s">
        <v>59</v>
      </c>
      <c r="E80" s="175" t="s">
        <v>132</v>
      </c>
      <c r="F80" s="175" t="s">
        <v>151</v>
      </c>
      <c r="G80" s="175" t="s">
        <v>155</v>
      </c>
      <c r="H80" s="184" t="s">
        <v>131</v>
      </c>
      <c r="I80" s="181" t="n">
        <v>30000</v>
      </c>
      <c r="J80" s="181" t="n">
        <v>22104</v>
      </c>
      <c r="K80" s="168" t="n">
        <v>-17104</v>
      </c>
      <c r="L80" s="185" t="n">
        <v>5000</v>
      </c>
      <c r="M80" s="181" t="n">
        <v>-25000</v>
      </c>
      <c r="N80" s="182" t="s">
        <v>159</v>
      </c>
      <c r="O80" s="166"/>
    </row>
    <row r="81" customFormat="false" ht="15" hidden="true" customHeight="true" outlineLevel="0" collapsed="false">
      <c r="B81" s="162" t="n">
        <v>2025</v>
      </c>
      <c r="C81" s="163" t="n">
        <v>3</v>
      </c>
      <c r="D81" s="180" t="s">
        <v>59</v>
      </c>
      <c r="E81" s="175" t="n">
        <v>0</v>
      </c>
      <c r="F81" s="175" t="n">
        <v>0</v>
      </c>
      <c r="G81" s="175" t="s">
        <v>154</v>
      </c>
      <c r="H81" s="186" t="s">
        <v>127</v>
      </c>
      <c r="I81" s="181" t="n">
        <v>30000</v>
      </c>
      <c r="J81" s="181" t="n">
        <v>0</v>
      </c>
      <c r="K81" s="168" t="n">
        <v>30000</v>
      </c>
      <c r="L81" s="185" t="n">
        <v>30000</v>
      </c>
      <c r="M81" s="181"/>
      <c r="N81" s="182"/>
      <c r="O81" s="166"/>
    </row>
    <row r="82" customFormat="false" ht="15" hidden="true" customHeight="true" outlineLevel="0" collapsed="false">
      <c r="B82" s="162" t="n">
        <v>2025</v>
      </c>
      <c r="C82" s="163" t="n">
        <v>3</v>
      </c>
      <c r="D82" s="180" t="s">
        <v>59</v>
      </c>
      <c r="E82" s="175" t="n">
        <v>0</v>
      </c>
      <c r="F82" s="175" t="n">
        <v>0</v>
      </c>
      <c r="G82" s="175" t="s">
        <v>154</v>
      </c>
      <c r="H82" s="186" t="s">
        <v>128</v>
      </c>
      <c r="I82" s="181" t="n">
        <v>44000</v>
      </c>
      <c r="J82" s="181" t="n">
        <v>0</v>
      </c>
      <c r="K82" s="168" t="n">
        <v>44000</v>
      </c>
      <c r="L82" s="185" t="n">
        <v>0</v>
      </c>
      <c r="M82" s="181" t="n">
        <v>-44000</v>
      </c>
      <c r="N82" s="182" t="s">
        <v>160</v>
      </c>
      <c r="O82" s="166"/>
    </row>
    <row r="83" customFormat="false" ht="15" hidden="true" customHeight="true" outlineLevel="0" collapsed="false">
      <c r="B83" s="162" t="n">
        <v>2025</v>
      </c>
      <c r="C83" s="163" t="n">
        <v>3</v>
      </c>
      <c r="D83" s="190" t="s">
        <v>59</v>
      </c>
      <c r="E83" s="191" t="n">
        <v>0</v>
      </c>
      <c r="F83" s="191"/>
      <c r="G83" s="175" t="s">
        <v>154</v>
      </c>
      <c r="H83" s="186" t="s">
        <v>62</v>
      </c>
      <c r="I83" s="192" t="n">
        <v>30000</v>
      </c>
      <c r="J83" s="192" t="n">
        <v>0</v>
      </c>
      <c r="K83" s="193" t="n">
        <v>5000</v>
      </c>
      <c r="L83" s="194" t="n">
        <v>5000</v>
      </c>
      <c r="M83" s="181" t="n">
        <v>-25000</v>
      </c>
      <c r="N83" s="182" t="s">
        <v>159</v>
      </c>
      <c r="O83" s="166"/>
    </row>
    <row r="84" customFormat="false" ht="15" hidden="true" customHeight="true" outlineLevel="0" collapsed="false">
      <c r="B84" s="162" t="n">
        <v>2025</v>
      </c>
      <c r="C84" s="163" t="n">
        <v>3</v>
      </c>
      <c r="D84" s="180" t="s">
        <v>59</v>
      </c>
      <c r="E84" s="175" t="s">
        <v>130</v>
      </c>
      <c r="F84" s="175" t="s">
        <v>152</v>
      </c>
      <c r="G84" s="175" t="s">
        <v>155</v>
      </c>
      <c r="H84" s="183" t="s">
        <v>129</v>
      </c>
      <c r="I84" s="181" t="n">
        <v>40000</v>
      </c>
      <c r="J84" s="181" t="n">
        <v>22104</v>
      </c>
      <c r="K84" s="168" t="n">
        <v>-7104</v>
      </c>
      <c r="L84" s="185" t="n">
        <v>15000</v>
      </c>
      <c r="M84" s="181" t="n">
        <v>-25000</v>
      </c>
      <c r="N84" s="182" t="s">
        <v>159</v>
      </c>
      <c r="O84" s="166"/>
    </row>
    <row r="85" customFormat="false" ht="15" hidden="true" customHeight="true" outlineLevel="0" collapsed="false">
      <c r="B85" s="162" t="n">
        <v>2025</v>
      </c>
      <c r="C85" s="163" t="n">
        <v>3</v>
      </c>
      <c r="D85" s="180" t="s">
        <v>59</v>
      </c>
      <c r="E85" s="175" t="n">
        <v>0</v>
      </c>
      <c r="F85" s="175" t="n">
        <v>0</v>
      </c>
      <c r="G85" s="175" t="s">
        <v>154</v>
      </c>
      <c r="H85" s="183" t="s">
        <v>134</v>
      </c>
      <c r="I85" s="181" t="n">
        <v>30000</v>
      </c>
      <c r="J85" s="181" t="n">
        <v>0</v>
      </c>
      <c r="K85" s="168" t="n">
        <v>30000</v>
      </c>
      <c r="L85" s="181" t="n">
        <v>30000</v>
      </c>
      <c r="M85" s="181"/>
      <c r="N85" s="182"/>
      <c r="O85" s="166"/>
    </row>
    <row r="86" customFormat="false" ht="15" hidden="true" customHeight="true" outlineLevel="0" collapsed="false">
      <c r="B86" s="162" t="n">
        <v>2025</v>
      </c>
      <c r="C86" s="163" t="n">
        <v>3</v>
      </c>
      <c r="D86" s="180" t="s">
        <v>59</v>
      </c>
      <c r="E86" s="175" t="s">
        <v>60</v>
      </c>
      <c r="F86" s="175" t="s">
        <v>61</v>
      </c>
      <c r="G86" s="175" t="s">
        <v>154</v>
      </c>
      <c r="H86" s="183" t="s">
        <v>133</v>
      </c>
      <c r="I86" s="181" t="n">
        <v>50000</v>
      </c>
      <c r="J86" s="181" t="n">
        <v>30000</v>
      </c>
      <c r="K86" s="168" t="n">
        <v>-30000</v>
      </c>
      <c r="L86" s="185" t="n">
        <v>0</v>
      </c>
      <c r="M86" s="181" t="n">
        <v>-50000</v>
      </c>
      <c r="N86" s="169" t="s">
        <v>160</v>
      </c>
      <c r="O86" s="166"/>
    </row>
    <row r="87" customFormat="false" ht="15" hidden="true" customHeight="true" outlineLevel="0" collapsed="false">
      <c r="B87" s="162" t="n">
        <v>2025</v>
      </c>
      <c r="C87" s="163" t="n">
        <v>3</v>
      </c>
      <c r="D87" s="180" t="s">
        <v>59</v>
      </c>
      <c r="E87" s="175" t="s">
        <v>57</v>
      </c>
      <c r="F87" s="175" t="s">
        <v>153</v>
      </c>
      <c r="G87" s="175" t="s">
        <v>155</v>
      </c>
      <c r="H87" s="183" t="s">
        <v>55</v>
      </c>
      <c r="I87" s="181" t="n">
        <v>50000</v>
      </c>
      <c r="J87" s="181" t="n">
        <v>30000</v>
      </c>
      <c r="K87" s="168" t="n">
        <v>-30000</v>
      </c>
      <c r="L87" s="185" t="n">
        <v>0</v>
      </c>
      <c r="M87" s="181" t="n">
        <v>-50000</v>
      </c>
      <c r="N87" s="169" t="s">
        <v>160</v>
      </c>
      <c r="O87" s="166"/>
    </row>
    <row r="88" customFormat="false" ht="16.5" hidden="true" customHeight="false" outlineLevel="0" collapsed="false">
      <c r="B88" s="162" t="n">
        <v>2025</v>
      </c>
      <c r="C88" s="163" t="n">
        <v>4</v>
      </c>
      <c r="D88" s="180" t="s">
        <v>56</v>
      </c>
      <c r="E88" s="175" t="s">
        <v>80</v>
      </c>
      <c r="F88" s="175" t="n">
        <v>96358353</v>
      </c>
      <c r="G88" s="175"/>
      <c r="H88" s="166" t="s">
        <v>79</v>
      </c>
      <c r="I88" s="181" t="n">
        <v>57500</v>
      </c>
      <c r="J88" s="181" t="n">
        <v>40000</v>
      </c>
      <c r="K88" s="168" t="n">
        <v>17500</v>
      </c>
      <c r="L88" s="185" t="n">
        <v>57500</v>
      </c>
      <c r="M88" s="181"/>
      <c r="N88" s="182" t="s">
        <v>161</v>
      </c>
      <c r="O88" s="166"/>
    </row>
    <row r="89" customFormat="false" ht="16.5" hidden="true" customHeight="false" outlineLevel="0" collapsed="false">
      <c r="B89" s="162" t="n">
        <v>2025</v>
      </c>
      <c r="C89" s="163" t="n">
        <v>4</v>
      </c>
      <c r="D89" s="180" t="s">
        <v>82</v>
      </c>
      <c r="E89" s="175" t="s">
        <v>83</v>
      </c>
      <c r="F89" s="175" t="n">
        <v>95529415</v>
      </c>
      <c r="G89" s="175"/>
      <c r="H89" s="166" t="s">
        <v>81</v>
      </c>
      <c r="I89" s="181" t="n">
        <v>75000</v>
      </c>
      <c r="J89" s="181" t="n">
        <v>2670</v>
      </c>
      <c r="K89" s="168" t="n">
        <v>72330</v>
      </c>
      <c r="L89" s="185" t="n">
        <v>75000</v>
      </c>
      <c r="M89" s="181"/>
      <c r="N89" s="182"/>
      <c r="O89" s="166"/>
    </row>
    <row r="90" customFormat="false" ht="16.5" hidden="true" customHeight="false" outlineLevel="0" collapsed="false">
      <c r="B90" s="162" t="n">
        <v>2025</v>
      </c>
      <c r="C90" s="163" t="n">
        <v>4</v>
      </c>
      <c r="D90" s="180" t="s">
        <v>56</v>
      </c>
      <c r="E90" s="175" t="s">
        <v>84</v>
      </c>
      <c r="F90" s="175" t="n">
        <v>95787183</v>
      </c>
      <c r="G90" s="175"/>
      <c r="H90" s="166" t="s">
        <v>73</v>
      </c>
      <c r="I90" s="181" t="n">
        <v>22104</v>
      </c>
      <c r="J90" s="181" t="n">
        <v>22104</v>
      </c>
      <c r="K90" s="168" t="n">
        <v>0</v>
      </c>
      <c r="L90" s="185" t="n">
        <v>22104</v>
      </c>
      <c r="M90" s="181"/>
      <c r="N90" s="182"/>
      <c r="O90" s="166"/>
    </row>
    <row r="91" customFormat="false" ht="15" hidden="true" customHeight="true" outlineLevel="0" collapsed="false">
      <c r="B91" s="162" t="n">
        <v>2025</v>
      </c>
      <c r="C91" s="163" t="n">
        <v>4</v>
      </c>
      <c r="D91" s="180" t="s">
        <v>82</v>
      </c>
      <c r="E91" s="175" t="s">
        <v>86</v>
      </c>
      <c r="F91" s="175" t="n">
        <v>95532064</v>
      </c>
      <c r="G91" s="175"/>
      <c r="H91" s="166" t="s">
        <v>85</v>
      </c>
      <c r="I91" s="181" t="n">
        <v>48000</v>
      </c>
      <c r="J91" s="181" t="n">
        <v>1670</v>
      </c>
      <c r="K91" s="168" t="n">
        <v>46330</v>
      </c>
      <c r="L91" s="185" t="n">
        <v>48000</v>
      </c>
      <c r="M91" s="181"/>
      <c r="N91" s="182"/>
      <c r="O91" s="166"/>
    </row>
    <row r="92" customFormat="false" ht="15" hidden="true" customHeight="true" outlineLevel="0" collapsed="false">
      <c r="B92" s="162" t="n">
        <v>2025</v>
      </c>
      <c r="C92" s="163" t="n">
        <v>4</v>
      </c>
      <c r="D92" s="180" t="s">
        <v>82</v>
      </c>
      <c r="E92" s="175" t="s">
        <v>88</v>
      </c>
      <c r="F92" s="175" t="n">
        <v>95532066</v>
      </c>
      <c r="G92" s="175"/>
      <c r="H92" s="166" t="s">
        <v>87</v>
      </c>
      <c r="I92" s="181" t="n">
        <v>52000</v>
      </c>
      <c r="J92" s="181" t="n">
        <v>40000</v>
      </c>
      <c r="K92" s="168" t="n">
        <v>12000</v>
      </c>
      <c r="L92" s="185" t="n">
        <v>52000</v>
      </c>
      <c r="M92" s="181"/>
      <c r="N92" s="182"/>
      <c r="O92" s="166"/>
    </row>
    <row r="93" customFormat="false" ht="15" hidden="true" customHeight="true" outlineLevel="0" collapsed="false">
      <c r="B93" s="162" t="n">
        <v>2025</v>
      </c>
      <c r="C93" s="163" t="n">
        <v>4</v>
      </c>
      <c r="D93" s="180" t="s">
        <v>82</v>
      </c>
      <c r="E93" s="175" t="s">
        <v>90</v>
      </c>
      <c r="F93" s="175" t="n">
        <v>0</v>
      </c>
      <c r="G93" s="175"/>
      <c r="H93" s="166" t="s">
        <v>89</v>
      </c>
      <c r="I93" s="181" t="n">
        <v>34500</v>
      </c>
      <c r="J93" s="181" t="n">
        <v>22104</v>
      </c>
      <c r="K93" s="168" t="n">
        <v>12396</v>
      </c>
      <c r="L93" s="185" t="n">
        <v>34500</v>
      </c>
      <c r="M93" s="181"/>
      <c r="N93" s="182"/>
      <c r="O93" s="166"/>
    </row>
    <row r="94" customFormat="false" ht="15" hidden="true" customHeight="true" outlineLevel="0" collapsed="false">
      <c r="B94" s="162" t="n">
        <v>2025</v>
      </c>
      <c r="C94" s="163" t="n">
        <v>4</v>
      </c>
      <c r="D94" s="180" t="s">
        <v>82</v>
      </c>
      <c r="E94" s="175" t="s">
        <v>92</v>
      </c>
      <c r="F94" s="175" t="n">
        <v>0</v>
      </c>
      <c r="G94" s="175"/>
      <c r="H94" s="166" t="s">
        <v>91</v>
      </c>
      <c r="I94" s="181" t="n">
        <v>34500</v>
      </c>
      <c r="J94" s="181" t="n">
        <v>1603</v>
      </c>
      <c r="K94" s="168" t="n">
        <v>32897</v>
      </c>
      <c r="L94" s="185" t="n">
        <v>34500</v>
      </c>
      <c r="M94" s="181"/>
      <c r="N94" s="182"/>
      <c r="O94" s="166"/>
    </row>
    <row r="95" customFormat="false" ht="16.5" hidden="true" customHeight="false" outlineLevel="0" collapsed="false">
      <c r="B95" s="162" t="n">
        <v>2025</v>
      </c>
      <c r="C95" s="163" t="n">
        <v>4</v>
      </c>
      <c r="D95" s="180" t="s">
        <v>69</v>
      </c>
      <c r="E95" s="175" t="s">
        <v>94</v>
      </c>
      <c r="F95" s="175" t="n">
        <v>95532077</v>
      </c>
      <c r="G95" s="175"/>
      <c r="H95" s="166" t="s">
        <v>93</v>
      </c>
      <c r="I95" s="181" t="n">
        <v>46000</v>
      </c>
      <c r="J95" s="181" t="n">
        <v>2335</v>
      </c>
      <c r="K95" s="168" t="n">
        <v>43665</v>
      </c>
      <c r="L95" s="185" t="n">
        <v>46000</v>
      </c>
      <c r="M95" s="181"/>
      <c r="N95" s="182"/>
      <c r="O95" s="166"/>
    </row>
    <row r="96" customFormat="false" ht="15" hidden="true" customHeight="true" outlineLevel="0" collapsed="false">
      <c r="B96" s="162" t="n">
        <v>2025</v>
      </c>
      <c r="C96" s="163" t="n">
        <v>4</v>
      </c>
      <c r="D96" s="180" t="s">
        <v>34</v>
      </c>
      <c r="E96" s="175" t="s">
        <v>96</v>
      </c>
      <c r="F96" s="175" t="n">
        <v>95693810</v>
      </c>
      <c r="G96" s="175"/>
      <c r="H96" s="166" t="s">
        <v>95</v>
      </c>
      <c r="I96" s="181" t="n">
        <v>43000</v>
      </c>
      <c r="J96" s="181" t="n">
        <v>2000</v>
      </c>
      <c r="K96" s="168" t="n">
        <v>41000</v>
      </c>
      <c r="L96" s="185" t="n">
        <v>43000</v>
      </c>
      <c r="M96" s="181"/>
      <c r="N96" s="182"/>
      <c r="O96" s="166"/>
    </row>
    <row r="97" customFormat="false" ht="16.5" hidden="true" customHeight="false" outlineLevel="0" collapsed="false">
      <c r="B97" s="162" t="n">
        <v>2025</v>
      </c>
      <c r="C97" s="163" t="n">
        <v>4</v>
      </c>
      <c r="D97" s="180" t="s">
        <v>98</v>
      </c>
      <c r="E97" s="175" t="s">
        <v>99</v>
      </c>
      <c r="F97" s="175" t="s">
        <v>148</v>
      </c>
      <c r="G97" s="175"/>
      <c r="H97" s="166" t="s">
        <v>97</v>
      </c>
      <c r="I97" s="181" t="n">
        <v>57500</v>
      </c>
      <c r="J97" s="181" t="n">
        <v>35000</v>
      </c>
      <c r="K97" s="168" t="n">
        <v>22500</v>
      </c>
      <c r="L97" s="185" t="n">
        <v>57500</v>
      </c>
      <c r="M97" s="181"/>
      <c r="N97" s="182"/>
      <c r="O97" s="166"/>
    </row>
    <row r="98" customFormat="false" ht="15" hidden="true" customHeight="true" outlineLevel="0" collapsed="false">
      <c r="B98" s="162" t="n">
        <v>2025</v>
      </c>
      <c r="C98" s="163" t="n">
        <v>4</v>
      </c>
      <c r="D98" s="180" t="s">
        <v>51</v>
      </c>
      <c r="E98" s="175" t="s">
        <v>101</v>
      </c>
      <c r="F98" s="175" t="n">
        <v>97189681</v>
      </c>
      <c r="G98" s="175"/>
      <c r="H98" s="166" t="s">
        <v>100</v>
      </c>
      <c r="I98" s="181" t="n">
        <v>40000</v>
      </c>
      <c r="J98" s="181" t="n">
        <v>35000</v>
      </c>
      <c r="K98" s="168" t="n">
        <v>0</v>
      </c>
      <c r="L98" s="185" t="n">
        <v>35000</v>
      </c>
      <c r="M98" s="181" t="n">
        <v>-5000</v>
      </c>
      <c r="N98" s="182" t="s">
        <v>162</v>
      </c>
      <c r="O98" s="166"/>
    </row>
    <row r="99" customFormat="false" ht="15" hidden="true" customHeight="true" outlineLevel="0" collapsed="false">
      <c r="B99" s="162" t="n">
        <v>2025</v>
      </c>
      <c r="C99" s="163" t="n">
        <v>4</v>
      </c>
      <c r="D99" s="180" t="s">
        <v>34</v>
      </c>
      <c r="E99" s="175" t="n">
        <v>0</v>
      </c>
      <c r="F99" s="175" t="n">
        <v>0</v>
      </c>
      <c r="G99" s="175"/>
      <c r="H99" s="166" t="s">
        <v>102</v>
      </c>
      <c r="I99" s="181" t="n">
        <v>40000</v>
      </c>
      <c r="J99" s="181" t="n">
        <v>0</v>
      </c>
      <c r="K99" s="168" t="n">
        <v>40000</v>
      </c>
      <c r="L99" s="185" t="n">
        <v>40000</v>
      </c>
      <c r="M99" s="181"/>
      <c r="N99" s="182"/>
      <c r="O99" s="166"/>
    </row>
    <row r="100" customFormat="false" ht="15" hidden="true" customHeight="true" outlineLevel="0" collapsed="false">
      <c r="B100" s="162" t="n">
        <v>2025</v>
      </c>
      <c r="C100" s="163" t="n">
        <v>4</v>
      </c>
      <c r="D100" s="180" t="s">
        <v>69</v>
      </c>
      <c r="E100" s="175" t="n">
        <v>0</v>
      </c>
      <c r="F100" s="175" t="n">
        <v>0</v>
      </c>
      <c r="G100" s="175"/>
      <c r="H100" s="184" t="s">
        <v>103</v>
      </c>
      <c r="I100" s="181" t="n">
        <v>50000</v>
      </c>
      <c r="J100" s="181" t="n">
        <v>2335</v>
      </c>
      <c r="K100" s="168" t="n">
        <v>47665</v>
      </c>
      <c r="L100" s="185" t="n">
        <v>50000</v>
      </c>
      <c r="M100" s="181"/>
      <c r="N100" s="182"/>
      <c r="O100" s="166"/>
    </row>
    <row r="101" customFormat="false" ht="15" hidden="true" customHeight="true" outlineLevel="0" collapsed="false">
      <c r="B101" s="162" t="n">
        <v>2025</v>
      </c>
      <c r="C101" s="163" t="n">
        <v>4</v>
      </c>
      <c r="D101" s="180" t="s">
        <v>69</v>
      </c>
      <c r="E101" s="175" t="s">
        <v>110</v>
      </c>
      <c r="F101" s="175" t="s">
        <v>149</v>
      </c>
      <c r="G101" s="175"/>
      <c r="H101" s="183" t="s">
        <v>109</v>
      </c>
      <c r="I101" s="181" t="n">
        <v>50000</v>
      </c>
      <c r="J101" s="181" t="n">
        <v>11333</v>
      </c>
      <c r="K101" s="168" t="n">
        <v>2000</v>
      </c>
      <c r="L101" s="185" t="n">
        <v>13333</v>
      </c>
      <c r="M101" s="181" t="n">
        <v>-36667</v>
      </c>
      <c r="N101" s="182" t="s">
        <v>163</v>
      </c>
      <c r="O101" s="166"/>
    </row>
    <row r="102" customFormat="false" ht="15" hidden="true" customHeight="true" outlineLevel="0" collapsed="false">
      <c r="B102" s="162" t="n">
        <v>2025</v>
      </c>
      <c r="C102" s="163" t="n">
        <v>4</v>
      </c>
      <c r="D102" s="180" t="s">
        <v>112</v>
      </c>
      <c r="E102" s="175" t="s">
        <v>113</v>
      </c>
      <c r="F102" s="175" t="n">
        <v>0</v>
      </c>
      <c r="G102" s="175"/>
      <c r="H102" s="183" t="s">
        <v>111</v>
      </c>
      <c r="I102" s="181" t="n">
        <v>30000</v>
      </c>
      <c r="J102" s="181" t="n">
        <v>25000</v>
      </c>
      <c r="K102" s="168" t="n">
        <v>5000</v>
      </c>
      <c r="L102" s="181" t="n">
        <v>30000</v>
      </c>
      <c r="M102" s="181"/>
      <c r="N102" s="182"/>
      <c r="O102" s="166"/>
    </row>
    <row r="103" customFormat="false" ht="15" hidden="true" customHeight="true" outlineLevel="0" collapsed="false">
      <c r="B103" s="162" t="n">
        <v>2025</v>
      </c>
      <c r="C103" s="163" t="n">
        <v>4</v>
      </c>
      <c r="D103" s="180" t="s">
        <v>43</v>
      </c>
      <c r="E103" s="175" t="n">
        <v>0</v>
      </c>
      <c r="F103" s="175" t="n">
        <v>0</v>
      </c>
      <c r="G103" s="175"/>
      <c r="H103" s="183" t="s">
        <v>115</v>
      </c>
      <c r="I103" s="181" t="n">
        <v>30000</v>
      </c>
      <c r="J103" s="181" t="n">
        <v>0</v>
      </c>
      <c r="K103" s="168" t="n">
        <v>30000</v>
      </c>
      <c r="L103" s="185" t="n">
        <v>30000</v>
      </c>
      <c r="M103" s="181"/>
      <c r="N103" s="182"/>
      <c r="O103" s="166"/>
    </row>
    <row r="104" customFormat="false" ht="15" hidden="true" customHeight="true" outlineLevel="0" collapsed="false">
      <c r="B104" s="162" t="n">
        <v>2025</v>
      </c>
      <c r="C104" s="163" t="n">
        <v>4</v>
      </c>
      <c r="D104" s="180" t="s">
        <v>34</v>
      </c>
      <c r="E104" s="175" t="n">
        <v>0</v>
      </c>
      <c r="F104" s="175" t="n">
        <v>0</v>
      </c>
      <c r="G104" s="175"/>
      <c r="H104" s="184" t="s">
        <v>48</v>
      </c>
      <c r="I104" s="181" t="n">
        <v>11920</v>
      </c>
      <c r="J104" s="181" t="n">
        <v>0</v>
      </c>
      <c r="K104" s="168" t="n">
        <v>11920</v>
      </c>
      <c r="L104" s="185" t="n">
        <v>11920</v>
      </c>
      <c r="M104" s="181"/>
      <c r="N104" s="182" t="s">
        <v>164</v>
      </c>
      <c r="O104" s="166"/>
    </row>
    <row r="105" customFormat="false" ht="15" hidden="true" customHeight="true" outlineLevel="0" collapsed="false">
      <c r="B105" s="162" t="n">
        <v>2025</v>
      </c>
      <c r="C105" s="163" t="n">
        <v>4</v>
      </c>
      <c r="D105" s="180" t="s">
        <v>34</v>
      </c>
      <c r="E105" s="175" t="n">
        <v>0</v>
      </c>
      <c r="F105" s="175" t="n">
        <v>0</v>
      </c>
      <c r="G105" s="175"/>
      <c r="H105" s="184" t="s">
        <v>116</v>
      </c>
      <c r="I105" s="181" t="n">
        <v>43000</v>
      </c>
      <c r="J105" s="181" t="n">
        <v>1603</v>
      </c>
      <c r="K105" s="168" t="n">
        <v>41397</v>
      </c>
      <c r="L105" s="185" t="n">
        <v>43000</v>
      </c>
      <c r="M105" s="181"/>
      <c r="N105" s="182"/>
      <c r="O105" s="166"/>
    </row>
    <row r="106" customFormat="false" ht="15" hidden="true" customHeight="true" outlineLevel="0" collapsed="false">
      <c r="B106" s="162" t="n">
        <v>2025</v>
      </c>
      <c r="C106" s="163" t="n">
        <v>4</v>
      </c>
      <c r="D106" s="180" t="n">
        <v>0</v>
      </c>
      <c r="E106" s="175" t="n">
        <v>0</v>
      </c>
      <c r="F106" s="175" t="n">
        <v>0</v>
      </c>
      <c r="G106" s="175"/>
      <c r="H106" s="184" t="s">
        <v>150</v>
      </c>
      <c r="I106" s="181" t="n">
        <v>15000</v>
      </c>
      <c r="J106" s="181" t="n">
        <v>0</v>
      </c>
      <c r="K106" s="168" t="n">
        <v>15000</v>
      </c>
      <c r="L106" s="181" t="n">
        <v>15000</v>
      </c>
      <c r="M106" s="181"/>
      <c r="N106" s="182"/>
      <c r="O106" s="166"/>
    </row>
    <row r="107" customFormat="false" ht="15" hidden="true" customHeight="true" outlineLevel="0" collapsed="false">
      <c r="B107" s="162" t="n">
        <v>2025</v>
      </c>
      <c r="C107" s="163" t="n">
        <v>4</v>
      </c>
      <c r="D107" s="180" t="s">
        <v>69</v>
      </c>
      <c r="E107" s="175" t="s">
        <v>108</v>
      </c>
      <c r="F107" s="175" t="n">
        <v>0</v>
      </c>
      <c r="G107" s="175"/>
      <c r="H107" s="186" t="s">
        <v>107</v>
      </c>
      <c r="I107" s="181" t="n">
        <v>50000</v>
      </c>
      <c r="J107" s="181" t="n">
        <v>1603</v>
      </c>
      <c r="K107" s="168" t="n">
        <v>48397</v>
      </c>
      <c r="L107" s="185" t="n">
        <v>50000</v>
      </c>
      <c r="M107" s="181"/>
      <c r="N107" s="182"/>
      <c r="O107" s="189"/>
    </row>
    <row r="108" customFormat="false" ht="15" hidden="true" customHeight="true" outlineLevel="0" collapsed="false">
      <c r="B108" s="162" t="n">
        <v>2025</v>
      </c>
      <c r="C108" s="163" t="n">
        <v>4</v>
      </c>
      <c r="D108" s="180" t="s">
        <v>69</v>
      </c>
      <c r="E108" s="175" t="n">
        <v>0</v>
      </c>
      <c r="F108" s="175" t="n">
        <v>0</v>
      </c>
      <c r="G108" s="175"/>
      <c r="H108" s="184" t="s">
        <v>122</v>
      </c>
      <c r="I108" s="181" t="n">
        <v>50000</v>
      </c>
      <c r="J108" s="181" t="n">
        <v>2333</v>
      </c>
      <c r="K108" s="168" t="n">
        <v>34337</v>
      </c>
      <c r="L108" s="185" t="n">
        <v>36670</v>
      </c>
      <c r="M108" s="181" t="n">
        <v>-13330</v>
      </c>
      <c r="N108" s="182" t="s">
        <v>165</v>
      </c>
      <c r="O108" s="189"/>
    </row>
    <row r="109" customFormat="false" ht="15" hidden="true" customHeight="true" outlineLevel="0" collapsed="false">
      <c r="B109" s="162" t="n">
        <v>2025</v>
      </c>
      <c r="C109" s="163" t="n">
        <v>4</v>
      </c>
      <c r="D109" s="180" t="s">
        <v>69</v>
      </c>
      <c r="E109" s="175" t="s">
        <v>120</v>
      </c>
      <c r="F109" s="175" t="n">
        <v>0</v>
      </c>
      <c r="G109" s="175"/>
      <c r="H109" s="195" t="s">
        <v>119</v>
      </c>
      <c r="I109" s="181" t="n">
        <v>50000</v>
      </c>
      <c r="J109" s="181" t="n">
        <v>11333</v>
      </c>
      <c r="K109" s="168" t="n">
        <v>3667</v>
      </c>
      <c r="L109" s="185" t="n">
        <v>15000</v>
      </c>
      <c r="M109" s="181" t="n">
        <v>-35000</v>
      </c>
      <c r="N109" s="182" t="s">
        <v>166</v>
      </c>
      <c r="O109" s="189"/>
    </row>
    <row r="110" customFormat="false" ht="15" hidden="true" customHeight="true" outlineLevel="0" collapsed="false">
      <c r="B110" s="162" t="n">
        <v>2025</v>
      </c>
      <c r="C110" s="163" t="n">
        <v>4</v>
      </c>
      <c r="D110" s="180" t="s">
        <v>59</v>
      </c>
      <c r="E110" s="175" t="s">
        <v>132</v>
      </c>
      <c r="F110" s="175" t="s">
        <v>151</v>
      </c>
      <c r="G110" s="175"/>
      <c r="H110" s="184" t="s">
        <v>131</v>
      </c>
      <c r="I110" s="181" t="n">
        <v>30000</v>
      </c>
      <c r="J110" s="181" t="n">
        <v>22104</v>
      </c>
      <c r="K110" s="168" t="n">
        <v>9696</v>
      </c>
      <c r="L110" s="185" t="n">
        <v>31800</v>
      </c>
      <c r="M110" s="181" t="n">
        <v>1800</v>
      </c>
      <c r="N110" s="182" t="s">
        <v>167</v>
      </c>
      <c r="O110" s="166"/>
    </row>
    <row r="111" customFormat="false" ht="15" hidden="true" customHeight="true" outlineLevel="0" collapsed="false">
      <c r="B111" s="162" t="n">
        <v>2025</v>
      </c>
      <c r="C111" s="163" t="n">
        <v>4</v>
      </c>
      <c r="D111" s="180" t="s">
        <v>59</v>
      </c>
      <c r="E111" s="175" t="n">
        <v>0</v>
      </c>
      <c r="F111" s="175" t="n">
        <v>0</v>
      </c>
      <c r="G111" s="175"/>
      <c r="H111" s="184" t="s">
        <v>128</v>
      </c>
      <c r="I111" s="181" t="n">
        <v>44000</v>
      </c>
      <c r="J111" s="181" t="n">
        <v>0</v>
      </c>
      <c r="K111" s="168" t="n">
        <v>44000</v>
      </c>
      <c r="L111" s="185" t="n">
        <v>44000</v>
      </c>
      <c r="M111" s="181"/>
      <c r="N111" s="182"/>
      <c r="O111" s="166"/>
    </row>
    <row r="112" customFormat="false" ht="15" hidden="true" customHeight="true" outlineLevel="0" collapsed="false">
      <c r="B112" s="162" t="n">
        <v>2025</v>
      </c>
      <c r="C112" s="163" t="n">
        <v>4</v>
      </c>
      <c r="D112" s="190" t="s">
        <v>59</v>
      </c>
      <c r="E112" s="191" t="n">
        <v>0</v>
      </c>
      <c r="F112" s="191"/>
      <c r="G112" s="175"/>
      <c r="H112" s="186" t="s">
        <v>62</v>
      </c>
      <c r="I112" s="192" t="n">
        <v>30000</v>
      </c>
      <c r="J112" s="192" t="n">
        <v>0</v>
      </c>
      <c r="K112" s="168" t="n">
        <v>30000</v>
      </c>
      <c r="L112" s="185" t="n">
        <v>30000</v>
      </c>
      <c r="M112" s="181"/>
      <c r="N112" s="135" t="s">
        <v>160</v>
      </c>
      <c r="O112" s="166"/>
    </row>
    <row r="113" customFormat="false" ht="15" hidden="true" customHeight="true" outlineLevel="0" collapsed="false">
      <c r="B113" s="162" t="n">
        <v>2025</v>
      </c>
      <c r="C113" s="163" t="n">
        <v>4</v>
      </c>
      <c r="D113" s="180" t="s">
        <v>59</v>
      </c>
      <c r="E113" s="175" t="s">
        <v>130</v>
      </c>
      <c r="F113" s="175" t="s">
        <v>152</v>
      </c>
      <c r="G113" s="175"/>
      <c r="H113" s="183" t="s">
        <v>129</v>
      </c>
      <c r="I113" s="181" t="n">
        <v>40000</v>
      </c>
      <c r="J113" s="181" t="n">
        <v>22104</v>
      </c>
      <c r="K113" s="168" t="n">
        <v>17896</v>
      </c>
      <c r="L113" s="185" t="n">
        <v>40000</v>
      </c>
      <c r="M113" s="181"/>
      <c r="N113" s="182"/>
      <c r="O113" s="166"/>
    </row>
    <row r="114" customFormat="false" ht="15" hidden="true" customHeight="true" outlineLevel="0" collapsed="false">
      <c r="B114" s="162" t="n">
        <v>2025</v>
      </c>
      <c r="C114" s="163" t="n">
        <v>4</v>
      </c>
      <c r="D114" s="180" t="s">
        <v>59</v>
      </c>
      <c r="E114" s="175" t="n">
        <v>0</v>
      </c>
      <c r="F114" s="175" t="n">
        <v>0</v>
      </c>
      <c r="G114" s="175"/>
      <c r="H114" s="183" t="s">
        <v>134</v>
      </c>
      <c r="I114" s="181" t="n">
        <v>30000</v>
      </c>
      <c r="J114" s="181" t="n">
        <v>0</v>
      </c>
      <c r="K114" s="168" t="n">
        <v>30000</v>
      </c>
      <c r="L114" s="185" t="n">
        <v>30000</v>
      </c>
      <c r="M114" s="181"/>
      <c r="N114" s="135" t="s">
        <v>160</v>
      </c>
      <c r="O114" s="166"/>
    </row>
    <row r="115" customFormat="false" ht="15" hidden="true" customHeight="true" outlineLevel="0" collapsed="false">
      <c r="B115" s="162" t="n">
        <v>2025</v>
      </c>
      <c r="C115" s="163" t="n">
        <v>4</v>
      </c>
      <c r="D115" s="180" t="s">
        <v>59</v>
      </c>
      <c r="E115" s="175" t="s">
        <v>60</v>
      </c>
      <c r="F115" s="175" t="s">
        <v>61</v>
      </c>
      <c r="G115" s="175"/>
      <c r="H115" s="183" t="s">
        <v>133</v>
      </c>
      <c r="I115" s="181" t="n">
        <v>50000</v>
      </c>
      <c r="J115" s="181" t="n">
        <v>30000</v>
      </c>
      <c r="K115" s="168" t="n">
        <v>20000</v>
      </c>
      <c r="L115" s="185" t="n">
        <v>50000</v>
      </c>
      <c r="M115" s="181"/>
      <c r="N115" s="135" t="s">
        <v>160</v>
      </c>
      <c r="O115" s="166"/>
    </row>
    <row r="116" customFormat="false" ht="15" hidden="true" customHeight="true" outlineLevel="0" collapsed="false">
      <c r="B116" s="162" t="n">
        <v>2025</v>
      </c>
      <c r="C116" s="163" t="n">
        <v>4</v>
      </c>
      <c r="D116" s="180" t="s">
        <v>59</v>
      </c>
      <c r="E116" s="175" t="s">
        <v>57</v>
      </c>
      <c r="F116" s="175" t="s">
        <v>153</v>
      </c>
      <c r="G116" s="175"/>
      <c r="H116" s="183" t="s">
        <v>55</v>
      </c>
      <c r="I116" s="181" t="n">
        <v>50000</v>
      </c>
      <c r="J116" s="181" t="n">
        <v>30000</v>
      </c>
      <c r="K116" s="168" t="n">
        <v>20000</v>
      </c>
      <c r="L116" s="185" t="n">
        <v>50000</v>
      </c>
      <c r="M116" s="181"/>
      <c r="N116" s="182"/>
      <c r="O116" s="166"/>
    </row>
    <row r="117" customFormat="false" ht="16.5" hidden="true" customHeight="false" outlineLevel="0" collapsed="false">
      <c r="B117" s="162" t="n">
        <v>2025</v>
      </c>
      <c r="C117" s="163" t="n">
        <v>5</v>
      </c>
      <c r="D117" s="180" t="s">
        <v>56</v>
      </c>
      <c r="E117" s="175" t="s">
        <v>80</v>
      </c>
      <c r="F117" s="175" t="n">
        <v>96358353</v>
      </c>
      <c r="G117" s="175"/>
      <c r="H117" s="166" t="s">
        <v>79</v>
      </c>
      <c r="I117" s="181" t="n">
        <v>57500</v>
      </c>
      <c r="J117" s="181" t="n">
        <v>40000</v>
      </c>
      <c r="K117" s="168" t="n">
        <v>17500</v>
      </c>
      <c r="L117" s="185" t="n">
        <v>57500</v>
      </c>
      <c r="M117" s="181"/>
      <c r="N117" s="182" t="s">
        <v>161</v>
      </c>
      <c r="O117" s="166"/>
    </row>
    <row r="118" customFormat="false" ht="16.5" hidden="true" customHeight="false" outlineLevel="0" collapsed="false">
      <c r="B118" s="162" t="n">
        <v>2025</v>
      </c>
      <c r="C118" s="163" t="n">
        <v>5</v>
      </c>
      <c r="D118" s="180" t="s">
        <v>82</v>
      </c>
      <c r="E118" s="175" t="s">
        <v>83</v>
      </c>
      <c r="F118" s="175" t="n">
        <v>95529415</v>
      </c>
      <c r="G118" s="175"/>
      <c r="H118" s="166" t="s">
        <v>81</v>
      </c>
      <c r="I118" s="181" t="n">
        <v>75000</v>
      </c>
      <c r="J118" s="181" t="n">
        <v>2670</v>
      </c>
      <c r="K118" s="168" t="n">
        <v>72330</v>
      </c>
      <c r="L118" s="185" t="n">
        <v>75000</v>
      </c>
      <c r="M118" s="181"/>
      <c r="N118" s="182"/>
      <c r="O118" s="166"/>
    </row>
    <row r="119" customFormat="false" ht="16.5" hidden="true" customHeight="false" outlineLevel="0" collapsed="false">
      <c r="B119" s="162" t="n">
        <v>2025</v>
      </c>
      <c r="C119" s="163" t="n">
        <v>5</v>
      </c>
      <c r="D119" s="180" t="s">
        <v>56</v>
      </c>
      <c r="E119" s="175" t="s">
        <v>84</v>
      </c>
      <c r="F119" s="175" t="n">
        <v>95787183</v>
      </c>
      <c r="G119" s="175"/>
      <c r="H119" s="166" t="s">
        <v>73</v>
      </c>
      <c r="I119" s="181" t="n">
        <v>22104</v>
      </c>
      <c r="J119" s="181" t="n">
        <v>22104</v>
      </c>
      <c r="K119" s="168" t="n">
        <v>0</v>
      </c>
      <c r="L119" s="185" t="n">
        <v>22104</v>
      </c>
      <c r="M119" s="181"/>
      <c r="N119" s="182"/>
      <c r="O119" s="166"/>
    </row>
    <row r="120" customFormat="false" ht="15" hidden="true" customHeight="true" outlineLevel="0" collapsed="false">
      <c r="B120" s="162" t="n">
        <v>2025</v>
      </c>
      <c r="C120" s="163" t="n">
        <v>5</v>
      </c>
      <c r="D120" s="180" t="s">
        <v>82</v>
      </c>
      <c r="E120" s="175" t="s">
        <v>86</v>
      </c>
      <c r="F120" s="175" t="n">
        <v>95532064</v>
      </c>
      <c r="G120" s="175"/>
      <c r="H120" s="166" t="s">
        <v>85</v>
      </c>
      <c r="I120" s="181" t="n">
        <v>48000</v>
      </c>
      <c r="J120" s="181" t="n">
        <v>1670</v>
      </c>
      <c r="K120" s="168" t="n">
        <v>46330</v>
      </c>
      <c r="L120" s="185" t="n">
        <v>48000</v>
      </c>
      <c r="M120" s="181"/>
      <c r="N120" s="182"/>
      <c r="O120" s="166"/>
    </row>
    <row r="121" customFormat="false" ht="15" hidden="true" customHeight="true" outlineLevel="0" collapsed="false">
      <c r="B121" s="162" t="n">
        <v>2025</v>
      </c>
      <c r="C121" s="163" t="n">
        <v>5</v>
      </c>
      <c r="D121" s="180" t="s">
        <v>82</v>
      </c>
      <c r="E121" s="175" t="s">
        <v>88</v>
      </c>
      <c r="F121" s="175" t="n">
        <v>95532066</v>
      </c>
      <c r="G121" s="175"/>
      <c r="H121" s="166" t="s">
        <v>87</v>
      </c>
      <c r="I121" s="181" t="n">
        <v>52000</v>
      </c>
      <c r="J121" s="181" t="n">
        <v>40000</v>
      </c>
      <c r="K121" s="168" t="n">
        <v>12000</v>
      </c>
      <c r="L121" s="185" t="n">
        <v>52000</v>
      </c>
      <c r="M121" s="181"/>
      <c r="N121" s="182"/>
      <c r="O121" s="166"/>
    </row>
    <row r="122" customFormat="false" ht="15" hidden="true" customHeight="true" outlineLevel="0" collapsed="false">
      <c r="B122" s="162" t="n">
        <v>2025</v>
      </c>
      <c r="C122" s="163" t="n">
        <v>5</v>
      </c>
      <c r="D122" s="180" t="s">
        <v>82</v>
      </c>
      <c r="E122" s="175" t="s">
        <v>90</v>
      </c>
      <c r="F122" s="175" t="n">
        <v>0</v>
      </c>
      <c r="G122" s="175"/>
      <c r="H122" s="166" t="s">
        <v>89</v>
      </c>
      <c r="I122" s="181" t="n">
        <v>34500</v>
      </c>
      <c r="J122" s="181" t="n">
        <v>22104</v>
      </c>
      <c r="K122" s="168" t="n">
        <v>12396</v>
      </c>
      <c r="L122" s="185" t="n">
        <v>34500</v>
      </c>
      <c r="M122" s="181"/>
      <c r="N122" s="182"/>
      <c r="O122" s="166"/>
    </row>
    <row r="123" customFormat="false" ht="15" hidden="true" customHeight="true" outlineLevel="0" collapsed="false">
      <c r="B123" s="162" t="n">
        <v>2025</v>
      </c>
      <c r="C123" s="163" t="n">
        <v>5</v>
      </c>
      <c r="D123" s="180" t="s">
        <v>82</v>
      </c>
      <c r="E123" s="175" t="s">
        <v>92</v>
      </c>
      <c r="F123" s="175" t="n">
        <v>0</v>
      </c>
      <c r="G123" s="175"/>
      <c r="H123" s="166" t="s">
        <v>91</v>
      </c>
      <c r="I123" s="181" t="n">
        <v>34500</v>
      </c>
      <c r="J123" s="181" t="n">
        <v>1603</v>
      </c>
      <c r="K123" s="168" t="n">
        <v>32897</v>
      </c>
      <c r="L123" s="185" t="n">
        <v>34500</v>
      </c>
      <c r="M123" s="181"/>
      <c r="N123" s="182"/>
      <c r="O123" s="166"/>
    </row>
    <row r="124" customFormat="false" ht="16.5" hidden="true" customHeight="false" outlineLevel="0" collapsed="false">
      <c r="B124" s="162" t="n">
        <v>2025</v>
      </c>
      <c r="C124" s="163" t="n">
        <v>5</v>
      </c>
      <c r="D124" s="180" t="s">
        <v>69</v>
      </c>
      <c r="E124" s="175" t="s">
        <v>94</v>
      </c>
      <c r="F124" s="175" t="n">
        <v>95532077</v>
      </c>
      <c r="G124" s="175"/>
      <c r="H124" s="166" t="s">
        <v>93</v>
      </c>
      <c r="I124" s="181" t="n">
        <v>46000</v>
      </c>
      <c r="J124" s="181" t="n">
        <v>2335</v>
      </c>
      <c r="K124" s="168" t="n">
        <v>43665</v>
      </c>
      <c r="L124" s="185" t="n">
        <v>46000</v>
      </c>
      <c r="M124" s="181"/>
      <c r="N124" s="182"/>
      <c r="O124" s="166"/>
    </row>
    <row r="125" customFormat="false" ht="15" hidden="true" customHeight="true" outlineLevel="0" collapsed="false">
      <c r="B125" s="162" t="n">
        <v>2025</v>
      </c>
      <c r="C125" s="163" t="n">
        <v>5</v>
      </c>
      <c r="D125" s="180" t="s">
        <v>34</v>
      </c>
      <c r="E125" s="175" t="s">
        <v>96</v>
      </c>
      <c r="F125" s="175" t="n">
        <v>95693810</v>
      </c>
      <c r="G125" s="175"/>
      <c r="H125" s="166" t="s">
        <v>95</v>
      </c>
      <c r="I125" s="181" t="n">
        <v>43000</v>
      </c>
      <c r="J125" s="181" t="n">
        <v>2000</v>
      </c>
      <c r="K125" s="168" t="n">
        <v>41000</v>
      </c>
      <c r="L125" s="185" t="n">
        <v>43000</v>
      </c>
      <c r="M125" s="181"/>
      <c r="N125" s="182" t="s">
        <v>168</v>
      </c>
      <c r="O125" s="166"/>
    </row>
    <row r="126" customFormat="false" ht="16.5" hidden="true" customHeight="false" outlineLevel="0" collapsed="false">
      <c r="B126" s="162" t="n">
        <v>2025</v>
      </c>
      <c r="C126" s="163" t="n">
        <v>5</v>
      </c>
      <c r="D126" s="180" t="s">
        <v>98</v>
      </c>
      <c r="E126" s="175" t="s">
        <v>99</v>
      </c>
      <c r="F126" s="175" t="s">
        <v>148</v>
      </c>
      <c r="G126" s="175"/>
      <c r="H126" s="166" t="s">
        <v>97</v>
      </c>
      <c r="I126" s="181" t="n">
        <v>57500</v>
      </c>
      <c r="J126" s="181" t="n">
        <v>35000</v>
      </c>
      <c r="K126" s="168" t="n">
        <v>22500</v>
      </c>
      <c r="L126" s="185" t="n">
        <v>57500</v>
      </c>
      <c r="M126" s="181"/>
      <c r="N126" s="182" t="s">
        <v>169</v>
      </c>
      <c r="O126" s="166"/>
    </row>
    <row r="127" customFormat="false" ht="15" hidden="true" customHeight="true" outlineLevel="0" collapsed="false">
      <c r="B127" s="162" t="n">
        <v>2025</v>
      </c>
      <c r="C127" s="163" t="n">
        <v>5</v>
      </c>
      <c r="D127" s="180" t="s">
        <v>51</v>
      </c>
      <c r="E127" s="175" t="s">
        <v>101</v>
      </c>
      <c r="F127" s="175" t="n">
        <v>97189681</v>
      </c>
      <c r="G127" s="175"/>
      <c r="H127" s="166" t="s">
        <v>100</v>
      </c>
      <c r="I127" s="181" t="n">
        <v>40000</v>
      </c>
      <c r="J127" s="181" t="n">
        <v>30000</v>
      </c>
      <c r="K127" s="168" t="n">
        <v>10000</v>
      </c>
      <c r="L127" s="185" t="n">
        <v>40000</v>
      </c>
      <c r="M127" s="181"/>
      <c r="N127" s="182"/>
      <c r="O127" s="166"/>
    </row>
    <row r="128" customFormat="false" ht="15" hidden="true" customHeight="true" outlineLevel="0" collapsed="false">
      <c r="B128" s="162" t="n">
        <v>2025</v>
      </c>
      <c r="C128" s="163" t="n">
        <v>5</v>
      </c>
      <c r="D128" s="180" t="s">
        <v>34</v>
      </c>
      <c r="E128" s="175" t="n">
        <v>0</v>
      </c>
      <c r="F128" s="175" t="n">
        <v>0</v>
      </c>
      <c r="G128" s="175"/>
      <c r="H128" s="166" t="s">
        <v>102</v>
      </c>
      <c r="I128" s="181" t="n">
        <v>40000</v>
      </c>
      <c r="J128" s="181" t="n">
        <v>0</v>
      </c>
      <c r="K128" s="168" t="n">
        <v>40000</v>
      </c>
      <c r="L128" s="185" t="n">
        <v>40000</v>
      </c>
      <c r="M128" s="181"/>
      <c r="N128" s="182"/>
      <c r="O128" s="166"/>
    </row>
    <row r="129" customFormat="false" ht="15" hidden="true" customHeight="true" outlineLevel="0" collapsed="false">
      <c r="B129" s="162" t="n">
        <v>2025</v>
      </c>
      <c r="C129" s="163" t="n">
        <v>5</v>
      </c>
      <c r="D129" s="180" t="s">
        <v>69</v>
      </c>
      <c r="E129" s="175" t="n">
        <v>0</v>
      </c>
      <c r="F129" s="175" t="n">
        <v>0</v>
      </c>
      <c r="G129" s="175"/>
      <c r="H129" s="184" t="s">
        <v>103</v>
      </c>
      <c r="I129" s="181" t="n">
        <v>50000</v>
      </c>
      <c r="J129" s="181" t="n">
        <v>2335</v>
      </c>
      <c r="K129" s="168" t="n">
        <v>47665</v>
      </c>
      <c r="L129" s="185" t="n">
        <v>50000</v>
      </c>
      <c r="M129" s="181"/>
      <c r="N129" s="182"/>
      <c r="O129" s="166"/>
    </row>
    <row r="130" customFormat="false" ht="15" hidden="true" customHeight="true" outlineLevel="0" collapsed="false">
      <c r="B130" s="162" t="n">
        <v>2025</v>
      </c>
      <c r="C130" s="163" t="n">
        <v>5</v>
      </c>
      <c r="D130" s="180" t="s">
        <v>112</v>
      </c>
      <c r="E130" s="175" t="s">
        <v>113</v>
      </c>
      <c r="F130" s="175" t="n">
        <v>0</v>
      </c>
      <c r="G130" s="175"/>
      <c r="H130" s="183" t="s">
        <v>111</v>
      </c>
      <c r="I130" s="181" t="n">
        <v>30000</v>
      </c>
      <c r="J130" s="181" t="n">
        <v>25000</v>
      </c>
      <c r="K130" s="168" t="n">
        <v>5000</v>
      </c>
      <c r="L130" s="181" t="n">
        <v>30000</v>
      </c>
      <c r="M130" s="181"/>
      <c r="N130" s="182"/>
      <c r="O130" s="166"/>
    </row>
    <row r="131" customFormat="false" ht="15" hidden="true" customHeight="true" outlineLevel="0" collapsed="false">
      <c r="B131" s="162" t="n">
        <v>2025</v>
      </c>
      <c r="C131" s="163" t="n">
        <v>5</v>
      </c>
      <c r="D131" s="180" t="s">
        <v>43</v>
      </c>
      <c r="E131" s="175" t="n">
        <v>0</v>
      </c>
      <c r="F131" s="175" t="n">
        <v>0</v>
      </c>
      <c r="G131" s="175"/>
      <c r="H131" s="183" t="s">
        <v>115</v>
      </c>
      <c r="I131" s="181" t="n">
        <v>30000</v>
      </c>
      <c r="J131" s="181" t="n">
        <v>0</v>
      </c>
      <c r="K131" s="168" t="n">
        <v>30000</v>
      </c>
      <c r="L131" s="185" t="n">
        <v>30000</v>
      </c>
      <c r="M131" s="181"/>
      <c r="N131" s="182"/>
      <c r="O131" s="166"/>
    </row>
    <row r="132" customFormat="false" ht="15" hidden="true" customHeight="true" outlineLevel="0" collapsed="false">
      <c r="B132" s="162" t="n">
        <v>2025</v>
      </c>
      <c r="C132" s="163" t="n">
        <v>5</v>
      </c>
      <c r="D132" s="180" t="s">
        <v>34</v>
      </c>
      <c r="E132" s="175" t="n">
        <v>0</v>
      </c>
      <c r="F132" s="175" t="n">
        <v>0</v>
      </c>
      <c r="G132" s="175"/>
      <c r="H132" s="184" t="s">
        <v>48</v>
      </c>
      <c r="I132" s="181" t="n">
        <v>40000</v>
      </c>
      <c r="J132" s="181" t="n">
        <v>0</v>
      </c>
      <c r="K132" s="168" t="n">
        <v>40000</v>
      </c>
      <c r="L132" s="185" t="n">
        <v>40000</v>
      </c>
      <c r="M132" s="181"/>
      <c r="N132" s="182"/>
      <c r="O132" s="166"/>
    </row>
    <row r="133" customFormat="false" ht="15" hidden="true" customHeight="true" outlineLevel="0" collapsed="false">
      <c r="B133" s="162" t="n">
        <v>2025</v>
      </c>
      <c r="C133" s="163" t="n">
        <v>5</v>
      </c>
      <c r="D133" s="180" t="s">
        <v>34</v>
      </c>
      <c r="E133" s="175" t="n">
        <v>0</v>
      </c>
      <c r="F133" s="175" t="n">
        <v>0</v>
      </c>
      <c r="G133" s="175"/>
      <c r="H133" s="184" t="s">
        <v>116</v>
      </c>
      <c r="I133" s="181" t="n">
        <v>43000</v>
      </c>
      <c r="J133" s="181" t="n">
        <v>1603</v>
      </c>
      <c r="K133" s="168" t="n">
        <v>41397</v>
      </c>
      <c r="L133" s="185" t="n">
        <v>43000</v>
      </c>
      <c r="M133" s="181"/>
      <c r="N133" s="182"/>
      <c r="O133" s="166"/>
    </row>
    <row r="134" customFormat="false" ht="15" hidden="true" customHeight="true" outlineLevel="0" collapsed="false">
      <c r="B134" s="162" t="n">
        <v>2025</v>
      </c>
      <c r="C134" s="163" t="n">
        <v>5</v>
      </c>
      <c r="D134" s="180" t="s">
        <v>59</v>
      </c>
      <c r="E134" s="175" t="n">
        <v>0</v>
      </c>
      <c r="F134" s="175" t="n">
        <v>0</v>
      </c>
      <c r="G134" s="175"/>
      <c r="H134" s="184" t="s">
        <v>126</v>
      </c>
      <c r="I134" s="181" t="n">
        <v>30000</v>
      </c>
      <c r="J134" s="181" t="n">
        <v>0</v>
      </c>
      <c r="K134" s="168" t="n">
        <v>30000</v>
      </c>
      <c r="L134" s="181" t="n">
        <v>30000</v>
      </c>
      <c r="M134" s="181"/>
      <c r="N134" s="182" t="s">
        <v>170</v>
      </c>
      <c r="O134" s="166"/>
    </row>
    <row r="135" customFormat="false" ht="15" hidden="true" customHeight="true" outlineLevel="0" collapsed="false">
      <c r="B135" s="162" t="n">
        <v>2025</v>
      </c>
      <c r="C135" s="163" t="n">
        <v>5</v>
      </c>
      <c r="D135" s="180" t="s">
        <v>69</v>
      </c>
      <c r="E135" s="175" t="s">
        <v>108</v>
      </c>
      <c r="F135" s="175" t="n">
        <v>0</v>
      </c>
      <c r="G135" s="175"/>
      <c r="H135" s="186" t="s">
        <v>107</v>
      </c>
      <c r="I135" s="181" t="n">
        <v>50000</v>
      </c>
      <c r="J135" s="181" t="n">
        <v>1603</v>
      </c>
      <c r="K135" s="168" t="n">
        <v>48397</v>
      </c>
      <c r="L135" s="185" t="n">
        <v>50000</v>
      </c>
      <c r="M135" s="181"/>
      <c r="N135" s="182"/>
      <c r="O135" s="189"/>
    </row>
    <row r="136" customFormat="false" ht="15" hidden="true" customHeight="true" outlineLevel="0" collapsed="false">
      <c r="B136" s="162" t="n">
        <v>2025</v>
      </c>
      <c r="C136" s="163" t="n">
        <v>5</v>
      </c>
      <c r="D136" s="180" t="s">
        <v>69</v>
      </c>
      <c r="E136" s="175" t="n">
        <v>0</v>
      </c>
      <c r="F136" s="175" t="n">
        <v>0</v>
      </c>
      <c r="G136" s="175"/>
      <c r="H136" s="184" t="s">
        <v>122</v>
      </c>
      <c r="I136" s="181" t="n">
        <v>50000</v>
      </c>
      <c r="J136" s="181" t="n">
        <v>2335</v>
      </c>
      <c r="K136" s="168" t="n">
        <v>47665</v>
      </c>
      <c r="L136" s="185" t="n">
        <v>50000</v>
      </c>
      <c r="M136" s="181"/>
      <c r="N136" s="182"/>
      <c r="O136" s="189"/>
    </row>
    <row r="137" customFormat="false" ht="15" hidden="true" customHeight="true" outlineLevel="0" collapsed="false">
      <c r="B137" s="162" t="n">
        <v>2025</v>
      </c>
      <c r="C137" s="163" t="n">
        <v>5</v>
      </c>
      <c r="D137" s="180" t="s">
        <v>69</v>
      </c>
      <c r="E137" s="175" t="s">
        <v>120</v>
      </c>
      <c r="F137" s="175" t="n">
        <v>0</v>
      </c>
      <c r="G137" s="175"/>
      <c r="H137" s="195" t="s">
        <v>119</v>
      </c>
      <c r="I137" s="181" t="n">
        <v>50000</v>
      </c>
      <c r="J137" s="181" t="n">
        <v>28000</v>
      </c>
      <c r="K137" s="168" t="n">
        <v>22000</v>
      </c>
      <c r="L137" s="185" t="n">
        <v>50000</v>
      </c>
      <c r="M137" s="181"/>
      <c r="N137" s="182"/>
      <c r="O137" s="189"/>
    </row>
    <row r="138" customFormat="false" ht="16.5" hidden="true" customHeight="false" outlineLevel="0" collapsed="false">
      <c r="B138" s="162" t="n">
        <v>2025</v>
      </c>
      <c r="C138" s="163" t="n">
        <v>5</v>
      </c>
      <c r="D138" s="180" t="s">
        <v>56</v>
      </c>
      <c r="E138" s="175" t="s">
        <v>125</v>
      </c>
      <c r="F138" s="175" t="n">
        <v>0</v>
      </c>
      <c r="G138" s="175"/>
      <c r="H138" s="166" t="s">
        <v>124</v>
      </c>
      <c r="I138" s="181" t="n">
        <v>35000</v>
      </c>
      <c r="J138" s="181" t="n">
        <v>0</v>
      </c>
      <c r="K138" s="168" t="n">
        <v>35000</v>
      </c>
      <c r="L138" s="185" t="n">
        <v>35000</v>
      </c>
      <c r="M138" s="181"/>
      <c r="N138" s="196"/>
      <c r="O138" s="197"/>
    </row>
    <row r="139" customFormat="false" ht="16.5" hidden="true" customHeight="false" outlineLevel="0" collapsed="false">
      <c r="B139" s="162" t="n">
        <v>2025</v>
      </c>
      <c r="C139" s="163" t="n">
        <v>5</v>
      </c>
      <c r="D139" s="180" t="s">
        <v>105</v>
      </c>
      <c r="E139" s="175" t="s">
        <v>106</v>
      </c>
      <c r="F139" s="175" t="n">
        <v>0</v>
      </c>
      <c r="G139" s="175"/>
      <c r="H139" s="166" t="s">
        <v>104</v>
      </c>
      <c r="I139" s="181" t="n">
        <v>15000</v>
      </c>
      <c r="J139" s="181" t="n">
        <v>15000</v>
      </c>
      <c r="K139" s="168" t="n">
        <v>0</v>
      </c>
      <c r="L139" s="185" t="n">
        <v>15000</v>
      </c>
      <c r="M139" s="181"/>
      <c r="N139" s="196" t="s">
        <v>171</v>
      </c>
      <c r="O139" s="197"/>
    </row>
    <row r="140" customFormat="false" ht="15" hidden="true" customHeight="true" outlineLevel="0" collapsed="false">
      <c r="B140" s="162" t="n">
        <v>2025</v>
      </c>
      <c r="C140" s="163" t="n">
        <v>5</v>
      </c>
      <c r="D140" s="180" t="s">
        <v>59</v>
      </c>
      <c r="E140" s="175" t="s">
        <v>132</v>
      </c>
      <c r="F140" s="175" t="s">
        <v>151</v>
      </c>
      <c r="G140" s="175"/>
      <c r="H140" s="184" t="s">
        <v>131</v>
      </c>
      <c r="I140" s="181" t="n">
        <v>30000</v>
      </c>
      <c r="J140" s="181" t="n">
        <v>22104</v>
      </c>
      <c r="K140" s="168" t="n">
        <v>4696</v>
      </c>
      <c r="L140" s="185" t="n">
        <v>26800</v>
      </c>
      <c r="M140" s="181" t="n">
        <v>-3200</v>
      </c>
      <c r="N140" s="182" t="s">
        <v>172</v>
      </c>
      <c r="O140" s="166"/>
    </row>
    <row r="141" customFormat="false" ht="15" hidden="true" customHeight="true" outlineLevel="0" collapsed="false">
      <c r="B141" s="162" t="n">
        <v>2025</v>
      </c>
      <c r="C141" s="163" t="n">
        <v>5</v>
      </c>
      <c r="D141" s="190" t="s">
        <v>59</v>
      </c>
      <c r="E141" s="191" t="n">
        <v>0</v>
      </c>
      <c r="F141" s="191"/>
      <c r="G141" s="175"/>
      <c r="H141" s="186" t="s">
        <v>62</v>
      </c>
      <c r="I141" s="192" t="n">
        <v>30000</v>
      </c>
      <c r="J141" s="192" t="n">
        <v>0</v>
      </c>
      <c r="K141" s="168" t="n">
        <v>30000</v>
      </c>
      <c r="L141" s="185" t="n">
        <v>30000</v>
      </c>
      <c r="M141" s="181"/>
      <c r="N141" s="182"/>
      <c r="O141" s="166"/>
    </row>
    <row r="142" customFormat="false" ht="15" hidden="true" customHeight="true" outlineLevel="0" collapsed="false">
      <c r="B142" s="162" t="n">
        <v>2025</v>
      </c>
      <c r="C142" s="163" t="n">
        <v>5</v>
      </c>
      <c r="D142" s="180" t="s">
        <v>59</v>
      </c>
      <c r="E142" s="175" t="s">
        <v>130</v>
      </c>
      <c r="F142" s="175" t="s">
        <v>152</v>
      </c>
      <c r="G142" s="175"/>
      <c r="H142" s="183" t="s">
        <v>129</v>
      </c>
      <c r="I142" s="181" t="n">
        <v>40000</v>
      </c>
      <c r="J142" s="181" t="n">
        <v>22104</v>
      </c>
      <c r="K142" s="168" t="n">
        <v>17896</v>
      </c>
      <c r="L142" s="185" t="n">
        <v>40000</v>
      </c>
      <c r="M142" s="181"/>
      <c r="N142" s="182"/>
      <c r="O142" s="166"/>
    </row>
    <row r="143" customFormat="false" ht="15" hidden="true" customHeight="true" outlineLevel="0" collapsed="false">
      <c r="B143" s="162" t="n">
        <v>2025</v>
      </c>
      <c r="C143" s="163" t="n">
        <v>5</v>
      </c>
      <c r="D143" s="180" t="s">
        <v>59</v>
      </c>
      <c r="E143" s="175" t="n">
        <v>0</v>
      </c>
      <c r="F143" s="175" t="n">
        <v>0</v>
      </c>
      <c r="G143" s="175"/>
      <c r="H143" s="183" t="s">
        <v>134</v>
      </c>
      <c r="I143" s="181" t="n">
        <v>30000</v>
      </c>
      <c r="J143" s="181" t="n">
        <v>0</v>
      </c>
      <c r="K143" s="168" t="n">
        <v>30000</v>
      </c>
      <c r="L143" s="185" t="n">
        <v>30000</v>
      </c>
      <c r="M143" s="181"/>
      <c r="N143" s="182"/>
      <c r="O143" s="166"/>
    </row>
    <row r="144" customFormat="false" ht="15" hidden="true" customHeight="true" outlineLevel="0" collapsed="false">
      <c r="B144" s="162" t="n">
        <v>2025</v>
      </c>
      <c r="C144" s="163" t="n">
        <v>5</v>
      </c>
      <c r="D144" s="180" t="s">
        <v>59</v>
      </c>
      <c r="E144" s="175" t="s">
        <v>60</v>
      </c>
      <c r="F144" s="175" t="s">
        <v>61</v>
      </c>
      <c r="G144" s="175"/>
      <c r="H144" s="183" t="s">
        <v>133</v>
      </c>
      <c r="I144" s="181" t="n">
        <v>50000</v>
      </c>
      <c r="J144" s="181" t="n">
        <v>30000</v>
      </c>
      <c r="K144" s="168" t="n">
        <v>20000</v>
      </c>
      <c r="L144" s="185" t="n">
        <v>50000</v>
      </c>
      <c r="M144" s="181"/>
      <c r="N144" s="182"/>
      <c r="O144" s="166"/>
    </row>
    <row r="145" customFormat="false" ht="15" hidden="true" customHeight="true" outlineLevel="0" collapsed="false">
      <c r="B145" s="162" t="n">
        <v>2025</v>
      </c>
      <c r="C145" s="163" t="n">
        <v>5</v>
      </c>
      <c r="D145" s="180" t="s">
        <v>59</v>
      </c>
      <c r="E145" s="175" t="s">
        <v>57</v>
      </c>
      <c r="F145" s="175" t="s">
        <v>153</v>
      </c>
      <c r="G145" s="175"/>
      <c r="H145" s="183" t="s">
        <v>55</v>
      </c>
      <c r="I145" s="181" t="n">
        <v>50000</v>
      </c>
      <c r="J145" s="181" t="n">
        <v>30000</v>
      </c>
      <c r="K145" s="168" t="n">
        <v>20000</v>
      </c>
      <c r="L145" s="185" t="n">
        <v>50000</v>
      </c>
      <c r="M145" s="181"/>
      <c r="N145" s="182"/>
      <c r="O145" s="166"/>
    </row>
    <row r="146" customFormat="false" ht="16.5" hidden="false" customHeight="false" outlineLevel="0" collapsed="false">
      <c r="B146" s="162" t="n">
        <v>2025</v>
      </c>
      <c r="C146" s="163" t="n">
        <v>6</v>
      </c>
      <c r="D146" s="180" t="s">
        <v>56</v>
      </c>
      <c r="E146" s="175" t="s">
        <v>80</v>
      </c>
      <c r="F146" s="175" t="n">
        <v>96358353</v>
      </c>
      <c r="G146" s="175" t="n">
        <v>1</v>
      </c>
      <c r="H146" s="166" t="s">
        <v>79</v>
      </c>
      <c r="I146" s="181" t="n">
        <f aca="false">VLOOKUP(H146,PersonelListesi!A$1:G$42,6,FALSE())</f>
        <v>57500</v>
      </c>
      <c r="J146" s="181" t="n">
        <f aca="false">VLOOKUP(H146,PersonelListesi!A$1:G$42,7,FALSE())</f>
        <v>40000</v>
      </c>
      <c r="K146" s="168" t="n">
        <f aca="false">I146-J146+bordro3[[#This Row],[Eld. '[+/-']]]</f>
        <v>15800</v>
      </c>
      <c r="L146" s="185" t="n">
        <f aca="false">bordro3[[#This Row],[E.]]+bordro3[[#This Row],[SGK-BNK]]</f>
        <v>55800</v>
      </c>
      <c r="M146" s="181" t="n">
        <v>-1700</v>
      </c>
      <c r="N146" s="182" t="s">
        <v>173</v>
      </c>
      <c r="O146" s="166"/>
    </row>
    <row r="147" customFormat="false" ht="16.5" hidden="false" customHeight="false" outlineLevel="0" collapsed="false">
      <c r="B147" s="162" t="n">
        <v>2025</v>
      </c>
      <c r="C147" s="163" t="n">
        <v>6</v>
      </c>
      <c r="D147" s="180" t="str">
        <f aca="false">VLOOKUP(H147,PersonelListesi!A$1:K$46,4,FALSE())</f>
        <v>_D.ELEMAN</v>
      </c>
      <c r="E147" s="175" t="e">
        <f aca="false">VLOOKUP(H147,PersonelListesi!A$1:K$46,13,FALSE())</f>
        <v>#VALUE!</v>
      </c>
      <c r="F147" s="175" t="e">
        <f aca="false">VLOOKUP(H147,PersonelListesi!A$1:K$46,14,FALSE())</f>
        <v>#VALUE!</v>
      </c>
      <c r="G147" s="175" t="n">
        <v>0</v>
      </c>
      <c r="H147" s="166" t="s">
        <v>81</v>
      </c>
      <c r="I147" s="181" t="n">
        <f aca="false">VLOOKUP(H147,PersonelListesi!A$1:G$42,6,FALSE())</f>
        <v>75000</v>
      </c>
      <c r="J147" s="181" t="n">
        <f aca="false">VLOOKUP(H147,PersonelListesi!A$1:G$42,7,FALSE())</f>
        <v>2670</v>
      </c>
      <c r="K147" s="168" t="n">
        <f aca="false">I147-J147+bordro3[[#This Row],[Eld. '[+/-']]]</f>
        <v>72330</v>
      </c>
      <c r="L147" s="185" t="n">
        <f aca="false">bordro3[[#This Row],[E.]]+bordro3[[#This Row],[SGK-BNK]]</f>
        <v>75000</v>
      </c>
      <c r="M147" s="181"/>
      <c r="N147" s="182" t="s">
        <v>174</v>
      </c>
      <c r="O147" s="166"/>
    </row>
    <row r="148" customFormat="false" ht="16.5" hidden="false" customHeight="false" outlineLevel="0" collapsed="false">
      <c r="B148" s="162" t="n">
        <v>2025</v>
      </c>
      <c r="C148" s="163" t="n">
        <v>6</v>
      </c>
      <c r="D148" s="180" t="str">
        <f aca="false">VLOOKUP(H148,PersonelListesi!A$1:K$46,4,FALSE())</f>
        <v>_MUHASEBE</v>
      </c>
      <c r="E148" s="175" t="e">
        <f aca="false">VLOOKUP(H148,PersonelListesi!A$1:K$46,13,FALSE())</f>
        <v>#VALUE!</v>
      </c>
      <c r="F148" s="175" t="e">
        <f aca="false">VLOOKUP(H148,PersonelListesi!A$1:K$46,14,FALSE())</f>
        <v>#VALUE!</v>
      </c>
      <c r="G148" s="175" t="n">
        <v>1</v>
      </c>
      <c r="H148" s="166" t="s">
        <v>73</v>
      </c>
      <c r="I148" s="181" t="n">
        <f aca="false">VLOOKUP(H148,PersonelListesi!A$1:G$42,6,FALSE())</f>
        <v>22104</v>
      </c>
      <c r="J148" s="181" t="n">
        <f aca="false">VLOOKUP(H148,PersonelListesi!A$1:G$42,7,FALSE())</f>
        <v>22104</v>
      </c>
      <c r="K148" s="168" t="n">
        <f aca="false">I148-J148+bordro3[[#This Row],[Eld. '[+/-']]]</f>
        <v>0</v>
      </c>
      <c r="L148" s="185" t="n">
        <f aca="false">bordro3[[#This Row],[E.]]+bordro3[[#This Row],[SGK-BNK]]</f>
        <v>22104</v>
      </c>
      <c r="M148" s="181"/>
      <c r="N148" s="182"/>
      <c r="O148" s="166"/>
    </row>
    <row r="149" customFormat="false" ht="15" hidden="false" customHeight="true" outlineLevel="0" collapsed="false">
      <c r="B149" s="162" t="n">
        <v>2025</v>
      </c>
      <c r="C149" s="163" t="n">
        <v>6</v>
      </c>
      <c r="D149" s="180" t="str">
        <f aca="false">VLOOKUP(H149,PersonelListesi!A$1:K$46,4,FALSE())</f>
        <v>_D.ELEMAN</v>
      </c>
      <c r="E149" s="175" t="e">
        <f aca="false">VLOOKUP(H149,PersonelListesi!A$1:K$46,13,FALSE())</f>
        <v>#VALUE!</v>
      </c>
      <c r="F149" s="175" t="e">
        <f aca="false">VLOOKUP(H149,PersonelListesi!A$1:K$46,14,FALSE())</f>
        <v>#VALUE!</v>
      </c>
      <c r="G149" s="175" t="n">
        <v>1</v>
      </c>
      <c r="H149" s="166" t="s">
        <v>85</v>
      </c>
      <c r="I149" s="181" t="n">
        <f aca="false">VLOOKUP(H149,PersonelListesi!A$1:G$42,6,FALSE())</f>
        <v>48000</v>
      </c>
      <c r="J149" s="181" t="n">
        <f aca="false">VLOOKUP(H149,PersonelListesi!A$1:G$42,7,FALSE())</f>
        <v>1670</v>
      </c>
      <c r="K149" s="168" t="n">
        <f aca="false">I149-J149+bordro3[[#This Row],[Eld. '[+/-']]]</f>
        <v>46330</v>
      </c>
      <c r="L149" s="185" t="n">
        <f aca="false">bordro3[[#This Row],[E.]]+bordro3[[#This Row],[SGK-BNK]]</f>
        <v>48000</v>
      </c>
      <c r="M149" s="181"/>
      <c r="N149" s="182"/>
      <c r="O149" s="166"/>
    </row>
    <row r="150" customFormat="false" ht="15" hidden="false" customHeight="true" outlineLevel="0" collapsed="false">
      <c r="B150" s="162" t="n">
        <v>2025</v>
      </c>
      <c r="C150" s="163" t="n">
        <v>6</v>
      </c>
      <c r="D150" s="180" t="str">
        <f aca="false">VLOOKUP(H150,PersonelListesi!A$1:K$46,4,FALSE())</f>
        <v>_D.ELEMAN</v>
      </c>
      <c r="E150" s="175" t="e">
        <f aca="false">VLOOKUP(H150,PersonelListesi!A$1:K$46,13,FALSE())</f>
        <v>#VALUE!</v>
      </c>
      <c r="F150" s="175" t="e">
        <f aca="false">VLOOKUP(H150,PersonelListesi!A$1:K$46,14,FALSE())</f>
        <v>#VALUE!</v>
      </c>
      <c r="G150" s="175" t="n">
        <v>1</v>
      </c>
      <c r="H150" s="166" t="s">
        <v>87</v>
      </c>
      <c r="I150" s="181" t="n">
        <f aca="false">VLOOKUP(H150,PersonelListesi!A$1:G$42,6,FALSE())</f>
        <v>52000</v>
      </c>
      <c r="J150" s="181" t="n">
        <f aca="false">VLOOKUP(H150,PersonelListesi!A$1:G$42,7,FALSE())</f>
        <v>40000</v>
      </c>
      <c r="K150" s="168" t="n">
        <f aca="false">I150-J150+bordro3[[#This Row],[Eld. '[+/-']]]</f>
        <v>12000</v>
      </c>
      <c r="L150" s="185" t="n">
        <f aca="false">bordro3[[#This Row],[E.]]+bordro3[[#This Row],[SGK-BNK]]</f>
        <v>52000</v>
      </c>
      <c r="M150" s="181"/>
      <c r="N150" s="182"/>
      <c r="O150" s="166"/>
    </row>
    <row r="151" customFormat="false" ht="15" hidden="false" customHeight="true" outlineLevel="0" collapsed="false">
      <c r="B151" s="162" t="n">
        <v>2025</v>
      </c>
      <c r="C151" s="163" t="n">
        <v>6</v>
      </c>
      <c r="D151" s="180" t="str">
        <f aca="false">VLOOKUP(H151,PersonelListesi!A$1:K$46,4,FALSE())</f>
        <v>_D.ELEMAN</v>
      </c>
      <c r="E151" s="175" t="e">
        <f aca="false">VLOOKUP(H151,PersonelListesi!A$1:K$46,13,FALSE())</f>
        <v>#VALUE!</v>
      </c>
      <c r="F151" s="175" t="e">
        <f aca="false">VLOOKUP(H151,PersonelListesi!A$1:K$46,14,FALSE())</f>
        <v>#VALUE!</v>
      </c>
      <c r="G151" s="175" t="n">
        <v>1</v>
      </c>
      <c r="H151" s="166" t="s">
        <v>89</v>
      </c>
      <c r="I151" s="181" t="n">
        <f aca="false">VLOOKUP(H151,PersonelListesi!A$1:G$42,6,FALSE())</f>
        <v>34500</v>
      </c>
      <c r="J151" s="181" t="n">
        <f aca="false">VLOOKUP(H151,PersonelListesi!A$1:G$42,7,FALSE())</f>
        <v>22104</v>
      </c>
      <c r="K151" s="168" t="n">
        <f aca="false">I151-J151+bordro3[[#This Row],[Eld. '[+/-']]]</f>
        <v>12396</v>
      </c>
      <c r="L151" s="185" t="n">
        <f aca="false">bordro3[[#This Row],[E.]]+bordro3[[#This Row],[SGK-BNK]]</f>
        <v>34500</v>
      </c>
      <c r="M151" s="181"/>
      <c r="N151" s="182"/>
      <c r="O151" s="166"/>
    </row>
    <row r="152" customFormat="false" ht="15" hidden="false" customHeight="true" outlineLevel="0" collapsed="false">
      <c r="B152" s="162" t="n">
        <v>2025</v>
      </c>
      <c r="C152" s="163" t="n">
        <v>6</v>
      </c>
      <c r="D152" s="180" t="str">
        <f aca="false">VLOOKUP(H152,PersonelListesi!A$1:K$46,4,FALSE())</f>
        <v>_D.ELEMAN</v>
      </c>
      <c r="E152" s="175" t="e">
        <f aca="false">VLOOKUP(H152,PersonelListesi!A$1:K$46,13,FALSE())</f>
        <v>#VALUE!</v>
      </c>
      <c r="F152" s="175" t="e">
        <f aca="false">VLOOKUP(H152,PersonelListesi!A$1:K$46,14,FALSE())</f>
        <v>#VALUE!</v>
      </c>
      <c r="G152" s="175" t="n">
        <v>1</v>
      </c>
      <c r="H152" s="166" t="s">
        <v>91</v>
      </c>
      <c r="I152" s="181" t="n">
        <f aca="false">VLOOKUP(H152,PersonelListesi!A$1:G$42,6,FALSE())</f>
        <v>34500</v>
      </c>
      <c r="J152" s="181" t="n">
        <f aca="false">VLOOKUP(H152,PersonelListesi!A$1:G$42,7,FALSE())</f>
        <v>1603</v>
      </c>
      <c r="K152" s="168" t="n">
        <f aca="false">I152-J152+bordro3[[#This Row],[Eld. '[+/-']]]</f>
        <v>32897</v>
      </c>
      <c r="L152" s="185" t="n">
        <f aca="false">bordro3[[#This Row],[E.]]+bordro3[[#This Row],[SGK-BNK]]</f>
        <v>34500</v>
      </c>
      <c r="M152" s="181"/>
      <c r="N152" s="182" t="s">
        <v>176</v>
      </c>
      <c r="O152" s="166"/>
    </row>
    <row r="153" customFormat="false" ht="15" hidden="false" customHeight="true" outlineLevel="0" collapsed="false">
      <c r="B153" s="162" t="n">
        <v>2025</v>
      </c>
      <c r="C153" s="163" t="n">
        <v>6</v>
      </c>
      <c r="D153" s="180" t="str">
        <f aca="false">VLOOKUP(H153,PersonelListesi!A$1:K$46,4,FALSE())</f>
        <v>_OPERATÖR</v>
      </c>
      <c r="E153" s="175" t="e">
        <f aca="false">VLOOKUP(H153,PersonelListesi!A$1:K$46,13,FALSE())</f>
        <v>#VALUE!</v>
      </c>
      <c r="F153" s="175" t="e">
        <f aca="false">VLOOKUP(H153,PersonelListesi!A$1:K$46,14,FALSE())</f>
        <v>#VALUE!</v>
      </c>
      <c r="G153" s="175" t="n">
        <v>1</v>
      </c>
      <c r="H153" s="166" t="s">
        <v>93</v>
      </c>
      <c r="I153" s="181" t="n">
        <f aca="false">VLOOKUP(H153,PersonelListesi!A$1:G$42,6,FALSE())</f>
        <v>46000</v>
      </c>
      <c r="J153" s="181" t="n">
        <f aca="false">VLOOKUP(H153,PersonelListesi!A$1:G$42,7,FALSE())</f>
        <v>2335</v>
      </c>
      <c r="K153" s="168" t="n">
        <f aca="false">I153-J153+bordro3[[#This Row],[Eld. '[+/-']]]</f>
        <v>43665</v>
      </c>
      <c r="L153" s="185" t="n">
        <f aca="false">bordro3[[#This Row],[E.]]+bordro3[[#This Row],[SGK-BNK]]</f>
        <v>46000</v>
      </c>
      <c r="M153" s="181"/>
      <c r="N153" s="182"/>
      <c r="O153" s="166"/>
    </row>
    <row r="154" customFormat="false" ht="15" hidden="false" customHeight="true" outlineLevel="0" collapsed="false">
      <c r="B154" s="162" t="n">
        <v>2025</v>
      </c>
      <c r="C154" s="163" t="n">
        <v>6</v>
      </c>
      <c r="D154" s="180" t="str">
        <f aca="false">VLOOKUP(H154,PersonelListesi!A$1:K$46,4,FALSE())</f>
        <v>_ŞOFÖR</v>
      </c>
      <c r="E154" s="175" t="e">
        <f aca="false">VLOOKUP(H154,PersonelListesi!A$1:K$46,13,FALSE())</f>
        <v>#VALUE!</v>
      </c>
      <c r="F154" s="175" t="e">
        <f aca="false">VLOOKUP(H154,PersonelListesi!A$1:K$46,14,FALSE())</f>
        <v>#VALUE!</v>
      </c>
      <c r="G154" s="175" t="n">
        <v>1</v>
      </c>
      <c r="H154" s="166" t="s">
        <v>95</v>
      </c>
      <c r="I154" s="181" t="n">
        <f aca="false">VLOOKUP(H154,PersonelListesi!A$1:G$42,6,FALSE())</f>
        <v>43000</v>
      </c>
      <c r="J154" s="181" t="n">
        <f aca="false">VLOOKUP(H154,PersonelListesi!A$1:G$42,7,FALSE())</f>
        <v>2000</v>
      </c>
      <c r="K154" s="168" t="n">
        <f aca="false">I154-J154+bordro3[[#This Row],[Eld. '[+/-']]]</f>
        <v>41000</v>
      </c>
      <c r="L154" s="185" t="n">
        <f aca="false">bordro3[[#This Row],[E.]]+bordro3[[#This Row],[SGK-BNK]]</f>
        <v>43000</v>
      </c>
      <c r="M154" s="181"/>
      <c r="N154" s="182"/>
      <c r="O154" s="166"/>
    </row>
    <row r="155" customFormat="false" ht="15" hidden="false" customHeight="true" outlineLevel="0" collapsed="false">
      <c r="B155" s="162" t="n">
        <v>2025</v>
      </c>
      <c r="C155" s="163" t="n">
        <v>6</v>
      </c>
      <c r="D155" s="180" t="str">
        <f aca="false">VLOOKUP(H155,PersonelListesi!A$1:K$46,4,FALSE())</f>
        <v>_MÜHNEDİS</v>
      </c>
      <c r="E155" s="175" t="e">
        <f aca="false">VLOOKUP(H155,PersonelListesi!A$1:K$46,13,FALSE())</f>
        <v>#VALUE!</v>
      </c>
      <c r="F155" s="175" t="e">
        <f aca="false">VLOOKUP(H155,PersonelListesi!A$1:K$46,14,FALSE())</f>
        <v>#VALUE!</v>
      </c>
      <c r="G155" s="175" t="n">
        <v>1</v>
      </c>
      <c r="H155" s="166" t="s">
        <v>97</v>
      </c>
      <c r="I155" s="181" t="n">
        <f aca="false">VLOOKUP(H155,PersonelListesi!A$1:G$42,6,FALSE())</f>
        <v>57500</v>
      </c>
      <c r="J155" s="181" t="n">
        <f aca="false">VLOOKUP(H155,PersonelListesi!A$1:G$42,7,FALSE())</f>
        <v>35000</v>
      </c>
      <c r="K155" s="168" t="n">
        <f aca="false">I155-J155+bordro3[[#This Row],[Eld. '[+/-']]]</f>
        <v>22500</v>
      </c>
      <c r="L155" s="185" t="n">
        <f aca="false">bordro3[[#This Row],[E.]]+bordro3[[#This Row],[SGK-BNK]]</f>
        <v>57500</v>
      </c>
      <c r="M155" s="181"/>
      <c r="N155" s="182"/>
      <c r="O155" s="166"/>
    </row>
    <row r="156" customFormat="false" ht="15" hidden="false" customHeight="true" outlineLevel="0" collapsed="false">
      <c r="B156" s="162" t="n">
        <v>2025</v>
      </c>
      <c r="C156" s="163" t="n">
        <v>6</v>
      </c>
      <c r="D156" s="180" t="str">
        <f aca="false">VLOOKUP(H156,PersonelListesi!A$1:K$46,4,FALSE())</f>
        <v>_KANTAR</v>
      </c>
      <c r="E156" s="175" t="e">
        <f aca="false">VLOOKUP(H156,PersonelListesi!A$1:K$46,13,FALSE())</f>
        <v>#VALUE!</v>
      </c>
      <c r="F156" s="175" t="e">
        <f aca="false">VLOOKUP(H156,PersonelListesi!A$1:K$46,14,FALSE())</f>
        <v>#VALUE!</v>
      </c>
      <c r="G156" s="175" t="n">
        <v>1</v>
      </c>
      <c r="H156" s="166" t="s">
        <v>100</v>
      </c>
      <c r="I156" s="181" t="n">
        <f aca="false">VLOOKUP(H156,PersonelListesi!A$1:G$42,6,FALSE())</f>
        <v>40000</v>
      </c>
      <c r="J156" s="181" t="n">
        <f aca="false">VLOOKUP(H156,PersonelListesi!A$1:G$42,7,FALSE())</f>
        <v>33000</v>
      </c>
      <c r="K156" s="168" t="n">
        <f aca="false">I156-J156+bordro3[[#This Row],[Eld. '[+/-']]]</f>
        <v>7000</v>
      </c>
      <c r="L156" s="185" t="n">
        <f aca="false">bordro3[[#This Row],[E.]]+bordro3[[#This Row],[SGK-BNK]]</f>
        <v>40000</v>
      </c>
      <c r="M156" s="181"/>
      <c r="N156" s="182"/>
      <c r="O156" s="166"/>
    </row>
    <row r="157" customFormat="false" ht="15" hidden="false" customHeight="true" outlineLevel="0" collapsed="false">
      <c r="B157" s="162" t="n">
        <v>2025</v>
      </c>
      <c r="C157" s="163" t="n">
        <v>6</v>
      </c>
      <c r="D157" s="180" t="str">
        <f aca="false">VLOOKUP(H157,PersonelListesi!A$1:K$46,4,FALSE())</f>
        <v>_ŞOFÖR</v>
      </c>
      <c r="E157" s="175" t="e">
        <f aca="false">VLOOKUP(H157,PersonelListesi!A$1:K$46,13,FALSE())</f>
        <v>#VALUE!</v>
      </c>
      <c r="F157" s="175" t="e">
        <f aca="false">VLOOKUP(H157,PersonelListesi!A$1:K$46,14,FALSE())</f>
        <v>#VALUE!</v>
      </c>
      <c r="G157" s="175" t="n">
        <v>1</v>
      </c>
      <c r="H157" s="166" t="s">
        <v>102</v>
      </c>
      <c r="I157" s="181" t="n">
        <f aca="false">VLOOKUP(H157,PersonelListesi!A$1:G$42,6,FALSE())</f>
        <v>40000</v>
      </c>
      <c r="J157" s="181" t="n">
        <f aca="false">VLOOKUP(H157,PersonelListesi!A$1:G$42,7,FALSE())</f>
        <v>0</v>
      </c>
      <c r="K157" s="168" t="n">
        <f aca="false">I157-J157+bordro3[[#This Row],[Eld. '[+/-']]]</f>
        <v>40000</v>
      </c>
      <c r="L157" s="185" t="n">
        <f aca="false">bordro3[[#This Row],[E.]]+bordro3[[#This Row],[SGK-BNK]]</f>
        <v>40000</v>
      </c>
      <c r="M157" s="181"/>
      <c r="N157" s="182"/>
      <c r="O157" s="166"/>
    </row>
    <row r="158" customFormat="false" ht="15" hidden="false" customHeight="true" outlineLevel="0" collapsed="false">
      <c r="B158" s="162" t="n">
        <v>2025</v>
      </c>
      <c r="C158" s="163" t="n">
        <v>6</v>
      </c>
      <c r="D158" s="180" t="str">
        <f aca="false">VLOOKUP(H158,PersonelListesi!A$1:K$46,4,FALSE())</f>
        <v>_OPERATÖR</v>
      </c>
      <c r="E158" s="175" t="e">
        <f aca="false">VLOOKUP(H158,PersonelListesi!A$1:K$46,13,FALSE())</f>
        <v>#VALUE!</v>
      </c>
      <c r="F158" s="175" t="e">
        <f aca="false">VLOOKUP(H158,PersonelListesi!A$1:K$46,14,FALSE())</f>
        <v>#VALUE!</v>
      </c>
      <c r="G158" s="175" t="n">
        <v>1</v>
      </c>
      <c r="H158" s="166" t="s">
        <v>103</v>
      </c>
      <c r="I158" s="181" t="n">
        <f aca="false">VLOOKUP(H158,PersonelListesi!A$1:G$42,6,FALSE())</f>
        <v>50000</v>
      </c>
      <c r="J158" s="181" t="n">
        <f aca="false">VLOOKUP(H158,PersonelListesi!A$1:G$42,7,FALSE())</f>
        <v>2335</v>
      </c>
      <c r="K158" s="168" t="n">
        <f aca="false">I158-J158+bordro3[[#This Row],[Eld. '[+/-']]]</f>
        <v>47665</v>
      </c>
      <c r="L158" s="185" t="n">
        <f aca="false">bordro3[[#This Row],[E.]]+bordro3[[#This Row],[SGK-BNK]]</f>
        <v>50000</v>
      </c>
      <c r="M158" s="181"/>
      <c r="N158" s="182"/>
      <c r="O158" s="166"/>
    </row>
    <row r="159" customFormat="false" ht="15" hidden="false" customHeight="true" outlineLevel="0" collapsed="false">
      <c r="B159" s="162" t="n">
        <v>2025</v>
      </c>
      <c r="C159" s="163" t="n">
        <v>6</v>
      </c>
      <c r="D159" s="180" t="str">
        <f aca="false">VLOOKUP(H159,PersonelListesi!A$1:K$46,4,FALSE())</f>
        <v>_MUTFAK</v>
      </c>
      <c r="E159" s="175" t="e">
        <f aca="false">VLOOKUP(H159,PersonelListesi!A$1:K$46,13,FALSE())</f>
        <v>#VALUE!</v>
      </c>
      <c r="F159" s="175" t="e">
        <f aca="false">VLOOKUP(H159,PersonelListesi!A$1:K$46,14,FALSE())</f>
        <v>#VALUE!</v>
      </c>
      <c r="G159" s="175" t="n">
        <v>1</v>
      </c>
      <c r="H159" s="166" t="s">
        <v>111</v>
      </c>
      <c r="I159" s="181" t="n">
        <f aca="false">VLOOKUP(H159,PersonelListesi!A$1:G$42,6,FALSE())</f>
        <v>30000</v>
      </c>
      <c r="J159" s="181" t="n">
        <f aca="false">VLOOKUP(H159,PersonelListesi!A$1:G$42,7,FALSE())</f>
        <v>25000</v>
      </c>
      <c r="K159" s="168" t="n">
        <f aca="false">I159-J159+bordro3[[#This Row],[Eld. '[+/-']]]</f>
        <v>-5000</v>
      </c>
      <c r="L159" s="185" t="n">
        <f aca="false">bordro3[[#This Row],[E.]]+bordro3[[#This Row],[SGK-BNK]]</f>
        <v>20000</v>
      </c>
      <c r="M159" s="181" t="n">
        <v>-10000</v>
      </c>
      <c r="N159" s="182" t="s">
        <v>173</v>
      </c>
      <c r="O159" s="166"/>
    </row>
    <row r="160" customFormat="false" ht="15" hidden="false" customHeight="true" outlineLevel="0" collapsed="false">
      <c r="B160" s="162" t="n">
        <v>2025</v>
      </c>
      <c r="C160" s="163" t="n">
        <v>6</v>
      </c>
      <c r="D160" s="180" t="str">
        <f aca="false">VLOOKUP(H160,PersonelListesi!A$1:K$46,4,FALSE())</f>
        <v>_BEKÇİ</v>
      </c>
      <c r="E160" s="175" t="e">
        <f aca="false">VLOOKUP(H160,PersonelListesi!A$1:K$46,13,FALSE())</f>
        <v>#VALUE!</v>
      </c>
      <c r="F160" s="175" t="e">
        <f aca="false">VLOOKUP(H160,PersonelListesi!A$1:K$46,14,FALSE())</f>
        <v>#VALUE!</v>
      </c>
      <c r="G160" s="175" t="n">
        <v>1</v>
      </c>
      <c r="H160" s="166" t="s">
        <v>115</v>
      </c>
      <c r="I160" s="181" t="n">
        <f aca="false">VLOOKUP(H160,PersonelListesi!A$1:G$42,6,FALSE())</f>
        <v>30000</v>
      </c>
      <c r="J160" s="181" t="n">
        <f aca="false">VLOOKUP(H160,PersonelListesi!A$1:G$42,7,FALSE())</f>
        <v>0</v>
      </c>
      <c r="K160" s="168" t="n">
        <f aca="false">I160-J160+bordro3[[#This Row],[Eld. '[+/-']]]</f>
        <v>30000</v>
      </c>
      <c r="L160" s="185" t="n">
        <f aca="false">bordro3[[#This Row],[E.]]+bordro3[[#This Row],[SGK-BNK]]</f>
        <v>30000</v>
      </c>
      <c r="M160" s="181"/>
      <c r="N160" s="182"/>
      <c r="O160" s="166"/>
    </row>
    <row r="161" customFormat="false" ht="15" hidden="false" customHeight="true" outlineLevel="0" collapsed="false">
      <c r="B161" s="162" t="n">
        <v>2025</v>
      </c>
      <c r="C161" s="163" t="n">
        <v>6</v>
      </c>
      <c r="D161" s="180" t="str">
        <f aca="false">VLOOKUP(H161,PersonelListesi!A$1:K$46,4,FALSE())</f>
        <v>_ŞOFÖR</v>
      </c>
      <c r="E161" s="175" t="e">
        <f aca="false">VLOOKUP(H161,PersonelListesi!A$1:K$46,13,FALSE())</f>
        <v>#VALUE!</v>
      </c>
      <c r="F161" s="175" t="e">
        <f aca="false">VLOOKUP(H161,PersonelListesi!A$1:K$46,14,FALSE())</f>
        <v>#VALUE!</v>
      </c>
      <c r="G161" s="175" t="n">
        <v>1</v>
      </c>
      <c r="H161" s="166" t="s">
        <v>116</v>
      </c>
      <c r="I161" s="181" t="n">
        <f aca="false">VLOOKUP(H161,PersonelListesi!A$1:G$42,6,FALSE())</f>
        <v>43000</v>
      </c>
      <c r="J161" s="181" t="n">
        <f aca="false">VLOOKUP(H161,PersonelListesi!A$1:G$42,7,FALSE())</f>
        <v>1603</v>
      </c>
      <c r="K161" s="168" t="n">
        <f aca="false">I161-J161+bordro3[[#This Row],[Eld. '[+/-']]]</f>
        <v>41397</v>
      </c>
      <c r="L161" s="185" t="n">
        <f aca="false">bordro3[[#This Row],[E.]]+bordro3[[#This Row],[SGK-BNK]]</f>
        <v>43000</v>
      </c>
      <c r="M161" s="181"/>
      <c r="N161" s="182"/>
      <c r="O161" s="166"/>
    </row>
    <row r="162" customFormat="false" ht="15" hidden="false" customHeight="true" outlineLevel="0" collapsed="false">
      <c r="B162" s="162" t="n">
        <v>2025</v>
      </c>
      <c r="C162" s="163" t="n">
        <v>6</v>
      </c>
      <c r="D162" s="180" t="str">
        <f aca="false">VLOOKUP(H162,PersonelListesi!A$1:K$46,4,FALSE())</f>
        <v>_OPERATÖR</v>
      </c>
      <c r="E162" s="175" t="e">
        <f aca="false">VLOOKUP(H162,PersonelListesi!A$1:K$46,13,FALSE())</f>
        <v>#VALUE!</v>
      </c>
      <c r="F162" s="175" t="e">
        <f aca="false">VLOOKUP(H162,PersonelListesi!A$1:K$46,14,FALSE())</f>
        <v>#VALUE!</v>
      </c>
      <c r="G162" s="175" t="n">
        <v>1</v>
      </c>
      <c r="H162" s="166" t="s">
        <v>107</v>
      </c>
      <c r="I162" s="181" t="n">
        <f aca="false">VLOOKUP(H162,PersonelListesi!A$1:G$42,6,FALSE())</f>
        <v>50000</v>
      </c>
      <c r="J162" s="181" t="n">
        <f aca="false">VLOOKUP(H162,PersonelListesi!A$1:G$42,7,FALSE())</f>
        <v>1603</v>
      </c>
      <c r="K162" s="168" t="n">
        <f aca="false">I162-J162+bordro3[[#This Row],[Eld. '[+/-']]]</f>
        <v>48397</v>
      </c>
      <c r="L162" s="185" t="n">
        <f aca="false">bordro3[[#This Row],[E.]]+bordro3[[#This Row],[SGK-BNK]]</f>
        <v>50000</v>
      </c>
      <c r="M162" s="181"/>
      <c r="N162" s="182"/>
      <c r="O162" s="166"/>
    </row>
    <row r="163" customFormat="false" ht="15" hidden="false" customHeight="true" outlineLevel="0" collapsed="false">
      <c r="B163" s="162" t="n">
        <v>2025</v>
      </c>
      <c r="C163" s="163" t="n">
        <v>6</v>
      </c>
      <c r="D163" s="180" t="str">
        <f aca="false">VLOOKUP(H163,PersonelListesi!A$1:K$46,4,FALSE())</f>
        <v>_OPERATÖR</v>
      </c>
      <c r="E163" s="175" t="e">
        <f aca="false">VLOOKUP(H163,PersonelListesi!A$1:K$46,13,FALSE())</f>
        <v>#VALUE!</v>
      </c>
      <c r="F163" s="175" t="e">
        <f aca="false">VLOOKUP(H163,PersonelListesi!A$1:K$46,14,FALSE())</f>
        <v>#VALUE!</v>
      </c>
      <c r="G163" s="175" t="n">
        <v>1</v>
      </c>
      <c r="H163" s="166" t="s">
        <v>122</v>
      </c>
      <c r="I163" s="181" t="n">
        <f aca="false">VLOOKUP(H163,PersonelListesi!A$1:G$42,6,FALSE())</f>
        <v>50000</v>
      </c>
      <c r="J163" s="181" t="n">
        <f aca="false">VLOOKUP(H163,PersonelListesi!A$1:G$42,7,FALSE())</f>
        <v>2335</v>
      </c>
      <c r="K163" s="168" t="n">
        <f aca="false">I163-J163+bordro3[[#This Row],[Eld. '[+/-']]]</f>
        <v>47665</v>
      </c>
      <c r="L163" s="185" t="n">
        <f aca="false">bordro3[[#This Row],[E.]]+bordro3[[#This Row],[SGK-BNK]]</f>
        <v>50000</v>
      </c>
      <c r="M163" s="181"/>
      <c r="N163" s="182"/>
      <c r="O163" s="166"/>
    </row>
    <row r="164" customFormat="false" ht="15" hidden="false" customHeight="true" outlineLevel="0" collapsed="false">
      <c r="B164" s="162" t="n">
        <v>2025</v>
      </c>
      <c r="C164" s="163" t="n">
        <v>6</v>
      </c>
      <c r="D164" s="180" t="str">
        <f aca="false">VLOOKUP(H164,PersonelListesi!A$1:K$46,4,FALSE())</f>
        <v>_OPERATÖR</v>
      </c>
      <c r="E164" s="175" t="e">
        <f aca="false">VLOOKUP(H164,PersonelListesi!A$1:K$46,13,FALSE())</f>
        <v>#VALUE!</v>
      </c>
      <c r="F164" s="175" t="e">
        <f aca="false">VLOOKUP(H164,PersonelListesi!A$1:K$46,14,FALSE())</f>
        <v>#VALUE!</v>
      </c>
      <c r="G164" s="175" t="n">
        <v>1</v>
      </c>
      <c r="H164" s="166" t="s">
        <v>119</v>
      </c>
      <c r="I164" s="181" t="n">
        <f aca="false">VLOOKUP(H164,PersonelListesi!A$1:G$42,6,FALSE())</f>
        <v>50000</v>
      </c>
      <c r="J164" s="181" t="n">
        <f aca="false">VLOOKUP(H164,PersonelListesi!A$1:G$42,7,FALSE())</f>
        <v>28000</v>
      </c>
      <c r="K164" s="168" t="n">
        <f aca="false">I164-J164+bordro3[[#This Row],[Eld. '[+/-']]]</f>
        <v>7000</v>
      </c>
      <c r="L164" s="185" t="n">
        <f aca="false">bordro3[[#This Row],[E.]]+bordro3[[#This Row],[SGK-BNK]]</f>
        <v>35000</v>
      </c>
      <c r="M164" s="181" t="n">
        <v>-15000</v>
      </c>
      <c r="N164" s="182" t="s">
        <v>179</v>
      </c>
      <c r="O164" s="166"/>
    </row>
    <row r="165" customFormat="false" ht="15" hidden="false" customHeight="true" outlineLevel="0" collapsed="false">
      <c r="B165" s="162" t="n">
        <v>2025</v>
      </c>
      <c r="C165" s="163" t="n">
        <v>6</v>
      </c>
      <c r="D165" s="180" t="str">
        <f aca="false">VLOOKUP(H165,PersonelListesi!A$1:K$46,4,FALSE())</f>
        <v>_MUHASEBE</v>
      </c>
      <c r="E165" s="175" t="e">
        <f aca="false">VLOOKUP(H165,PersonelListesi!A$1:K$46,13,FALSE())</f>
        <v>#VALUE!</v>
      </c>
      <c r="F165" s="175" t="e">
        <f aca="false">VLOOKUP(H165,PersonelListesi!A$1:K$46,14,FALSE())</f>
        <v>#VALUE!</v>
      </c>
      <c r="G165" s="175" t="n">
        <v>1</v>
      </c>
      <c r="H165" s="166" t="s">
        <v>124</v>
      </c>
      <c r="I165" s="181" t="n">
        <f aca="false">VLOOKUP(H165,PersonelListesi!A$1:G$42,6,FALSE())</f>
        <v>45000</v>
      </c>
      <c r="J165" s="181" t="n">
        <f aca="false">VLOOKUP(H165,PersonelListesi!A$1:G$42,7,FALSE())</f>
        <v>0</v>
      </c>
      <c r="K165" s="168" t="n">
        <f aca="false">I165-J165+bordro3[[#This Row],[Eld. '[+/-']]]</f>
        <v>40000</v>
      </c>
      <c r="L165" s="185" t="n">
        <f aca="false">bordro3[[#This Row],[E.]]+bordro3[[#This Row],[SGK-BNK]]</f>
        <v>40000</v>
      </c>
      <c r="M165" s="181" t="n">
        <v>-5000</v>
      </c>
      <c r="N165" s="182" t="s">
        <v>159</v>
      </c>
      <c r="O165" s="166"/>
    </row>
    <row r="166" customFormat="false" ht="15" hidden="false" customHeight="true" outlineLevel="0" collapsed="false">
      <c r="B166" s="162" t="n">
        <v>2025</v>
      </c>
      <c r="C166" s="163" t="n">
        <v>6</v>
      </c>
      <c r="D166" s="180" t="str">
        <f aca="false">VLOOKUP(H166,PersonelListesi!A$1:K$46,4,FALSE())</f>
        <v>_AİLE</v>
      </c>
      <c r="E166" s="175" t="e">
        <f aca="false">VLOOKUP(H166,PersonelListesi!A$1:K$46,13,FALSE())</f>
        <v>#VALUE!</v>
      </c>
      <c r="F166" s="175" t="e">
        <f aca="false">VLOOKUP(H166,PersonelListesi!A$1:K$46,14,FALSE())</f>
        <v>#VALUE!</v>
      </c>
      <c r="G166" s="175" t="n">
        <v>0</v>
      </c>
      <c r="H166" s="166" t="s">
        <v>131</v>
      </c>
      <c r="I166" s="181" t="n">
        <f aca="false">VLOOKUP(H166,PersonelListesi!A$1:G$42,6,FALSE())</f>
        <v>30000</v>
      </c>
      <c r="J166" s="181" t="n">
        <f aca="false">VLOOKUP(H166,PersonelListesi!A$1:G$42,7,FALSE())</f>
        <v>22104</v>
      </c>
      <c r="K166" s="168" t="n">
        <f aca="false">I166-J166+bordro3[[#This Row],[Eld. '[+/-']]]</f>
        <v>7896</v>
      </c>
      <c r="L166" s="185" t="n">
        <f aca="false">bordro3[[#This Row],[E.]]+bordro3[[#This Row],[SGK-BNK]]</f>
        <v>30000</v>
      </c>
      <c r="M166" s="181"/>
      <c r="N166" s="182"/>
      <c r="O166" s="166"/>
    </row>
    <row r="167" customFormat="false" ht="15" hidden="false" customHeight="true" outlineLevel="0" collapsed="false">
      <c r="B167" s="162" t="n">
        <v>2025</v>
      </c>
      <c r="C167" s="163" t="n">
        <v>6</v>
      </c>
      <c r="D167" s="180" t="s">
        <v>59</v>
      </c>
      <c r="E167" s="175" t="n">
        <v>0</v>
      </c>
      <c r="F167" s="175"/>
      <c r="G167" s="175" t="n">
        <v>0</v>
      </c>
      <c r="H167" s="166" t="s">
        <v>62</v>
      </c>
      <c r="I167" s="181" t="n">
        <f aca="false">VLOOKUP(H167,PersonelListesi!A$1:G$42,6,FALSE())</f>
        <v>30000</v>
      </c>
      <c r="J167" s="181" t="n">
        <f aca="false">VLOOKUP(H167,PersonelListesi!A$1:G$42,7,FALSE())</f>
        <v>0</v>
      </c>
      <c r="K167" s="168" t="n">
        <f aca="false">I167-J167+bordro3[[#This Row],[Eld. '[+/-']]]</f>
        <v>30000</v>
      </c>
      <c r="L167" s="185" t="n">
        <f aca="false">bordro3[[#This Row],[E.]]+bordro3[[#This Row],[SGK-BNK]]</f>
        <v>30000</v>
      </c>
      <c r="M167" s="181"/>
      <c r="N167" s="182"/>
      <c r="O167" s="166"/>
    </row>
    <row r="168" customFormat="false" ht="15" hidden="false" customHeight="true" outlineLevel="0" collapsed="false">
      <c r="B168" s="162" t="n">
        <v>2025</v>
      </c>
      <c r="C168" s="163" t="n">
        <v>6</v>
      </c>
      <c r="D168" s="180" t="str">
        <f aca="false">VLOOKUP(H168,PersonelListesi!A$1:K$46,4,FALSE())</f>
        <v>_AİLE</v>
      </c>
      <c r="E168" s="175" t="e">
        <f aca="false">VLOOKUP(H168,PersonelListesi!A$1:K$46,13,FALSE())</f>
        <v>#VALUE!</v>
      </c>
      <c r="F168" s="175" t="e">
        <f aca="false">VLOOKUP(H168,PersonelListesi!A$1:K$46,14,FALSE())</f>
        <v>#VALUE!</v>
      </c>
      <c r="G168" s="175" t="n">
        <v>0</v>
      </c>
      <c r="H168" s="166" t="s">
        <v>129</v>
      </c>
      <c r="I168" s="181" t="n">
        <f aca="false">VLOOKUP(H168,PersonelListesi!A$1:G$42,6,FALSE())</f>
        <v>40000</v>
      </c>
      <c r="J168" s="181" t="n">
        <f aca="false">VLOOKUP(H168,PersonelListesi!A$1:G$42,7,FALSE())</f>
        <v>22104</v>
      </c>
      <c r="K168" s="168" t="n">
        <f aca="false">I168-J168+bordro3[[#This Row],[Eld. '[+/-']]]</f>
        <v>17896</v>
      </c>
      <c r="L168" s="185" t="n">
        <f aca="false">bordro3[[#This Row],[E.]]+bordro3[[#This Row],[SGK-BNK]]</f>
        <v>40000</v>
      </c>
      <c r="M168" s="181"/>
      <c r="N168" s="182"/>
      <c r="O168" s="166"/>
    </row>
    <row r="169" customFormat="false" ht="15" hidden="false" customHeight="true" outlineLevel="0" collapsed="false">
      <c r="B169" s="162" t="n">
        <v>2025</v>
      </c>
      <c r="C169" s="163" t="n">
        <v>6</v>
      </c>
      <c r="D169" s="180" t="str">
        <f aca="false">VLOOKUP(H169,PersonelListesi!A$1:K$46,4,FALSE())</f>
        <v>_AİLE</v>
      </c>
      <c r="E169" s="175" t="e">
        <f aca="false">VLOOKUP(H169,PersonelListesi!A$1:K$46,13,FALSE())</f>
        <v>#VALUE!</v>
      </c>
      <c r="F169" s="175" t="e">
        <f aca="false">VLOOKUP(H169,PersonelListesi!A$1:K$46,14,FALSE())</f>
        <v>#VALUE!</v>
      </c>
      <c r="G169" s="175" t="n">
        <v>0</v>
      </c>
      <c r="H169" s="166" t="s">
        <v>134</v>
      </c>
      <c r="I169" s="181" t="n">
        <v>30000</v>
      </c>
      <c r="J169" s="181" t="n">
        <f aca="false">VLOOKUP(H169,PersonelListesi!A$1:G$42,7,FALSE())</f>
        <v>0</v>
      </c>
      <c r="K169" s="168" t="n">
        <f aca="false">I169-J169+bordro3[[#This Row],[Eld. '[+/-']]]</f>
        <v>30000</v>
      </c>
      <c r="L169" s="185" t="n">
        <f aca="false">bordro3[[#This Row],[E.]]+bordro3[[#This Row],[SGK-BNK]]</f>
        <v>30000</v>
      </c>
      <c r="M169" s="181"/>
      <c r="N169" s="182"/>
      <c r="O169" s="166"/>
    </row>
    <row r="170" customFormat="false" ht="15" hidden="false" customHeight="true" outlineLevel="0" collapsed="false">
      <c r="B170" s="162" t="n">
        <v>2025</v>
      </c>
      <c r="C170" s="163" t="n">
        <v>6</v>
      </c>
      <c r="D170" s="180" t="str">
        <f aca="false">VLOOKUP(H170,PersonelListesi!A$1:K$46,4,FALSE())</f>
        <v>_AİLE</v>
      </c>
      <c r="E170" s="175" t="e">
        <f aca="false">VLOOKUP(H170,PersonelListesi!A$1:K$46,13,FALSE())</f>
        <v>#VALUE!</v>
      </c>
      <c r="F170" s="175" t="e">
        <f aca="false">VLOOKUP(H170,PersonelListesi!A$1:K$46,14,FALSE())</f>
        <v>#VALUE!</v>
      </c>
      <c r="G170" s="175" t="n">
        <v>0</v>
      </c>
      <c r="H170" s="183" t="s">
        <v>133</v>
      </c>
      <c r="I170" s="181" t="n">
        <f aca="false">VLOOKUP(H170,PersonelListesi!A$1:G$42,6,FALSE())</f>
        <v>50000</v>
      </c>
      <c r="J170" s="181" t="n">
        <f aca="false">VLOOKUP(H170,PersonelListesi!A$1:G$42,7,FALSE())</f>
        <v>30000</v>
      </c>
      <c r="K170" s="168" t="n">
        <f aca="false">I170-J170+bordro3[[#This Row],[Eld. '[+/-']]]</f>
        <v>20000</v>
      </c>
      <c r="L170" s="185" t="n">
        <f aca="false">bordro3[[#This Row],[E.]]+bordro3[[#This Row],[SGK-BNK]]</f>
        <v>50000</v>
      </c>
      <c r="M170" s="181"/>
      <c r="N170" s="182"/>
      <c r="O170" s="166"/>
    </row>
    <row r="171" customFormat="false" ht="15" hidden="false" customHeight="true" outlineLevel="0" collapsed="false">
      <c r="B171" s="162" t="n">
        <v>2025</v>
      </c>
      <c r="C171" s="163" t="n">
        <v>6</v>
      </c>
      <c r="D171" s="180" t="str">
        <f aca="false">VLOOKUP(H171,PersonelListesi!A$1:K$46,4,FALSE())</f>
        <v>_AİLE</v>
      </c>
      <c r="E171" s="175" t="e">
        <f aca="false">VLOOKUP(H171,PersonelListesi!A$1:K$46,13,FALSE())</f>
        <v>#VALUE!</v>
      </c>
      <c r="F171" s="175" t="e">
        <f aca="false">VLOOKUP(H171,PersonelListesi!A$1:K$46,14,FALSE())</f>
        <v>#VALUE!</v>
      </c>
      <c r="G171" s="175" t="n">
        <v>0</v>
      </c>
      <c r="H171" s="183" t="s">
        <v>55</v>
      </c>
      <c r="I171" s="181" t="n">
        <f aca="false">VLOOKUP(H171,PersonelListesi!A$1:G$42,6,FALSE())</f>
        <v>50000</v>
      </c>
      <c r="J171" s="181" t="n">
        <f aca="false">VLOOKUP(H171,PersonelListesi!A$1:G$42,7,FALSE())</f>
        <v>30000</v>
      </c>
      <c r="K171" s="168" t="n">
        <f aca="false">I171-J171+bordro3[[#This Row],[Eld. '[+/-']]]</f>
        <v>20000</v>
      </c>
      <c r="L171" s="185" t="n">
        <f aca="false">bordro3[[#This Row],[E.]]+bordro3[[#This Row],[SGK-BNK]]</f>
        <v>50000</v>
      </c>
      <c r="M171" s="181"/>
      <c r="N171" s="182"/>
      <c r="O171" s="166"/>
    </row>
    <row r="172" customFormat="false" ht="16.5" hidden="true" customHeight="false" outlineLevel="0" collapsed="false">
      <c r="B172" s="198"/>
      <c r="C172" s="199"/>
      <c r="D172" s="200"/>
      <c r="E172" s="201"/>
      <c r="F172" s="201"/>
      <c r="G172" s="201"/>
      <c r="H172" s="195"/>
      <c r="I172" s="202"/>
      <c r="J172" s="202"/>
      <c r="K172" s="203"/>
      <c r="L172" s="204"/>
      <c r="M172" s="205"/>
      <c r="N172" s="206"/>
      <c r="O172" s="197"/>
    </row>
    <row r="173" customFormat="false" ht="16.5" hidden="false" customHeight="false" outlineLevel="0" collapsed="false">
      <c r="B173" s="198"/>
      <c r="C173" s="199"/>
      <c r="D173" s="200"/>
      <c r="E173" s="201"/>
      <c r="F173" s="201"/>
      <c r="G173" s="201"/>
      <c r="H173" s="195"/>
      <c r="I173" s="202"/>
      <c r="J173" s="202" t="n">
        <f aca="false">SUBTOTAL(109,bordro3[SGK-BNK])</f>
        <v>367570</v>
      </c>
      <c r="K173" s="203" t="n">
        <f aca="false">SUBTOTAL(109,bordro3[E.])</f>
        <v>728834</v>
      </c>
      <c r="L173" s="204" t="n">
        <f aca="false">SUBTOTAL(109,bordro3[B+E])</f>
        <v>1096404</v>
      </c>
      <c r="M173" s="205"/>
      <c r="N173" s="206"/>
      <c r="O173" s="197"/>
    </row>
  </sheetData>
  <dataValidations count="2">
    <dataValidation allowBlank="true" errorStyle="stop" operator="between" showDropDown="false" showErrorMessage="true" showInputMessage="true" sqref="H1" type="list">
      <formula1>#ref!</formula1>
      <formula2>0</formula2>
    </dataValidation>
    <dataValidation allowBlank="true" errorStyle="stop" operator="between" showDropDown="false" showErrorMessage="true" showInputMessage="true" sqref="H29:H171" type="list">
      <formula1>PersonelListesi!$A$2:$A$42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L11" activeCellId="0" sqref="L11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20.42"/>
    <col collapsed="false" customWidth="true" hidden="false" outlineLevel="0" max="2" min="2" style="1" width="14.14"/>
    <col collapsed="false" customWidth="true" hidden="false" outlineLevel="0" max="3" min="3" style="1" width="16.57"/>
  </cols>
  <sheetData>
    <row r="1" customFormat="false" ht="15" hidden="false" customHeight="false" outlineLevel="0" collapsed="false">
      <c r="A1" s="438" t="s">
        <v>419</v>
      </c>
      <c r="B1" s="439" t="s">
        <v>444</v>
      </c>
      <c r="C1" s="440" t="s">
        <v>445</v>
      </c>
    </row>
    <row r="2" customFormat="false" ht="15" hidden="false" customHeight="false" outlineLevel="0" collapsed="false">
      <c r="A2" s="441" t="s">
        <v>79</v>
      </c>
      <c r="B2" s="442" t="n">
        <v>43869</v>
      </c>
      <c r="C2" s="443" t="s">
        <v>426</v>
      </c>
      <c r="F2" s="441" t="s">
        <v>79</v>
      </c>
      <c r="G2" s="441"/>
      <c r="H2" s="441"/>
    </row>
    <row r="3" customFormat="false" ht="15" hidden="false" customHeight="false" outlineLevel="0" collapsed="false">
      <c r="A3" s="441" t="s">
        <v>81</v>
      </c>
      <c r="B3" s="442" t="n">
        <v>42902</v>
      </c>
      <c r="C3" s="443" t="s">
        <v>426</v>
      </c>
      <c r="F3" s="441" t="s">
        <v>81</v>
      </c>
      <c r="G3" s="441"/>
      <c r="H3" s="441"/>
    </row>
    <row r="4" customFormat="false" ht="15" hidden="false" customHeight="false" outlineLevel="0" collapsed="false">
      <c r="A4" s="441" t="s">
        <v>73</v>
      </c>
      <c r="B4" s="442" t="n">
        <v>44109</v>
      </c>
      <c r="C4" s="443" t="s">
        <v>426</v>
      </c>
      <c r="F4" s="441" t="s">
        <v>73</v>
      </c>
      <c r="G4" s="441"/>
      <c r="H4" s="441"/>
    </row>
    <row r="5" customFormat="false" ht="15" hidden="false" customHeight="false" outlineLevel="0" collapsed="false">
      <c r="A5" s="441" t="s">
        <v>85</v>
      </c>
      <c r="B5" s="442" t="n">
        <v>44993</v>
      </c>
      <c r="C5" s="443" t="s">
        <v>426</v>
      </c>
      <c r="F5" s="441" t="s">
        <v>85</v>
      </c>
      <c r="G5" s="441"/>
      <c r="H5" s="441"/>
    </row>
    <row r="6" customFormat="false" ht="15" hidden="false" customHeight="false" outlineLevel="0" collapsed="false">
      <c r="A6" s="441" t="s">
        <v>87</v>
      </c>
      <c r="B6" s="442" t="n">
        <v>41863</v>
      </c>
      <c r="C6" s="443" t="s">
        <v>426</v>
      </c>
      <c r="F6" s="441" t="s">
        <v>87</v>
      </c>
      <c r="G6" s="441"/>
      <c r="H6" s="441"/>
    </row>
    <row r="7" customFormat="false" ht="15" hidden="false" customHeight="false" outlineLevel="0" collapsed="false">
      <c r="A7" s="441" t="s">
        <v>91</v>
      </c>
      <c r="B7" s="442" t="n">
        <v>45628</v>
      </c>
      <c r="C7" s="443" t="s">
        <v>426</v>
      </c>
      <c r="F7" s="441" t="s">
        <v>91</v>
      </c>
      <c r="G7" s="441"/>
      <c r="H7" s="441"/>
    </row>
    <row r="8" customFormat="false" ht="15" hidden="false" customHeight="false" outlineLevel="0" collapsed="false">
      <c r="A8" s="441" t="s">
        <v>93</v>
      </c>
      <c r="B8" s="442" t="n">
        <v>44058</v>
      </c>
      <c r="C8" s="443"/>
      <c r="F8" s="441" t="s">
        <v>93</v>
      </c>
      <c r="G8" s="441"/>
      <c r="H8" s="441"/>
    </row>
    <row r="9" customFormat="false" ht="15" hidden="false" customHeight="false" outlineLevel="0" collapsed="false">
      <c r="A9" s="441" t="s">
        <v>95</v>
      </c>
      <c r="B9" s="442" t="n">
        <v>45767</v>
      </c>
      <c r="C9" s="443" t="s">
        <v>426</v>
      </c>
      <c r="F9" s="441" t="s">
        <v>95</v>
      </c>
      <c r="G9" s="441"/>
      <c r="H9" s="441"/>
    </row>
    <row r="10" customFormat="false" ht="15" hidden="false" customHeight="false" outlineLevel="0" collapsed="false">
      <c r="A10" s="441" t="s">
        <v>97</v>
      </c>
      <c r="B10" s="442" t="n">
        <v>44158</v>
      </c>
      <c r="C10" s="443"/>
      <c r="F10" s="441" t="s">
        <v>97</v>
      </c>
      <c r="G10" s="441"/>
      <c r="H10" s="441"/>
    </row>
    <row r="11" customFormat="false" ht="15" hidden="false" customHeight="false" outlineLevel="0" collapsed="false">
      <c r="A11" s="441" t="s">
        <v>100</v>
      </c>
      <c r="B11" s="442" t="n">
        <v>44317</v>
      </c>
      <c r="C11" s="443"/>
      <c r="F11" s="441" t="s">
        <v>100</v>
      </c>
      <c r="G11" s="441"/>
      <c r="H11" s="441"/>
    </row>
    <row r="12" customFormat="false" ht="15" hidden="false" customHeight="false" outlineLevel="0" collapsed="false">
      <c r="A12" s="441" t="s">
        <v>102</v>
      </c>
      <c r="B12" s="442" t="n">
        <v>45548</v>
      </c>
      <c r="C12" s="443"/>
      <c r="F12" s="441" t="s">
        <v>102</v>
      </c>
      <c r="G12" s="441"/>
      <c r="H12" s="441"/>
    </row>
    <row r="13" customFormat="false" ht="15" hidden="false" customHeight="false" outlineLevel="0" collapsed="false">
      <c r="A13" s="441" t="s">
        <v>103</v>
      </c>
      <c r="B13" s="442" t="n">
        <v>45668</v>
      </c>
      <c r="C13" s="443" t="s">
        <v>426</v>
      </c>
      <c r="F13" s="441" t="s">
        <v>103</v>
      </c>
      <c r="G13" s="441"/>
      <c r="H13" s="441"/>
    </row>
    <row r="14" customFormat="false" ht="15" hidden="false" customHeight="false" outlineLevel="0" collapsed="false">
      <c r="A14" s="441" t="s">
        <v>107</v>
      </c>
      <c r="B14" s="442" t="n">
        <v>45757</v>
      </c>
      <c r="C14" s="443" t="s">
        <v>426</v>
      </c>
      <c r="F14" s="441" t="s">
        <v>107</v>
      </c>
      <c r="G14" s="441"/>
      <c r="H14" s="441"/>
    </row>
    <row r="15" customFormat="false" ht="26.9" hidden="false" customHeight="false" outlineLevel="0" collapsed="false">
      <c r="A15" s="444" t="s">
        <v>111</v>
      </c>
      <c r="B15" s="442" t="n">
        <v>45345</v>
      </c>
      <c r="C15" s="443"/>
      <c r="F15" s="444" t="s">
        <v>111</v>
      </c>
      <c r="G15" s="444"/>
      <c r="H15" s="444"/>
    </row>
    <row r="16" customFormat="false" ht="26.9" hidden="false" customHeight="false" outlineLevel="0" collapsed="false">
      <c r="A16" s="444" t="s">
        <v>115</v>
      </c>
      <c r="B16" s="442" t="n">
        <v>45479</v>
      </c>
      <c r="C16" s="443"/>
      <c r="F16" s="444" t="s">
        <v>115</v>
      </c>
      <c r="G16" s="444"/>
      <c r="H16" s="444"/>
    </row>
    <row r="17" customFormat="false" ht="26.9" hidden="false" customHeight="false" outlineLevel="0" collapsed="false">
      <c r="A17" s="444" t="s">
        <v>116</v>
      </c>
      <c r="B17" s="442" t="n">
        <v>45565</v>
      </c>
      <c r="C17" s="443" t="s">
        <v>426</v>
      </c>
      <c r="F17" s="444" t="s">
        <v>116</v>
      </c>
      <c r="G17" s="444"/>
      <c r="H17" s="444"/>
    </row>
    <row r="18" customFormat="false" ht="26.9" hidden="false" customHeight="false" outlineLevel="0" collapsed="false">
      <c r="A18" s="444" t="s">
        <v>119</v>
      </c>
      <c r="B18" s="442" t="n">
        <v>45762</v>
      </c>
      <c r="C18" s="443" t="s">
        <v>426</v>
      </c>
      <c r="F18" s="444" t="s">
        <v>121</v>
      </c>
      <c r="G18" s="444"/>
      <c r="H18" s="444"/>
    </row>
    <row r="19" customFormat="false" ht="26.9" hidden="false" customHeight="false" outlineLevel="0" collapsed="false">
      <c r="A19" s="444" t="s">
        <v>122</v>
      </c>
      <c r="B19" s="442" t="n">
        <v>45757</v>
      </c>
      <c r="C19" s="443" t="s">
        <v>426</v>
      </c>
      <c r="F19" s="444" t="s">
        <v>122</v>
      </c>
      <c r="G19" s="444"/>
      <c r="H19" s="444"/>
    </row>
    <row r="20" customFormat="false" ht="26.9" hidden="false" customHeight="false" outlineLevel="0" collapsed="false">
      <c r="A20" s="444" t="s">
        <v>124</v>
      </c>
      <c r="B20" s="442" t="n">
        <v>45809</v>
      </c>
      <c r="C20" s="443" t="s">
        <v>426</v>
      </c>
      <c r="F20" s="444" t="s">
        <v>124</v>
      </c>
      <c r="G20" s="444"/>
      <c r="H20" s="444"/>
    </row>
    <row r="21" customFormat="false" ht="15" hidden="false" customHeight="false" outlineLevel="0" collapsed="false">
      <c r="A21" s="445"/>
    </row>
    <row r="22" customFormat="false" ht="15" hidden="false" customHeight="false" outlineLevel="0" collapsed="false">
      <c r="A22" s="446"/>
    </row>
    <row r="23" customFormat="false" ht="15" hidden="false" customHeight="false" outlineLevel="0" collapsed="false">
      <c r="A23" s="445"/>
    </row>
    <row r="24" customFormat="false" ht="15" hidden="false" customHeight="false" outlineLevel="0" collapsed="false">
      <c r="A24" s="447"/>
    </row>
    <row r="25" customFormat="false" ht="15" hidden="false" customHeight="false" outlineLevel="0" collapsed="false">
      <c r="A25" s="447"/>
    </row>
    <row r="26" customFormat="false" ht="15" hidden="false" customHeight="false" outlineLevel="0" collapsed="false">
      <c r="A26" s="448"/>
    </row>
    <row r="27" customFormat="false" ht="15" hidden="false" customHeight="false" outlineLevel="0" collapsed="false">
      <c r="A27" s="447"/>
    </row>
    <row r="28" customFormat="false" ht="15" hidden="false" customHeight="false" outlineLevel="0" collapsed="false">
      <c r="A28" s="447"/>
    </row>
    <row r="29" customFormat="false" ht="15" hidden="false" customHeight="false" outlineLevel="0" collapsed="false">
      <c r="A29" s="447"/>
    </row>
    <row r="30" customFormat="false" ht="15" hidden="false" customHeight="false" outlineLevel="0" collapsed="false">
      <c r="A30" s="44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20.42"/>
    <col collapsed="false" customWidth="true" hidden="false" outlineLevel="0" max="2" min="2" style="1" width="21.71"/>
  </cols>
  <sheetData>
    <row r="1" customFormat="false" ht="15" hidden="false" customHeight="false" outlineLevel="0" collapsed="false">
      <c r="A1" s="441" t="s">
        <v>79</v>
      </c>
      <c r="B1" s="441" t="s">
        <v>446</v>
      </c>
    </row>
    <row r="2" customFormat="false" ht="15" hidden="false" customHeight="false" outlineLevel="0" collapsed="false">
      <c r="A2" s="441" t="s">
        <v>81</v>
      </c>
      <c r="B2" s="441" t="s">
        <v>447</v>
      </c>
    </row>
    <row r="3" customFormat="false" ht="15" hidden="false" customHeight="false" outlineLevel="0" collapsed="false">
      <c r="A3" s="441" t="s">
        <v>73</v>
      </c>
      <c r="B3" s="441" t="s">
        <v>446</v>
      </c>
    </row>
    <row r="4" customFormat="false" ht="15" hidden="false" customHeight="false" outlineLevel="0" collapsed="false">
      <c r="A4" s="441" t="s">
        <v>85</v>
      </c>
      <c r="B4" s="441" t="s">
        <v>448</v>
      </c>
    </row>
    <row r="5" customFormat="false" ht="15" hidden="false" customHeight="false" outlineLevel="0" collapsed="false">
      <c r="A5" s="441" t="s">
        <v>87</v>
      </c>
      <c r="B5" s="441" t="s">
        <v>449</v>
      </c>
    </row>
    <row r="6" customFormat="false" ht="15" hidden="false" customHeight="false" outlineLevel="0" collapsed="false">
      <c r="A6" s="441" t="s">
        <v>91</v>
      </c>
      <c r="B6" s="441" t="s">
        <v>450</v>
      </c>
    </row>
    <row r="7" customFormat="false" ht="15" hidden="false" customHeight="false" outlineLevel="0" collapsed="false">
      <c r="A7" s="441" t="s">
        <v>93</v>
      </c>
      <c r="B7" s="441" t="s">
        <v>451</v>
      </c>
    </row>
    <row r="8" customFormat="false" ht="15" hidden="false" customHeight="false" outlineLevel="0" collapsed="false">
      <c r="A8" s="441" t="s">
        <v>95</v>
      </c>
      <c r="B8" s="441" t="s">
        <v>452</v>
      </c>
    </row>
    <row r="9" customFormat="false" ht="15" hidden="false" customHeight="false" outlineLevel="0" collapsed="false">
      <c r="A9" s="441" t="s">
        <v>97</v>
      </c>
      <c r="B9" s="441" t="s">
        <v>453</v>
      </c>
    </row>
    <row r="10" customFormat="false" ht="15" hidden="false" customHeight="false" outlineLevel="0" collapsed="false">
      <c r="A10" s="441" t="s">
        <v>100</v>
      </c>
      <c r="B10" s="441" t="s">
        <v>454</v>
      </c>
    </row>
    <row r="11" customFormat="false" ht="15" hidden="false" customHeight="false" outlineLevel="0" collapsed="false">
      <c r="A11" s="441" t="s">
        <v>102</v>
      </c>
      <c r="B11" s="441" t="s">
        <v>432</v>
      </c>
    </row>
    <row r="12" customFormat="false" ht="15" hidden="false" customHeight="false" outlineLevel="0" collapsed="false">
      <c r="A12" s="441" t="s">
        <v>103</v>
      </c>
      <c r="B12" s="441" t="s">
        <v>425</v>
      </c>
    </row>
    <row r="13" customFormat="false" ht="15" hidden="false" customHeight="false" outlineLevel="0" collapsed="false">
      <c r="A13" s="441" t="s">
        <v>107</v>
      </c>
      <c r="B13" s="441" t="s">
        <v>425</v>
      </c>
    </row>
    <row r="14" customFormat="false" ht="18.75" hidden="false" customHeight="true" outlineLevel="0" collapsed="false">
      <c r="A14" s="444" t="s">
        <v>111</v>
      </c>
      <c r="B14" s="444" t="s">
        <v>455</v>
      </c>
    </row>
    <row r="15" customFormat="false" ht="21" hidden="false" customHeight="true" outlineLevel="0" collapsed="false">
      <c r="A15" s="444" t="s">
        <v>115</v>
      </c>
      <c r="B15" s="444" t="s">
        <v>456</v>
      </c>
    </row>
    <row r="16" customFormat="false" ht="20.25" hidden="false" customHeight="true" outlineLevel="0" collapsed="false">
      <c r="A16" s="444" t="s">
        <v>116</v>
      </c>
      <c r="B16" s="444" t="s">
        <v>452</v>
      </c>
    </row>
    <row r="17" customFormat="false" ht="21" hidden="false" customHeight="true" outlineLevel="0" collapsed="false">
      <c r="A17" s="444" t="s">
        <v>121</v>
      </c>
      <c r="B17" s="444" t="s">
        <v>457</v>
      </c>
    </row>
    <row r="18" customFormat="false" ht="19.5" hidden="false" customHeight="true" outlineLevel="0" collapsed="false">
      <c r="A18" s="444" t="s">
        <v>122</v>
      </c>
      <c r="B18" s="444" t="s">
        <v>457</v>
      </c>
    </row>
    <row r="19" customFormat="false" ht="15.75" hidden="false" customHeight="true" outlineLevel="0" collapsed="false">
      <c r="A19" s="444" t="s">
        <v>124</v>
      </c>
      <c r="B19" s="444" t="s">
        <v>446</v>
      </c>
    </row>
    <row r="20" customFormat="false" ht="15" hidden="false" customHeight="false" outlineLevel="0" collapsed="false">
      <c r="A20" s="449" t="s">
        <v>129</v>
      </c>
      <c r="B20" s="449" t="s">
        <v>458</v>
      </c>
    </row>
    <row r="21" customFormat="false" ht="15" hidden="false" customHeight="false" outlineLevel="0" collapsed="false">
      <c r="A21" s="449" t="s">
        <v>459</v>
      </c>
      <c r="B21" s="449" t="s">
        <v>458</v>
      </c>
    </row>
    <row r="22" customFormat="false" ht="15" hidden="false" customHeight="false" outlineLevel="0" collapsed="false">
      <c r="A22" s="449" t="s">
        <v>133</v>
      </c>
      <c r="B22" s="449" t="s">
        <v>446</v>
      </c>
    </row>
    <row r="23" customFormat="false" ht="15" hidden="false" customHeight="false" outlineLevel="0" collapsed="false">
      <c r="A23" s="449" t="s">
        <v>55</v>
      </c>
      <c r="B23" s="449" t="s">
        <v>446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LibreOffice/25.8.2.2$MacOSX_AARCH64 LibreOffice_project/d401f2107ccab8f924a8e2df40f573aab7605b6f</Application>
  <AppVersion>15.0000</AppVersion>
  <Pages>20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2025-03-24T06:47:40Z</dcterms:created>
  <dc:creator>Muhasebe</dc:creator>
  <dc:description/>
  <dc:language>tr-TR</dc:language>
  <cp:lastModifiedBy/>
  <cp:lastPrinted>2025-09-30T13:52:36Z</cp:lastPrinted>
  <dcterms:modified xsi:type="dcterms:W3CDTF">2025-11-05T13:29:49Z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